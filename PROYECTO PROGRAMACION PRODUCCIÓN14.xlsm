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E998C4-C9E5-D4B9-71C8-EB1FF731991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scritorio\ESCRITORIO 2023\ESCRITORIO INFO abril 2021\ESCRITORIO 05_12_2019\"/>
    </mc:Choice>
  </mc:AlternateContent>
  <xr:revisionPtr revIDLastSave="0" documentId="13_ncr:1_{713408B7-3942-4A7F-A886-A712B31014C8}" xr6:coauthVersionLast="47" xr6:coauthVersionMax="47" xr10:uidLastSave="{00000000-0000-0000-0000-000000000000}"/>
  <bookViews>
    <workbookView xWindow="-120" yWindow="-120" windowWidth="29040" windowHeight="15720" firstSheet="1" activeTab="3" xr2:uid="{00000000-000D-0000-FFFF-FFFF00000000}"/>
  </bookViews>
  <sheets>
    <sheet name="MAQUINAS" sheetId="1" state="hidden" r:id="rId1"/>
    <sheet name="PRODUCTOS" sheetId="2" r:id="rId2"/>
    <sheet name="FABRICAR" sheetId="4" r:id="rId3"/>
    <sheet name="PROGRAMACION OT" sheetId="7" r:id="rId4"/>
    <sheet name="PROGRAM SALDO " sheetId="5" r:id="rId5"/>
    <sheet name="PROGRAM MAQ" sheetId="3" r:id="rId6"/>
  </sheets>
  <definedNames>
    <definedName name="_xlnm._FilterDatabase" localSheetId="2" hidden="1">FABRICAR!$A$1:$R$520</definedName>
    <definedName name="_xlnm._FilterDatabase" localSheetId="1" hidden="1">PRODUCTOS!$B$1:$J$753</definedName>
    <definedName name="_xlnm._FilterDatabase" localSheetId="5" hidden="1">'PROGRAM MAQ'!$D$2:$F$32</definedName>
    <definedName name="_xlnm._FilterDatabase" localSheetId="4" hidden="1">'PROGRAM SALDO '!$A$3:$N$47</definedName>
    <definedName name="_xlnm._FilterDatabase" localSheetId="3" hidden="1">'PROGRAMACION OT'!$B$7:$H$56</definedName>
    <definedName name="FABRICAR">FABRICAR!$C$1:$O$684</definedName>
    <definedName name="LISTAPRO">Tabla5[PRODUCTO]</definedName>
    <definedName name="MAQUINAS">MAQUINAS!$C$1:$C$62</definedName>
    <definedName name="PRODUCTOETAPA">FABRICAR!$D$1:$P$472</definedName>
    <definedName name="PRODUCTOS">PRODUCTOS!$B$1:$L$753</definedName>
    <definedName name="PRODUCTOTOTAL">PRODUCTOS!$A$1:$M$753</definedName>
    <definedName name="PROGRAMACION1">'PROGRAM MAQ'!$D:$CE</definedName>
  </definedNames>
  <calcPr calcId="181029"/>
</workbook>
</file>

<file path=xl/calcChain.xml><?xml version="1.0" encoding="utf-8"?>
<calcChain xmlns="http://schemas.openxmlformats.org/spreadsheetml/2006/main">
  <c r="AE31" i="7" l="1"/>
  <c r="B2" i="7"/>
  <c r="N8" i="7"/>
  <c r="N13" i="7"/>
  <c r="N41" i="7"/>
  <c r="N42" i="7"/>
  <c r="A37" i="2"/>
  <c r="A38" i="2"/>
  <c r="A39" i="2"/>
  <c r="A40" i="2"/>
  <c r="N31" i="7"/>
  <c r="N32" i="7"/>
  <c r="N33" i="7"/>
  <c r="N34" i="7"/>
  <c r="N35" i="7"/>
  <c r="N36" i="7"/>
  <c r="A288" i="2"/>
  <c r="A289" i="2"/>
  <c r="A290" i="2"/>
  <c r="A291" i="2"/>
  <c r="D39" i="4"/>
  <c r="N39" i="4"/>
  <c r="D40" i="4"/>
  <c r="N40" i="4"/>
  <c r="D41" i="4"/>
  <c r="N41" i="4"/>
  <c r="D42" i="4"/>
  <c r="N42" i="4"/>
  <c r="D43" i="4"/>
  <c r="N43" i="4"/>
  <c r="D44" i="4"/>
  <c r="N44" i="4"/>
  <c r="D45" i="4"/>
  <c r="N45" i="4"/>
  <c r="N26" i="7"/>
  <c r="N27" i="7"/>
  <c r="N28" i="7"/>
  <c r="N29" i="7"/>
  <c r="N30" i="7"/>
  <c r="N37" i="7"/>
  <c r="N38" i="7"/>
  <c r="N39" i="7"/>
  <c r="O58" i="5"/>
  <c r="P58" i="5" s="1"/>
  <c r="O59" i="5"/>
  <c r="P59" i="5" s="1"/>
  <c r="O60" i="5"/>
  <c r="P60" i="5" s="1"/>
  <c r="O61" i="5"/>
  <c r="P61" i="5" s="1"/>
  <c r="O62" i="5"/>
  <c r="O63" i="5"/>
  <c r="O64" i="5"/>
  <c r="P64" i="5" s="1"/>
  <c r="O65" i="5"/>
  <c r="P65" i="5" s="1"/>
  <c r="O66" i="5"/>
  <c r="P66" i="5" s="1"/>
  <c r="O67" i="5"/>
  <c r="P67" i="5" s="1"/>
  <c r="O68" i="5"/>
  <c r="P68" i="5" s="1"/>
  <c r="O69" i="5"/>
  <c r="P69" i="5" s="1"/>
  <c r="O70" i="5"/>
  <c r="P70" i="5" s="1"/>
  <c r="B35" i="5"/>
  <c r="C35" i="5"/>
  <c r="E35" i="5"/>
  <c r="D35" i="5" s="1"/>
  <c r="I35" i="5"/>
  <c r="K35" i="5"/>
  <c r="L35" i="5"/>
  <c r="B36" i="5"/>
  <c r="C36" i="5"/>
  <c r="L36" i="5" s="1"/>
  <c r="E36" i="5"/>
  <c r="D36" i="5" s="1"/>
  <c r="I36" i="5"/>
  <c r="K36" i="5"/>
  <c r="B37" i="5"/>
  <c r="C37" i="5"/>
  <c r="E37" i="5"/>
  <c r="D37" i="5" s="1"/>
  <c r="I37" i="5"/>
  <c r="K37" i="5"/>
  <c r="L37" i="5"/>
  <c r="B38" i="5"/>
  <c r="C38" i="5"/>
  <c r="L38" i="5" s="1"/>
  <c r="E38" i="5"/>
  <c r="D38" i="5" s="1"/>
  <c r="I38" i="5"/>
  <c r="K38" i="5"/>
  <c r="B39" i="5"/>
  <c r="C39" i="5"/>
  <c r="E39" i="5"/>
  <c r="D39" i="5" s="1"/>
  <c r="I39" i="5"/>
  <c r="K39" i="5"/>
  <c r="L39" i="5"/>
  <c r="B40" i="5"/>
  <c r="C40" i="5"/>
  <c r="L40" i="5" s="1"/>
  <c r="E40" i="5"/>
  <c r="D40" i="5" s="1"/>
  <c r="I40" i="5"/>
  <c r="K40" i="5"/>
  <c r="B41" i="5"/>
  <c r="N41" i="5" s="1"/>
  <c r="C41" i="5"/>
  <c r="E41" i="5"/>
  <c r="D41" i="5" s="1"/>
  <c r="K41" i="5"/>
  <c r="L41" i="5"/>
  <c r="M41" i="5"/>
  <c r="B42" i="5"/>
  <c r="N42" i="5" s="1"/>
  <c r="C42" i="5"/>
  <c r="E42" i="5"/>
  <c r="D42" i="5" s="1"/>
  <c r="K42" i="5"/>
  <c r="L42" i="5"/>
  <c r="M42" i="5"/>
  <c r="B43" i="5"/>
  <c r="N43" i="5" s="1"/>
  <c r="C43" i="5"/>
  <c r="E43" i="5"/>
  <c r="D43" i="5" s="1"/>
  <c r="K43" i="5"/>
  <c r="L43" i="5"/>
  <c r="M43" i="5"/>
  <c r="B44" i="5"/>
  <c r="N44" i="5" s="1"/>
  <c r="C44" i="5"/>
  <c r="E44" i="5"/>
  <c r="D44" i="5" s="1"/>
  <c r="K44" i="5"/>
  <c r="L44" i="5"/>
  <c r="M44" i="5"/>
  <c r="B45" i="5"/>
  <c r="N45" i="5" s="1"/>
  <c r="C45" i="5"/>
  <c r="E45" i="5"/>
  <c r="D45" i="5" s="1"/>
  <c r="K45" i="5"/>
  <c r="L45" i="5"/>
  <c r="M45" i="5"/>
  <c r="B46" i="5"/>
  <c r="N46" i="5" s="1"/>
  <c r="C46" i="5"/>
  <c r="E46" i="5"/>
  <c r="D46" i="5" s="1"/>
  <c r="K46" i="5"/>
  <c r="L46" i="5"/>
  <c r="M46" i="5"/>
  <c r="B47" i="5"/>
  <c r="N47" i="5" s="1"/>
  <c r="C47" i="5"/>
  <c r="E47" i="5"/>
  <c r="D47" i="5" s="1"/>
  <c r="K47" i="5"/>
  <c r="L47" i="5"/>
  <c r="M47" i="5"/>
  <c r="B48" i="5"/>
  <c r="N48" i="5" s="1"/>
  <c r="C48" i="5"/>
  <c r="E48" i="5"/>
  <c r="D48" i="5" s="1"/>
  <c r="H48" i="5"/>
  <c r="K48" i="5"/>
  <c r="L48" i="5"/>
  <c r="M48" i="5"/>
  <c r="B49" i="5"/>
  <c r="N49" i="5" s="1"/>
  <c r="C49" i="5"/>
  <c r="E49" i="5"/>
  <c r="D49" i="5" s="1"/>
  <c r="H49" i="5"/>
  <c r="K49" i="5"/>
  <c r="L49" i="5"/>
  <c r="M49" i="5"/>
  <c r="B50" i="5"/>
  <c r="N50" i="5" s="1"/>
  <c r="C50" i="5"/>
  <c r="E50" i="5"/>
  <c r="D50" i="5" s="1"/>
  <c r="H50" i="5"/>
  <c r="K50" i="5"/>
  <c r="L50" i="5"/>
  <c r="M50" i="5"/>
  <c r="B51" i="5"/>
  <c r="N51" i="5" s="1"/>
  <c r="C51" i="5"/>
  <c r="E51" i="5"/>
  <c r="D51" i="5" s="1"/>
  <c r="H51" i="5"/>
  <c r="K51" i="5"/>
  <c r="L51" i="5"/>
  <c r="M51" i="5"/>
  <c r="B52" i="5"/>
  <c r="N52" i="5" s="1"/>
  <c r="C52" i="5"/>
  <c r="E52" i="5"/>
  <c r="D52" i="5" s="1"/>
  <c r="H52" i="5"/>
  <c r="K52" i="5"/>
  <c r="L52" i="5"/>
  <c r="M52" i="5"/>
  <c r="B53" i="5"/>
  <c r="N53" i="5" s="1"/>
  <c r="C53" i="5"/>
  <c r="E53" i="5"/>
  <c r="D53" i="5" s="1"/>
  <c r="H53" i="5"/>
  <c r="K53" i="5"/>
  <c r="L53" i="5"/>
  <c r="M53" i="5"/>
  <c r="B54" i="5"/>
  <c r="N54" i="5" s="1"/>
  <c r="C54" i="5"/>
  <c r="E54" i="5"/>
  <c r="D54" i="5" s="1"/>
  <c r="H54" i="5"/>
  <c r="K54" i="5"/>
  <c r="L54" i="5"/>
  <c r="M54" i="5"/>
  <c r="B55" i="5"/>
  <c r="N55" i="5" s="1"/>
  <c r="C55" i="5"/>
  <c r="E55" i="5"/>
  <c r="D55" i="5" s="1"/>
  <c r="H55" i="5"/>
  <c r="K55" i="5"/>
  <c r="L55" i="5"/>
  <c r="M55" i="5"/>
  <c r="B56" i="5"/>
  <c r="N56" i="5" s="1"/>
  <c r="C56" i="5"/>
  <c r="E56" i="5"/>
  <c r="D56" i="5" s="1"/>
  <c r="H56" i="5"/>
  <c r="K56" i="5"/>
  <c r="L56" i="5"/>
  <c r="M56" i="5"/>
  <c r="B57" i="5"/>
  <c r="N57" i="5" s="1"/>
  <c r="C57" i="5"/>
  <c r="E57" i="5"/>
  <c r="D57" i="5" s="1"/>
  <c r="H57" i="5"/>
  <c r="K57" i="5"/>
  <c r="L57" i="5"/>
  <c r="M57" i="5"/>
  <c r="B39" i="7"/>
  <c r="I39" i="7" s="1"/>
  <c r="C39" i="7"/>
  <c r="M39" i="7" s="1"/>
  <c r="L39" i="7"/>
  <c r="B40" i="7"/>
  <c r="I40" i="7" s="1"/>
  <c r="C40" i="7"/>
  <c r="M40" i="7" s="1"/>
  <c r="L40" i="7"/>
  <c r="N40" i="7"/>
  <c r="B41" i="7"/>
  <c r="I41" i="7" s="1"/>
  <c r="C41" i="7"/>
  <c r="M41" i="7" s="1"/>
  <c r="L41" i="7"/>
  <c r="B42" i="7"/>
  <c r="I42" i="7" s="1"/>
  <c r="C42" i="7"/>
  <c r="M42" i="7" s="1"/>
  <c r="L42" i="7"/>
  <c r="B43" i="7"/>
  <c r="I43" i="7" s="1"/>
  <c r="C43" i="7"/>
  <c r="M43" i="7" s="1"/>
  <c r="L43" i="7"/>
  <c r="N43" i="7"/>
  <c r="B44" i="7"/>
  <c r="I44" i="7" s="1"/>
  <c r="C44" i="7"/>
  <c r="M44" i="7" s="1"/>
  <c r="L44" i="7"/>
  <c r="N44" i="7"/>
  <c r="B45" i="7"/>
  <c r="H45" i="7" s="1"/>
  <c r="C45" i="7"/>
  <c r="M45" i="7" s="1"/>
  <c r="L45" i="7"/>
  <c r="N45" i="7"/>
  <c r="B46" i="7"/>
  <c r="H46" i="7" s="1"/>
  <c r="C46" i="7"/>
  <c r="M46" i="7" s="1"/>
  <c r="L46" i="7"/>
  <c r="N46" i="7"/>
  <c r="B47" i="7"/>
  <c r="H47" i="7" s="1"/>
  <c r="C47" i="7"/>
  <c r="M47" i="7" s="1"/>
  <c r="L47" i="7"/>
  <c r="N47" i="7"/>
  <c r="B48" i="7"/>
  <c r="H48" i="7" s="1"/>
  <c r="C48" i="7"/>
  <c r="M48" i="7" s="1"/>
  <c r="L48" i="7"/>
  <c r="N48" i="7"/>
  <c r="B49" i="7"/>
  <c r="H49" i="7" s="1"/>
  <c r="C49" i="7"/>
  <c r="M49" i="7" s="1"/>
  <c r="L49" i="7"/>
  <c r="N49" i="7"/>
  <c r="B50" i="7"/>
  <c r="H50" i="7" s="1"/>
  <c r="C50" i="7"/>
  <c r="M50" i="7" s="1"/>
  <c r="L50" i="7"/>
  <c r="N50" i="7"/>
  <c r="B51" i="7"/>
  <c r="H51" i="7" s="1"/>
  <c r="C51" i="7"/>
  <c r="M51" i="7" s="1"/>
  <c r="L51" i="7"/>
  <c r="N51" i="7"/>
  <c r="B52" i="7"/>
  <c r="H52" i="7" s="1"/>
  <c r="C52" i="7"/>
  <c r="M52" i="7" s="1"/>
  <c r="E52" i="7"/>
  <c r="D52" i="7" s="1"/>
  <c r="L52" i="7"/>
  <c r="N52" i="7"/>
  <c r="B53" i="7"/>
  <c r="H53" i="7" s="1"/>
  <c r="C53" i="7"/>
  <c r="M53" i="7" s="1"/>
  <c r="E53" i="7"/>
  <c r="D53" i="7" s="1"/>
  <c r="L53" i="7"/>
  <c r="N53" i="7"/>
  <c r="B54" i="7"/>
  <c r="H54" i="7" s="1"/>
  <c r="C54" i="7"/>
  <c r="M54" i="7" s="1"/>
  <c r="E54" i="7"/>
  <c r="D54" i="7" s="1"/>
  <c r="L54" i="7"/>
  <c r="N54" i="7"/>
  <c r="B55" i="7"/>
  <c r="H55" i="7" s="1"/>
  <c r="C55" i="7"/>
  <c r="M55" i="7" s="1"/>
  <c r="E55" i="7"/>
  <c r="D55" i="7" s="1"/>
  <c r="L55" i="7"/>
  <c r="N55" i="7"/>
  <c r="B56" i="7"/>
  <c r="H56" i="7" s="1"/>
  <c r="C56" i="7"/>
  <c r="M56" i="7" s="1"/>
  <c r="E56" i="7"/>
  <c r="D56" i="7" s="1"/>
  <c r="L56" i="7"/>
  <c r="N56" i="7"/>
  <c r="B8" i="7"/>
  <c r="C8" i="7"/>
  <c r="M8" i="7" s="1"/>
  <c r="I8" i="7"/>
  <c r="L8" i="7"/>
  <c r="B9" i="7"/>
  <c r="C9" i="7"/>
  <c r="M9" i="7" s="1"/>
  <c r="I9" i="7"/>
  <c r="L9" i="7"/>
  <c r="N9" i="7"/>
  <c r="B10" i="7"/>
  <c r="C10" i="7"/>
  <c r="M10" i="7" s="1"/>
  <c r="I10" i="7"/>
  <c r="L10" i="7"/>
  <c r="N10" i="7"/>
  <c r="B11" i="7"/>
  <c r="C11" i="7"/>
  <c r="M11" i="7" s="1"/>
  <c r="I11" i="7"/>
  <c r="L11" i="7"/>
  <c r="N11" i="7"/>
  <c r="B12" i="7"/>
  <c r="C12" i="7"/>
  <c r="M12" i="7" s="1"/>
  <c r="I12" i="7"/>
  <c r="L12" i="7"/>
  <c r="N12" i="7"/>
  <c r="B13" i="7"/>
  <c r="C13" i="7"/>
  <c r="M13" i="7" s="1"/>
  <c r="I13" i="7"/>
  <c r="L13" i="7"/>
  <c r="B14" i="7"/>
  <c r="C14" i="7"/>
  <c r="M14" i="7" s="1"/>
  <c r="I14" i="7"/>
  <c r="L14" i="7"/>
  <c r="N14" i="7"/>
  <c r="B15" i="7"/>
  <c r="C15" i="7"/>
  <c r="M15" i="7" s="1"/>
  <c r="I15" i="7"/>
  <c r="L15" i="7"/>
  <c r="N15" i="7"/>
  <c r="B16" i="7"/>
  <c r="C16" i="7"/>
  <c r="M16" i="7" s="1"/>
  <c r="I16" i="7"/>
  <c r="L16" i="7"/>
  <c r="N16" i="7"/>
  <c r="B17" i="7"/>
  <c r="C17" i="7"/>
  <c r="M17" i="7" s="1"/>
  <c r="I17" i="7"/>
  <c r="L17" i="7"/>
  <c r="N17" i="7"/>
  <c r="B18" i="7"/>
  <c r="C18" i="7"/>
  <c r="M18" i="7" s="1"/>
  <c r="I18" i="7"/>
  <c r="L18" i="7"/>
  <c r="N18" i="7"/>
  <c r="B19" i="7"/>
  <c r="C19" i="7"/>
  <c r="M19" i="7" s="1"/>
  <c r="I19" i="7"/>
  <c r="L19" i="7"/>
  <c r="N19" i="7"/>
  <c r="B20" i="7"/>
  <c r="C20" i="7"/>
  <c r="M20" i="7" s="1"/>
  <c r="I20" i="7"/>
  <c r="L20" i="7"/>
  <c r="N20" i="7"/>
  <c r="B21" i="7"/>
  <c r="C21" i="7"/>
  <c r="M21" i="7" s="1"/>
  <c r="I21" i="7"/>
  <c r="L21" i="7"/>
  <c r="N21" i="7"/>
  <c r="B22" i="7"/>
  <c r="C22" i="7"/>
  <c r="M22" i="7" s="1"/>
  <c r="I22" i="7"/>
  <c r="L22" i="7"/>
  <c r="N22" i="7"/>
  <c r="B23" i="7"/>
  <c r="C23" i="7"/>
  <c r="M23" i="7" s="1"/>
  <c r="I23" i="7"/>
  <c r="L23" i="7"/>
  <c r="N23" i="7"/>
  <c r="B24" i="7"/>
  <c r="C24" i="7"/>
  <c r="M24" i="7" s="1"/>
  <c r="I24" i="7"/>
  <c r="L24" i="7"/>
  <c r="N24" i="7"/>
  <c r="B25" i="7"/>
  <c r="C25" i="7"/>
  <c r="M25" i="7" s="1"/>
  <c r="I25" i="7"/>
  <c r="L25" i="7"/>
  <c r="N25" i="7"/>
  <c r="B26" i="7"/>
  <c r="C26" i="7"/>
  <c r="M26" i="7" s="1"/>
  <c r="I26" i="7"/>
  <c r="L26" i="7"/>
  <c r="B27" i="7"/>
  <c r="C27" i="7"/>
  <c r="M27" i="7" s="1"/>
  <c r="I27" i="7"/>
  <c r="L27" i="7"/>
  <c r="B28" i="7"/>
  <c r="C28" i="7"/>
  <c r="M28" i="7" s="1"/>
  <c r="I28" i="7"/>
  <c r="L28" i="7"/>
  <c r="B29" i="7"/>
  <c r="C29" i="7"/>
  <c r="M29" i="7" s="1"/>
  <c r="I29" i="7"/>
  <c r="L29" i="7"/>
  <c r="B30" i="7"/>
  <c r="C30" i="7"/>
  <c r="M30" i="7" s="1"/>
  <c r="I30" i="7"/>
  <c r="L30" i="7"/>
  <c r="B31" i="7"/>
  <c r="C31" i="7"/>
  <c r="M31" i="7" s="1"/>
  <c r="I31" i="7"/>
  <c r="L31" i="7"/>
  <c r="B32" i="7"/>
  <c r="C32" i="7"/>
  <c r="M32" i="7" s="1"/>
  <c r="I32" i="7"/>
  <c r="L32" i="7"/>
  <c r="B33" i="7"/>
  <c r="C33" i="7"/>
  <c r="M33" i="7" s="1"/>
  <c r="I33" i="7"/>
  <c r="L33" i="7"/>
  <c r="B34" i="7"/>
  <c r="I34" i="7" s="1"/>
  <c r="C34" i="7"/>
  <c r="L34" i="7"/>
  <c r="M34" i="7"/>
  <c r="B35" i="7"/>
  <c r="C35" i="7"/>
  <c r="M35" i="7" s="1"/>
  <c r="I35" i="7"/>
  <c r="L35" i="7"/>
  <c r="B36" i="7"/>
  <c r="C36" i="7"/>
  <c r="M36" i="7" s="1"/>
  <c r="I36" i="7"/>
  <c r="L36" i="7"/>
  <c r="B37" i="7"/>
  <c r="I37" i="7" s="1"/>
  <c r="C37" i="7"/>
  <c r="L37" i="7"/>
  <c r="M37" i="7"/>
  <c r="B38" i="7"/>
  <c r="C38" i="7"/>
  <c r="M38" i="7" s="1"/>
  <c r="L38" i="7"/>
  <c r="A189" i="2"/>
  <c r="A190" i="2"/>
  <c r="A191" i="2"/>
  <c r="A192" i="2"/>
  <c r="A193" i="2"/>
  <c r="B30" i="5"/>
  <c r="C30" i="5"/>
  <c r="L30" i="5" s="1"/>
  <c r="I30" i="5"/>
  <c r="K30" i="5"/>
  <c r="B31" i="5"/>
  <c r="C31" i="5"/>
  <c r="L31" i="5" s="1"/>
  <c r="I31" i="5"/>
  <c r="K31" i="5"/>
  <c r="B32" i="5"/>
  <c r="C32" i="5"/>
  <c r="L32" i="5" s="1"/>
  <c r="I32" i="5"/>
  <c r="K32" i="5"/>
  <c r="B33" i="5"/>
  <c r="C33" i="5"/>
  <c r="L33" i="5" s="1"/>
  <c r="I33" i="5"/>
  <c r="K33" i="5"/>
  <c r="B34" i="5"/>
  <c r="C34" i="5"/>
  <c r="L34" i="5" s="1"/>
  <c r="I34" i="5"/>
  <c r="K34" i="5"/>
  <c r="B29" i="5"/>
  <c r="C29" i="5"/>
  <c r="L29" i="5" s="1"/>
  <c r="I29" i="5"/>
  <c r="K29" i="5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3" i="3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4" i="5"/>
  <c r="C5" i="5"/>
  <c r="L5" i="5" s="1"/>
  <c r="C6" i="5"/>
  <c r="L6" i="5" s="1"/>
  <c r="C7" i="5"/>
  <c r="L7" i="5" s="1"/>
  <c r="C8" i="5"/>
  <c r="L8" i="5" s="1"/>
  <c r="C9" i="5"/>
  <c r="L9" i="5" s="1"/>
  <c r="C10" i="5"/>
  <c r="L10" i="5" s="1"/>
  <c r="C11" i="5"/>
  <c r="L11" i="5" s="1"/>
  <c r="C12" i="5"/>
  <c r="L12" i="5" s="1"/>
  <c r="C13" i="5"/>
  <c r="L13" i="5" s="1"/>
  <c r="C14" i="5"/>
  <c r="L14" i="5" s="1"/>
  <c r="C15" i="5"/>
  <c r="L15" i="5" s="1"/>
  <c r="C16" i="5"/>
  <c r="L16" i="5" s="1"/>
  <c r="C17" i="5"/>
  <c r="L17" i="5" s="1"/>
  <c r="C18" i="5"/>
  <c r="L18" i="5" s="1"/>
  <c r="C19" i="5"/>
  <c r="L19" i="5" s="1"/>
  <c r="C20" i="5"/>
  <c r="L20" i="5" s="1"/>
  <c r="C21" i="5"/>
  <c r="L21" i="5" s="1"/>
  <c r="C22" i="5"/>
  <c r="L22" i="5" s="1"/>
  <c r="C23" i="5"/>
  <c r="L23" i="5" s="1"/>
  <c r="C24" i="5"/>
  <c r="L24" i="5" s="1"/>
  <c r="C25" i="5"/>
  <c r="L25" i="5" s="1"/>
  <c r="C26" i="5"/>
  <c r="L26" i="5" s="1"/>
  <c r="C27" i="5"/>
  <c r="L27" i="5" s="1"/>
  <c r="C28" i="5"/>
  <c r="L28" i="5" s="1"/>
  <c r="C4" i="5"/>
  <c r="L4" i="5" s="1"/>
  <c r="B5" i="5"/>
  <c r="I5" i="5"/>
  <c r="B6" i="5"/>
  <c r="I6" i="5"/>
  <c r="B7" i="5"/>
  <c r="I7" i="5"/>
  <c r="B8" i="5"/>
  <c r="I8" i="5"/>
  <c r="B9" i="5"/>
  <c r="I9" i="5"/>
  <c r="B10" i="5"/>
  <c r="I10" i="5"/>
  <c r="B11" i="5"/>
  <c r="I11" i="5"/>
  <c r="B12" i="5"/>
  <c r="I12" i="5"/>
  <c r="B13" i="5"/>
  <c r="I13" i="5"/>
  <c r="B14" i="5"/>
  <c r="I14" i="5"/>
  <c r="B15" i="5"/>
  <c r="I15" i="5"/>
  <c r="B16" i="5"/>
  <c r="I16" i="5"/>
  <c r="B17" i="5"/>
  <c r="I17" i="5"/>
  <c r="B18" i="5"/>
  <c r="I18" i="5"/>
  <c r="B19" i="5"/>
  <c r="I19" i="5"/>
  <c r="B20" i="5"/>
  <c r="I20" i="5"/>
  <c r="B21" i="5"/>
  <c r="I21" i="5"/>
  <c r="B22" i="5"/>
  <c r="I22" i="5"/>
  <c r="B23" i="5"/>
  <c r="I23" i="5"/>
  <c r="B24" i="5"/>
  <c r="I24" i="5"/>
  <c r="B25" i="5"/>
  <c r="I25" i="5"/>
  <c r="B26" i="5"/>
  <c r="I26" i="5"/>
  <c r="B27" i="5"/>
  <c r="I27" i="5"/>
  <c r="B28" i="5"/>
  <c r="I28" i="5"/>
  <c r="D25" i="4"/>
  <c r="N25" i="4"/>
  <c r="D26" i="4"/>
  <c r="N26" i="4"/>
  <c r="D27" i="4"/>
  <c r="N27" i="4"/>
  <c r="D28" i="4"/>
  <c r="N28" i="4"/>
  <c r="D29" i="4"/>
  <c r="N29" i="4"/>
  <c r="D19" i="4"/>
  <c r="N19" i="4"/>
  <c r="M21" i="5" s="1"/>
  <c r="D20" i="4"/>
  <c r="N20" i="4"/>
  <c r="M22" i="5" s="1"/>
  <c r="D21" i="4"/>
  <c r="N21" i="4"/>
  <c r="M23" i="5" s="1"/>
  <c r="D22" i="4"/>
  <c r="N22" i="4"/>
  <c r="M24" i="5" s="1"/>
  <c r="D23" i="4"/>
  <c r="N23" i="4"/>
  <c r="D6" i="4"/>
  <c r="H6" i="4" s="1"/>
  <c r="N6" i="4"/>
  <c r="B101" i="3"/>
  <c r="B102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4" i="5"/>
  <c r="I4" i="5"/>
  <c r="B3" i="3"/>
  <c r="N14" i="4"/>
  <c r="N15" i="4"/>
  <c r="N16" i="4"/>
  <c r="N17" i="4"/>
  <c r="N18" i="4"/>
  <c r="N7" i="4"/>
  <c r="N8" i="4"/>
  <c r="N9" i="4"/>
  <c r="N10" i="4"/>
  <c r="N11" i="4"/>
  <c r="N12" i="4"/>
  <c r="N35" i="4"/>
  <c r="N36" i="4"/>
  <c r="N37" i="4"/>
  <c r="N38" i="4"/>
  <c r="N30" i="4"/>
  <c r="N31" i="4"/>
  <c r="N32" i="4"/>
  <c r="N33" i="4"/>
  <c r="N34" i="4"/>
  <c r="N13" i="4"/>
  <c r="D35" i="4"/>
  <c r="D36" i="4"/>
  <c r="D37" i="4"/>
  <c r="D38" i="4"/>
  <c r="D7" i="4"/>
  <c r="D8" i="4"/>
  <c r="D9" i="4"/>
  <c r="D10" i="4"/>
  <c r="D11" i="4"/>
  <c r="D12" i="4"/>
  <c r="D30" i="4"/>
  <c r="D31" i="4"/>
  <c r="D32" i="4"/>
  <c r="D33" i="4"/>
  <c r="D34" i="4"/>
  <c r="BX1" i="7"/>
  <c r="D5" i="4"/>
  <c r="N5" i="4"/>
  <c r="M7" i="5" s="1"/>
  <c r="D24" i="4"/>
  <c r="N24" i="4"/>
  <c r="A383" i="2"/>
  <c r="A382" i="2"/>
  <c r="A380" i="2"/>
  <c r="A168" i="2"/>
  <c r="A171" i="2"/>
  <c r="D13" i="4"/>
  <c r="D14" i="4"/>
  <c r="D15" i="4"/>
  <c r="D16" i="4"/>
  <c r="D17" i="4"/>
  <c r="D18" i="4"/>
  <c r="D2" i="4"/>
  <c r="M4" i="5"/>
  <c r="D3" i="4"/>
  <c r="N3" i="4"/>
  <c r="M5" i="5" s="1"/>
  <c r="D4" i="4"/>
  <c r="N4" i="4"/>
  <c r="M6" i="5" s="1"/>
  <c r="D46" i="4"/>
  <c r="D47" i="4"/>
  <c r="D48" i="4"/>
  <c r="D49" i="4"/>
  <c r="D50" i="4"/>
  <c r="D51" i="4"/>
  <c r="D52" i="4"/>
  <c r="D53" i="4"/>
  <c r="D54" i="4"/>
  <c r="D55" i="4"/>
  <c r="D56" i="4"/>
  <c r="B56" i="4"/>
  <c r="D57" i="4"/>
  <c r="B57" i="4"/>
  <c r="D58" i="4"/>
  <c r="B58" i="4"/>
  <c r="D59" i="4"/>
  <c r="B59" i="4"/>
  <c r="D60" i="4"/>
  <c r="B60" i="4"/>
  <c r="D61" i="4"/>
  <c r="B61" i="4"/>
  <c r="D62" i="4"/>
  <c r="B62" i="4"/>
  <c r="D63" i="4"/>
  <c r="B63" i="4"/>
  <c r="D64" i="4"/>
  <c r="B64" i="4"/>
  <c r="D65" i="4"/>
  <c r="B65" i="4"/>
  <c r="D66" i="4"/>
  <c r="B66" i="4"/>
  <c r="D67" i="4"/>
  <c r="B67" i="4"/>
  <c r="D68" i="4"/>
  <c r="B68" i="4"/>
  <c r="D69" i="4"/>
  <c r="B69" i="4"/>
  <c r="D70" i="4"/>
  <c r="B70" i="4"/>
  <c r="D71" i="4"/>
  <c r="B71" i="4"/>
  <c r="D72" i="4"/>
  <c r="B72" i="4"/>
  <c r="D73" i="4"/>
  <c r="B73" i="4"/>
  <c r="D74" i="4"/>
  <c r="B74" i="4"/>
  <c r="D75" i="4"/>
  <c r="B75" i="4"/>
  <c r="D76" i="4"/>
  <c r="B76" i="4"/>
  <c r="D77" i="4"/>
  <c r="B77" i="4"/>
  <c r="D78" i="4"/>
  <c r="B78" i="4"/>
  <c r="D79" i="4"/>
  <c r="B79" i="4"/>
  <c r="D80" i="4"/>
  <c r="B80" i="4"/>
  <c r="D81" i="4"/>
  <c r="B81" i="4"/>
  <c r="D82" i="4"/>
  <c r="B82" i="4"/>
  <c r="D83" i="4"/>
  <c r="B83" i="4"/>
  <c r="D84" i="4"/>
  <c r="B84" i="4"/>
  <c r="D85" i="4"/>
  <c r="B85" i="4"/>
  <c r="D86" i="4"/>
  <c r="B86" i="4"/>
  <c r="D87" i="4"/>
  <c r="B87" i="4"/>
  <c r="D88" i="4"/>
  <c r="B88" i="4"/>
  <c r="D89" i="4"/>
  <c r="B89" i="4"/>
  <c r="D90" i="4"/>
  <c r="B90" i="4"/>
  <c r="D91" i="4"/>
  <c r="B91" i="4"/>
  <c r="D92" i="4"/>
  <c r="B92" i="4"/>
  <c r="D93" i="4"/>
  <c r="B93" i="4"/>
  <c r="D94" i="4"/>
  <c r="B94" i="4"/>
  <c r="D95" i="4"/>
  <c r="B95" i="4"/>
  <c r="D96" i="4"/>
  <c r="B96" i="4"/>
  <c r="D97" i="4"/>
  <c r="B97" i="4"/>
  <c r="D98" i="4"/>
  <c r="B98" i="4"/>
  <c r="D99" i="4"/>
  <c r="B99" i="4"/>
  <c r="D100" i="4"/>
  <c r="B100" i="4"/>
  <c r="D101" i="4"/>
  <c r="B101" i="4"/>
  <c r="D102" i="4"/>
  <c r="B102" i="4"/>
  <c r="D103" i="4"/>
  <c r="B103" i="4"/>
  <c r="D104" i="4"/>
  <c r="B104" i="4"/>
  <c r="D105" i="4"/>
  <c r="B105" i="4"/>
  <c r="D106" i="4"/>
  <c r="B106" i="4"/>
  <c r="D107" i="4"/>
  <c r="B107" i="4"/>
  <c r="D108" i="4"/>
  <c r="B108" i="4"/>
  <c r="D109" i="4"/>
  <c r="B109" i="4"/>
  <c r="D110" i="4"/>
  <c r="B110" i="4"/>
  <c r="D111" i="4"/>
  <c r="B111" i="4"/>
  <c r="D112" i="4"/>
  <c r="B112" i="4"/>
  <c r="D113" i="4"/>
  <c r="B113" i="4"/>
  <c r="D114" i="4"/>
  <c r="B114" i="4"/>
  <c r="D115" i="4"/>
  <c r="B115" i="4"/>
  <c r="D116" i="4"/>
  <c r="B116" i="4"/>
  <c r="D117" i="4"/>
  <c r="B117" i="4"/>
  <c r="D118" i="4"/>
  <c r="B118" i="4"/>
  <c r="D119" i="4"/>
  <c r="B119" i="4"/>
  <c r="D120" i="4"/>
  <c r="B120" i="4"/>
  <c r="D121" i="4"/>
  <c r="B121" i="4"/>
  <c r="D122" i="4"/>
  <c r="B122" i="4"/>
  <c r="D123" i="4"/>
  <c r="B123" i="4"/>
  <c r="D124" i="4"/>
  <c r="B124" i="4"/>
  <c r="D125" i="4"/>
  <c r="B125" i="4"/>
  <c r="D126" i="4"/>
  <c r="B126" i="4"/>
  <c r="D127" i="4"/>
  <c r="B127" i="4"/>
  <c r="D128" i="4"/>
  <c r="B128" i="4"/>
  <c r="D129" i="4"/>
  <c r="B129" i="4"/>
  <c r="D130" i="4"/>
  <c r="B130" i="4"/>
  <c r="D131" i="4"/>
  <c r="B131" i="4"/>
  <c r="D132" i="4"/>
  <c r="B132" i="4"/>
  <c r="D133" i="4"/>
  <c r="B133" i="4"/>
  <c r="D134" i="4"/>
  <c r="B134" i="4"/>
  <c r="D135" i="4"/>
  <c r="B135" i="4"/>
  <c r="D136" i="4"/>
  <c r="B136" i="4"/>
  <c r="D137" i="4"/>
  <c r="B137" i="4"/>
  <c r="D138" i="4"/>
  <c r="B138" i="4"/>
  <c r="D139" i="4"/>
  <c r="B139" i="4"/>
  <c r="D140" i="4"/>
  <c r="B140" i="4"/>
  <c r="D141" i="4"/>
  <c r="B141" i="4"/>
  <c r="D142" i="4"/>
  <c r="B142" i="4"/>
  <c r="D143" i="4"/>
  <c r="B143" i="4"/>
  <c r="D144" i="4"/>
  <c r="B144" i="4"/>
  <c r="D145" i="4"/>
  <c r="B145" i="4"/>
  <c r="D146" i="4"/>
  <c r="B146" i="4"/>
  <c r="D147" i="4"/>
  <c r="B147" i="4"/>
  <c r="D148" i="4"/>
  <c r="B148" i="4"/>
  <c r="D149" i="4"/>
  <c r="B149" i="4"/>
  <c r="D150" i="4"/>
  <c r="B150" i="4"/>
  <c r="D151" i="4"/>
  <c r="B151" i="4"/>
  <c r="D152" i="4"/>
  <c r="B152" i="4"/>
  <c r="D153" i="4"/>
  <c r="B153" i="4"/>
  <c r="D154" i="4"/>
  <c r="B154" i="4"/>
  <c r="D155" i="4"/>
  <c r="B155" i="4"/>
  <c r="D156" i="4"/>
  <c r="B156" i="4"/>
  <c r="D157" i="4"/>
  <c r="B157" i="4"/>
  <c r="D158" i="4"/>
  <c r="B158" i="4"/>
  <c r="D159" i="4"/>
  <c r="B159" i="4"/>
  <c r="D160" i="4"/>
  <c r="B160" i="4"/>
  <c r="D161" i="4"/>
  <c r="B161" i="4"/>
  <c r="D162" i="4"/>
  <c r="B162" i="4"/>
  <c r="D163" i="4"/>
  <c r="B163" i="4"/>
  <c r="D164" i="4"/>
  <c r="B164" i="4"/>
  <c r="D165" i="4"/>
  <c r="B165" i="4"/>
  <c r="D166" i="4"/>
  <c r="B166" i="4"/>
  <c r="D167" i="4"/>
  <c r="B167" i="4"/>
  <c r="D168" i="4"/>
  <c r="B168" i="4"/>
  <c r="D169" i="4"/>
  <c r="B169" i="4"/>
  <c r="D170" i="4"/>
  <c r="B170" i="4"/>
  <c r="D171" i="4"/>
  <c r="B171" i="4"/>
  <c r="D172" i="4"/>
  <c r="B172" i="4"/>
  <c r="D173" i="4"/>
  <c r="B173" i="4"/>
  <c r="D174" i="4"/>
  <c r="B174" i="4"/>
  <c r="D175" i="4"/>
  <c r="B175" i="4"/>
  <c r="D176" i="4"/>
  <c r="B176" i="4"/>
  <c r="D177" i="4"/>
  <c r="B177" i="4"/>
  <c r="D178" i="4"/>
  <c r="B178" i="4"/>
  <c r="D179" i="4"/>
  <c r="B179" i="4"/>
  <c r="D180" i="4"/>
  <c r="B180" i="4"/>
  <c r="D181" i="4"/>
  <c r="B181" i="4"/>
  <c r="D182" i="4"/>
  <c r="B182" i="4"/>
  <c r="D183" i="4"/>
  <c r="B183" i="4"/>
  <c r="D184" i="4"/>
  <c r="B184" i="4"/>
  <c r="D185" i="4"/>
  <c r="B185" i="4"/>
  <c r="D186" i="4"/>
  <c r="B186" i="4"/>
  <c r="D187" i="4"/>
  <c r="B187" i="4"/>
  <c r="D188" i="4"/>
  <c r="B188" i="4"/>
  <c r="D189" i="4"/>
  <c r="B189" i="4"/>
  <c r="D190" i="4"/>
  <c r="B190" i="4"/>
  <c r="D191" i="4"/>
  <c r="B191" i="4"/>
  <c r="D192" i="4"/>
  <c r="B192" i="4"/>
  <c r="D193" i="4"/>
  <c r="B193" i="4"/>
  <c r="D194" i="4"/>
  <c r="B194" i="4"/>
  <c r="D195" i="4"/>
  <c r="B195" i="4"/>
  <c r="D196" i="4"/>
  <c r="B196" i="4"/>
  <c r="D197" i="4"/>
  <c r="B197" i="4"/>
  <c r="D198" i="4"/>
  <c r="B198" i="4"/>
  <c r="D199" i="4"/>
  <c r="B199" i="4"/>
  <c r="D200" i="4"/>
  <c r="B200" i="4"/>
  <c r="D201" i="4"/>
  <c r="B201" i="4"/>
  <c r="D202" i="4"/>
  <c r="B202" i="4"/>
  <c r="D203" i="4"/>
  <c r="B203" i="4"/>
  <c r="D204" i="4"/>
  <c r="B204" i="4"/>
  <c r="D205" i="4"/>
  <c r="B205" i="4"/>
  <c r="D206" i="4"/>
  <c r="B206" i="4"/>
  <c r="D207" i="4"/>
  <c r="B207" i="4"/>
  <c r="D208" i="4"/>
  <c r="B208" i="4"/>
  <c r="D209" i="4"/>
  <c r="B209" i="4"/>
  <c r="D210" i="4"/>
  <c r="B210" i="4"/>
  <c r="D211" i="4"/>
  <c r="B211" i="4"/>
  <c r="D212" i="4"/>
  <c r="B212" i="4"/>
  <c r="D213" i="4"/>
  <c r="B213" i="4"/>
  <c r="D214" i="4"/>
  <c r="B214" i="4"/>
  <c r="D215" i="4"/>
  <c r="B215" i="4"/>
  <c r="D216" i="4"/>
  <c r="B216" i="4"/>
  <c r="D217" i="4"/>
  <c r="B217" i="4"/>
  <c r="D218" i="4"/>
  <c r="B218" i="4"/>
  <c r="D219" i="4"/>
  <c r="B219" i="4"/>
  <c r="D220" i="4"/>
  <c r="B220" i="4"/>
  <c r="D221" i="4"/>
  <c r="B221" i="4"/>
  <c r="D222" i="4"/>
  <c r="B222" i="4"/>
  <c r="D223" i="4"/>
  <c r="B223" i="4"/>
  <c r="D224" i="4"/>
  <c r="B224" i="4"/>
  <c r="D225" i="4"/>
  <c r="B225" i="4"/>
  <c r="D226" i="4"/>
  <c r="B226" i="4"/>
  <c r="D227" i="4"/>
  <c r="B227" i="4"/>
  <c r="D228" i="4"/>
  <c r="B228" i="4"/>
  <c r="D229" i="4"/>
  <c r="B229" i="4"/>
  <c r="D230" i="4"/>
  <c r="B230" i="4"/>
  <c r="D231" i="4"/>
  <c r="B231" i="4"/>
  <c r="D232" i="4"/>
  <c r="B232" i="4"/>
  <c r="D233" i="4"/>
  <c r="B233" i="4"/>
  <c r="D234" i="4"/>
  <c r="B234" i="4"/>
  <c r="D235" i="4"/>
  <c r="B235" i="4"/>
  <c r="D236" i="4"/>
  <c r="B236" i="4"/>
  <c r="D237" i="4"/>
  <c r="B237" i="4"/>
  <c r="D238" i="4"/>
  <c r="B238" i="4"/>
  <c r="D239" i="4"/>
  <c r="B239" i="4"/>
  <c r="D240" i="4"/>
  <c r="B240" i="4"/>
  <c r="D241" i="4"/>
  <c r="B241" i="4"/>
  <c r="D242" i="4"/>
  <c r="B242" i="4"/>
  <c r="D243" i="4"/>
  <c r="B243" i="4"/>
  <c r="D244" i="4"/>
  <c r="B244" i="4"/>
  <c r="D245" i="4"/>
  <c r="B245" i="4"/>
  <c r="D246" i="4"/>
  <c r="B246" i="4"/>
  <c r="D247" i="4"/>
  <c r="B247" i="4"/>
  <c r="D248" i="4"/>
  <c r="B248" i="4"/>
  <c r="D249" i="4"/>
  <c r="B249" i="4"/>
  <c r="D250" i="4"/>
  <c r="B250" i="4"/>
  <c r="D251" i="4"/>
  <c r="B251" i="4"/>
  <c r="D252" i="4"/>
  <c r="B252" i="4"/>
  <c r="D253" i="4"/>
  <c r="B253" i="4"/>
  <c r="D254" i="4"/>
  <c r="B254" i="4"/>
  <c r="D255" i="4"/>
  <c r="B255" i="4"/>
  <c r="D256" i="4"/>
  <c r="B256" i="4"/>
  <c r="D257" i="4"/>
  <c r="B257" i="4"/>
  <c r="D258" i="4"/>
  <c r="B258" i="4"/>
  <c r="D259" i="4"/>
  <c r="B259" i="4"/>
  <c r="D260" i="4"/>
  <c r="B260" i="4"/>
  <c r="D261" i="4"/>
  <c r="B261" i="4"/>
  <c r="D262" i="4"/>
  <c r="B262" i="4"/>
  <c r="D263" i="4"/>
  <c r="B263" i="4"/>
  <c r="D264" i="4"/>
  <c r="B264" i="4"/>
  <c r="D265" i="4"/>
  <c r="B265" i="4"/>
  <c r="D266" i="4"/>
  <c r="B266" i="4"/>
  <c r="D267" i="4"/>
  <c r="B267" i="4"/>
  <c r="D268" i="4"/>
  <c r="B268" i="4"/>
  <c r="D269" i="4"/>
  <c r="B269" i="4"/>
  <c r="D270" i="4"/>
  <c r="B270" i="4"/>
  <c r="D271" i="4"/>
  <c r="B271" i="4"/>
  <c r="D272" i="4"/>
  <c r="B272" i="4"/>
  <c r="D273" i="4"/>
  <c r="B273" i="4"/>
  <c r="D274" i="4"/>
  <c r="B274" i="4"/>
  <c r="D275" i="4"/>
  <c r="B275" i="4"/>
  <c r="D276" i="4"/>
  <c r="B276" i="4"/>
  <c r="D277" i="4"/>
  <c r="B277" i="4"/>
  <c r="D278" i="4"/>
  <c r="B278" i="4"/>
  <c r="D279" i="4"/>
  <c r="B279" i="4"/>
  <c r="D280" i="4"/>
  <c r="B280" i="4"/>
  <c r="D281" i="4"/>
  <c r="B281" i="4"/>
  <c r="D282" i="4"/>
  <c r="B282" i="4"/>
  <c r="D283" i="4"/>
  <c r="B283" i="4"/>
  <c r="D284" i="4"/>
  <c r="B284" i="4"/>
  <c r="D285" i="4"/>
  <c r="B285" i="4"/>
  <c r="D286" i="4"/>
  <c r="B286" i="4"/>
  <c r="D287" i="4"/>
  <c r="B287" i="4"/>
  <c r="D288" i="4"/>
  <c r="B288" i="4"/>
  <c r="D289" i="4"/>
  <c r="B289" i="4"/>
  <c r="D290" i="4"/>
  <c r="B290" i="4"/>
  <c r="D291" i="4"/>
  <c r="B291" i="4"/>
  <c r="D292" i="4"/>
  <c r="B292" i="4"/>
  <c r="D293" i="4"/>
  <c r="B293" i="4"/>
  <c r="D294" i="4"/>
  <c r="B294" i="4"/>
  <c r="D295" i="4"/>
  <c r="B295" i="4"/>
  <c r="D296" i="4"/>
  <c r="B296" i="4"/>
  <c r="D297" i="4"/>
  <c r="B297" i="4"/>
  <c r="D298" i="4"/>
  <c r="B298" i="4"/>
  <c r="D299" i="4"/>
  <c r="B299" i="4"/>
  <c r="D300" i="4"/>
  <c r="B300" i="4"/>
  <c r="D301" i="4"/>
  <c r="B301" i="4"/>
  <c r="D302" i="4"/>
  <c r="B302" i="4"/>
  <c r="D303" i="4"/>
  <c r="B303" i="4"/>
  <c r="D304" i="4"/>
  <c r="B304" i="4"/>
  <c r="D305" i="4"/>
  <c r="B305" i="4"/>
  <c r="D306" i="4"/>
  <c r="B306" i="4"/>
  <c r="D307" i="4"/>
  <c r="B307" i="4"/>
  <c r="D308" i="4"/>
  <c r="B308" i="4"/>
  <c r="D309" i="4"/>
  <c r="B309" i="4"/>
  <c r="D310" i="4"/>
  <c r="B310" i="4"/>
  <c r="D311" i="4"/>
  <c r="B311" i="4"/>
  <c r="D312" i="4"/>
  <c r="B312" i="4"/>
  <c r="D313" i="4"/>
  <c r="B313" i="4"/>
  <c r="D314" i="4"/>
  <c r="B314" i="4"/>
  <c r="D315" i="4"/>
  <c r="B315" i="4"/>
  <c r="D316" i="4"/>
  <c r="B316" i="4"/>
  <c r="D317" i="4"/>
  <c r="B317" i="4"/>
  <c r="D318" i="4"/>
  <c r="B318" i="4"/>
  <c r="D319" i="4"/>
  <c r="B319" i="4"/>
  <c r="D320" i="4"/>
  <c r="B320" i="4"/>
  <c r="D321" i="4"/>
  <c r="B321" i="4"/>
  <c r="D322" i="4"/>
  <c r="B322" i="4"/>
  <c r="D323" i="4"/>
  <c r="B323" i="4"/>
  <c r="D324" i="4"/>
  <c r="B324" i="4"/>
  <c r="D325" i="4"/>
  <c r="B325" i="4"/>
  <c r="D326" i="4"/>
  <c r="B326" i="4"/>
  <c r="D327" i="4"/>
  <c r="B327" i="4"/>
  <c r="D328" i="4"/>
  <c r="B328" i="4"/>
  <c r="D329" i="4"/>
  <c r="B329" i="4"/>
  <c r="D330" i="4"/>
  <c r="B330" i="4"/>
  <c r="D331" i="4"/>
  <c r="B331" i="4"/>
  <c r="D332" i="4"/>
  <c r="B332" i="4"/>
  <c r="D333" i="4"/>
  <c r="B333" i="4"/>
  <c r="D334" i="4"/>
  <c r="B334" i="4"/>
  <c r="D335" i="4"/>
  <c r="B335" i="4"/>
  <c r="D336" i="4"/>
  <c r="B336" i="4"/>
  <c r="D337" i="4"/>
  <c r="B337" i="4"/>
  <c r="D338" i="4"/>
  <c r="B338" i="4"/>
  <c r="D339" i="4"/>
  <c r="B339" i="4"/>
  <c r="D340" i="4"/>
  <c r="B340" i="4"/>
  <c r="D341" i="4"/>
  <c r="B341" i="4"/>
  <c r="D342" i="4"/>
  <c r="B342" i="4"/>
  <c r="D343" i="4"/>
  <c r="B343" i="4"/>
  <c r="D344" i="4"/>
  <c r="B344" i="4"/>
  <c r="D345" i="4"/>
  <c r="B345" i="4"/>
  <c r="D346" i="4"/>
  <c r="B346" i="4"/>
  <c r="D347" i="4"/>
  <c r="B347" i="4"/>
  <c r="D348" i="4"/>
  <c r="B348" i="4"/>
  <c r="D349" i="4"/>
  <c r="B349" i="4"/>
  <c r="D350" i="4"/>
  <c r="B350" i="4"/>
  <c r="D351" i="4"/>
  <c r="B351" i="4"/>
  <c r="D352" i="4"/>
  <c r="B352" i="4"/>
  <c r="D353" i="4"/>
  <c r="B353" i="4"/>
  <c r="D354" i="4"/>
  <c r="B354" i="4"/>
  <c r="D355" i="4"/>
  <c r="B355" i="4"/>
  <c r="D356" i="4"/>
  <c r="B356" i="4"/>
  <c r="D357" i="4"/>
  <c r="B357" i="4"/>
  <c r="D358" i="4"/>
  <c r="B358" i="4"/>
  <c r="D359" i="4"/>
  <c r="B359" i="4"/>
  <c r="D360" i="4"/>
  <c r="B360" i="4"/>
  <c r="D361" i="4"/>
  <c r="B361" i="4"/>
  <c r="D362" i="4"/>
  <c r="B362" i="4"/>
  <c r="D363" i="4"/>
  <c r="B363" i="4"/>
  <c r="D364" i="4"/>
  <c r="B364" i="4"/>
  <c r="D365" i="4"/>
  <c r="B365" i="4"/>
  <c r="D366" i="4"/>
  <c r="B366" i="4"/>
  <c r="D367" i="4"/>
  <c r="B367" i="4"/>
  <c r="D368" i="4"/>
  <c r="B368" i="4"/>
  <c r="D369" i="4"/>
  <c r="B369" i="4"/>
  <c r="D370" i="4"/>
  <c r="B370" i="4"/>
  <c r="D371" i="4"/>
  <c r="B371" i="4"/>
  <c r="D372" i="4"/>
  <c r="B372" i="4"/>
  <c r="D373" i="4"/>
  <c r="B373" i="4"/>
  <c r="D374" i="4"/>
  <c r="B374" i="4"/>
  <c r="D375" i="4"/>
  <c r="B375" i="4"/>
  <c r="D376" i="4"/>
  <c r="B376" i="4"/>
  <c r="D377" i="4"/>
  <c r="B377" i="4"/>
  <c r="D378" i="4"/>
  <c r="B378" i="4"/>
  <c r="D379" i="4"/>
  <c r="B379" i="4"/>
  <c r="D380" i="4"/>
  <c r="B380" i="4"/>
  <c r="D381" i="4"/>
  <c r="B381" i="4"/>
  <c r="D382" i="4"/>
  <c r="B382" i="4"/>
  <c r="D383" i="4"/>
  <c r="B383" i="4"/>
  <c r="D384" i="4"/>
  <c r="B384" i="4"/>
  <c r="D385" i="4"/>
  <c r="B385" i="4"/>
  <c r="D386" i="4"/>
  <c r="B386" i="4"/>
  <c r="D387" i="4"/>
  <c r="B387" i="4"/>
  <c r="D388" i="4"/>
  <c r="B388" i="4"/>
  <c r="D389" i="4"/>
  <c r="B389" i="4"/>
  <c r="D390" i="4"/>
  <c r="B390" i="4"/>
  <c r="D391" i="4"/>
  <c r="B391" i="4"/>
  <c r="D392" i="4"/>
  <c r="B392" i="4"/>
  <c r="D393" i="4"/>
  <c r="B393" i="4"/>
  <c r="D394" i="4"/>
  <c r="B394" i="4"/>
  <c r="D395" i="4"/>
  <c r="B395" i="4"/>
  <c r="D396" i="4"/>
  <c r="B396" i="4"/>
  <c r="D397" i="4"/>
  <c r="B397" i="4"/>
  <c r="D398" i="4"/>
  <c r="B398" i="4"/>
  <c r="D399" i="4"/>
  <c r="B399" i="4"/>
  <c r="D400" i="4"/>
  <c r="B400" i="4"/>
  <c r="D401" i="4"/>
  <c r="B401" i="4"/>
  <c r="D402" i="4"/>
  <c r="B402" i="4"/>
  <c r="D403" i="4"/>
  <c r="B403" i="4"/>
  <c r="D404" i="4"/>
  <c r="B404" i="4"/>
  <c r="D405" i="4"/>
  <c r="B405" i="4"/>
  <c r="D406" i="4"/>
  <c r="B406" i="4"/>
  <c r="D407" i="4"/>
  <c r="B407" i="4"/>
  <c r="D408" i="4"/>
  <c r="B408" i="4"/>
  <c r="D409" i="4"/>
  <c r="B409" i="4"/>
  <c r="D410" i="4"/>
  <c r="B410" i="4"/>
  <c r="D411" i="4"/>
  <c r="B411" i="4"/>
  <c r="D412" i="4"/>
  <c r="B412" i="4"/>
  <c r="D413" i="4"/>
  <c r="B413" i="4"/>
  <c r="D414" i="4"/>
  <c r="B414" i="4"/>
  <c r="D415" i="4"/>
  <c r="B415" i="4"/>
  <c r="D416" i="4"/>
  <c r="B416" i="4"/>
  <c r="D417" i="4"/>
  <c r="B417" i="4"/>
  <c r="D418" i="4"/>
  <c r="B418" i="4"/>
  <c r="D419" i="4"/>
  <c r="B419" i="4"/>
  <c r="D420" i="4"/>
  <c r="B420" i="4"/>
  <c r="D421" i="4"/>
  <c r="B421" i="4"/>
  <c r="D422" i="4"/>
  <c r="B422" i="4"/>
  <c r="D423" i="4"/>
  <c r="B423" i="4"/>
  <c r="D424" i="4"/>
  <c r="B424" i="4"/>
  <c r="D425" i="4"/>
  <c r="B425" i="4"/>
  <c r="D426" i="4"/>
  <c r="B426" i="4"/>
  <c r="D427" i="4"/>
  <c r="B427" i="4"/>
  <c r="D428" i="4"/>
  <c r="B428" i="4"/>
  <c r="D429" i="4"/>
  <c r="B429" i="4"/>
  <c r="D430" i="4"/>
  <c r="B430" i="4"/>
  <c r="D431" i="4"/>
  <c r="B431" i="4"/>
  <c r="D432" i="4"/>
  <c r="B432" i="4"/>
  <c r="D433" i="4"/>
  <c r="B433" i="4"/>
  <c r="D434" i="4"/>
  <c r="B434" i="4"/>
  <c r="D435" i="4"/>
  <c r="B435" i="4"/>
  <c r="D436" i="4"/>
  <c r="B436" i="4"/>
  <c r="D437" i="4"/>
  <c r="B437" i="4"/>
  <c r="D438" i="4"/>
  <c r="B438" i="4"/>
  <c r="D439" i="4"/>
  <c r="B439" i="4"/>
  <c r="D440" i="4"/>
  <c r="B440" i="4"/>
  <c r="D441" i="4"/>
  <c r="B441" i="4"/>
  <c r="D442" i="4"/>
  <c r="B442" i="4"/>
  <c r="D443" i="4"/>
  <c r="B443" i="4"/>
  <c r="D444" i="4"/>
  <c r="B444" i="4"/>
  <c r="D445" i="4"/>
  <c r="B445" i="4"/>
  <c r="D446" i="4"/>
  <c r="B446" i="4"/>
  <c r="D447" i="4"/>
  <c r="B447" i="4"/>
  <c r="D448" i="4"/>
  <c r="B448" i="4"/>
  <c r="D449" i="4"/>
  <c r="B449" i="4"/>
  <c r="D450" i="4"/>
  <c r="B450" i="4"/>
  <c r="D451" i="4"/>
  <c r="B451" i="4"/>
  <c r="D452" i="4"/>
  <c r="B452" i="4"/>
  <c r="D453" i="4"/>
  <c r="B453" i="4"/>
  <c r="D454" i="4"/>
  <c r="B454" i="4"/>
  <c r="D455" i="4"/>
  <c r="B455" i="4"/>
  <c r="D456" i="4"/>
  <c r="B456" i="4"/>
  <c r="D457" i="4"/>
  <c r="B457" i="4"/>
  <c r="D458" i="4"/>
  <c r="B458" i="4"/>
  <c r="D459" i="4"/>
  <c r="B459" i="4"/>
  <c r="D460" i="4"/>
  <c r="B460" i="4"/>
  <c r="D461" i="4"/>
  <c r="B461" i="4"/>
  <c r="D462" i="4"/>
  <c r="B462" i="4"/>
  <c r="D463" i="4"/>
  <c r="B463" i="4"/>
  <c r="D464" i="4"/>
  <c r="B464" i="4"/>
  <c r="D465" i="4"/>
  <c r="B465" i="4"/>
  <c r="D466" i="4"/>
  <c r="B466" i="4"/>
  <c r="D467" i="4"/>
  <c r="B467" i="4"/>
  <c r="D468" i="4"/>
  <c r="B468" i="4"/>
  <c r="D469" i="4"/>
  <c r="B469" i="4"/>
  <c r="D470" i="4"/>
  <c r="B470" i="4"/>
  <c r="D471" i="4"/>
  <c r="B471" i="4"/>
  <c r="D472" i="4"/>
  <c r="B472" i="4"/>
  <c r="D473" i="4"/>
  <c r="B473" i="4"/>
  <c r="D474" i="4"/>
  <c r="B474" i="4"/>
  <c r="D475" i="4"/>
  <c r="B475" i="4"/>
  <c r="D476" i="4"/>
  <c r="B476" i="4"/>
  <c r="D477" i="4"/>
  <c r="B477" i="4"/>
  <c r="D478" i="4"/>
  <c r="B478" i="4"/>
  <c r="D479" i="4"/>
  <c r="B479" i="4"/>
  <c r="D480" i="4"/>
  <c r="B480" i="4"/>
  <c r="D481" i="4"/>
  <c r="B481" i="4"/>
  <c r="D482" i="4"/>
  <c r="B482" i="4"/>
  <c r="D483" i="4"/>
  <c r="B483" i="4"/>
  <c r="D484" i="4"/>
  <c r="B484" i="4"/>
  <c r="D485" i="4"/>
  <c r="B485" i="4"/>
  <c r="D486" i="4"/>
  <c r="B486" i="4"/>
  <c r="D487" i="4"/>
  <c r="B487" i="4"/>
  <c r="D488" i="4"/>
  <c r="B488" i="4"/>
  <c r="D489" i="4"/>
  <c r="B489" i="4"/>
  <c r="D490" i="4"/>
  <c r="B490" i="4"/>
  <c r="D491" i="4"/>
  <c r="B491" i="4"/>
  <c r="D492" i="4"/>
  <c r="B492" i="4"/>
  <c r="D493" i="4"/>
  <c r="B493" i="4"/>
  <c r="D494" i="4"/>
  <c r="B494" i="4"/>
  <c r="D495" i="4"/>
  <c r="B495" i="4"/>
  <c r="D496" i="4"/>
  <c r="B496" i="4"/>
  <c r="D497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9" i="2"/>
  <c r="A170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1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K11" i="3"/>
  <c r="K13" i="3"/>
  <c r="K12" i="3"/>
  <c r="K14" i="3"/>
  <c r="K15" i="3"/>
  <c r="K16" i="3"/>
  <c r="K17" i="3"/>
  <c r="K19" i="3"/>
  <c r="K18" i="3"/>
  <c r="K21" i="3"/>
  <c r="K20" i="3"/>
  <c r="K22" i="3"/>
  <c r="K23" i="3"/>
  <c r="M4" i="4" l="1"/>
  <c r="M3" i="4"/>
  <c r="M24" i="4"/>
  <c r="M5" i="4"/>
  <c r="M34" i="4"/>
  <c r="M33" i="4"/>
  <c r="M32" i="4"/>
  <c r="M31" i="4"/>
  <c r="M30" i="4"/>
  <c r="M38" i="4"/>
  <c r="M37" i="4"/>
  <c r="M36" i="4"/>
  <c r="M35" i="4"/>
  <c r="M23" i="4"/>
  <c r="M22" i="4"/>
  <c r="M21" i="4"/>
  <c r="M20" i="4"/>
  <c r="M19" i="4"/>
  <c r="M29" i="4"/>
  <c r="M28" i="4"/>
  <c r="M27" i="4"/>
  <c r="M26" i="4"/>
  <c r="M25" i="4"/>
  <c r="H45" i="4"/>
  <c r="M44" i="4"/>
  <c r="H43" i="4"/>
  <c r="M42" i="4"/>
  <c r="H41" i="4"/>
  <c r="M40" i="4"/>
  <c r="H39" i="4"/>
  <c r="B55" i="4"/>
  <c r="I57" i="5" s="1"/>
  <c r="K45" i="4"/>
  <c r="K43" i="4"/>
  <c r="Q43" i="4" s="1"/>
  <c r="K41" i="4"/>
  <c r="K39" i="4"/>
  <c r="Q39" i="4" s="1"/>
  <c r="H44" i="4"/>
  <c r="H42" i="4"/>
  <c r="H40" i="4"/>
  <c r="M45" i="4"/>
  <c r="M43" i="4"/>
  <c r="M41" i="4"/>
  <c r="M39" i="4"/>
  <c r="K44" i="4"/>
  <c r="Q44" i="4" s="1"/>
  <c r="K42" i="4"/>
  <c r="K40" i="4"/>
  <c r="M6" i="4"/>
  <c r="K6" i="4"/>
  <c r="J55" i="7"/>
  <c r="J53" i="7"/>
  <c r="J56" i="7"/>
  <c r="J54" i="7"/>
  <c r="J51" i="7"/>
  <c r="J49" i="7"/>
  <c r="J47" i="7"/>
  <c r="J45" i="7"/>
  <c r="J52" i="7"/>
  <c r="J50" i="7"/>
  <c r="J48" i="7"/>
  <c r="J46" i="7"/>
  <c r="F56" i="7"/>
  <c r="F54" i="7"/>
  <c r="F55" i="7"/>
  <c r="F53" i="7"/>
  <c r="F51" i="7"/>
  <c r="F49" i="7"/>
  <c r="F47" i="7"/>
  <c r="F45" i="7"/>
  <c r="F52" i="7"/>
  <c r="F50" i="7"/>
  <c r="F48" i="7"/>
  <c r="F46" i="7"/>
  <c r="B54" i="4"/>
  <c r="I56" i="5" s="1"/>
  <c r="B53" i="4"/>
  <c r="I55" i="5" s="1"/>
  <c r="B52" i="4"/>
  <c r="I54" i="5" s="1"/>
  <c r="B51" i="4"/>
  <c r="I53" i="5" s="1"/>
  <c r="B50" i="4"/>
  <c r="I52" i="5" s="1"/>
  <c r="Q40" i="4"/>
  <c r="H24" i="4"/>
  <c r="C24" i="4" s="1"/>
  <c r="H34" i="4"/>
  <c r="C34" i="4" s="1"/>
  <c r="H32" i="4"/>
  <c r="C32" i="4" s="1"/>
  <c r="H30" i="4"/>
  <c r="C30" i="4" s="1"/>
  <c r="H33" i="4"/>
  <c r="C33" i="4" s="1"/>
  <c r="H31" i="4"/>
  <c r="C31" i="4" s="1"/>
  <c r="H29" i="4"/>
  <c r="C29" i="4" s="1"/>
  <c r="H28" i="4"/>
  <c r="C28" i="4" s="1"/>
  <c r="H27" i="4"/>
  <c r="C27" i="4" s="1"/>
  <c r="H26" i="4"/>
  <c r="C26" i="4" s="1"/>
  <c r="H25" i="4"/>
  <c r="C25" i="4" s="1"/>
  <c r="P39" i="4"/>
  <c r="E28" i="5" s="1"/>
  <c r="H18" i="4"/>
  <c r="C18" i="4" s="1"/>
  <c r="H5" i="4"/>
  <c r="C5" i="4" s="1"/>
  <c r="H11" i="4"/>
  <c r="C11" i="4" s="1"/>
  <c r="H9" i="4"/>
  <c r="C9" i="4" s="1"/>
  <c r="H7" i="4"/>
  <c r="C7" i="4" s="1"/>
  <c r="H37" i="4"/>
  <c r="I37" i="4" s="1"/>
  <c r="H35" i="4"/>
  <c r="I35" i="4" s="1"/>
  <c r="I45" i="4"/>
  <c r="I43" i="4"/>
  <c r="H8" i="4"/>
  <c r="C8" i="4" s="1"/>
  <c r="H23" i="4"/>
  <c r="C23" i="4" s="1"/>
  <c r="H21" i="4"/>
  <c r="C21" i="4" s="1"/>
  <c r="H20" i="4"/>
  <c r="C20" i="4" s="1"/>
  <c r="H19" i="4"/>
  <c r="I19" i="4" s="1"/>
  <c r="Q45" i="4"/>
  <c r="I44" i="4"/>
  <c r="I42" i="4"/>
  <c r="C39" i="4"/>
  <c r="Q42" i="4"/>
  <c r="Q41" i="4"/>
  <c r="I40" i="4"/>
  <c r="H15" i="4"/>
  <c r="C15" i="4" s="1"/>
  <c r="E45" i="7"/>
  <c r="D45" i="7" s="1"/>
  <c r="H14" i="4"/>
  <c r="C14" i="4" s="1"/>
  <c r="P45" i="4"/>
  <c r="P43" i="4"/>
  <c r="P41" i="4"/>
  <c r="I41" i="4"/>
  <c r="P44" i="4"/>
  <c r="P42" i="4"/>
  <c r="P40" i="4"/>
  <c r="H13" i="4"/>
  <c r="I55" i="7"/>
  <c r="I51" i="7"/>
  <c r="P51" i="7" s="1"/>
  <c r="I53" i="7"/>
  <c r="I49" i="7"/>
  <c r="P49" i="7" s="1"/>
  <c r="I45" i="7"/>
  <c r="I56" i="7"/>
  <c r="I54" i="7"/>
  <c r="I52" i="7"/>
  <c r="I50" i="7"/>
  <c r="P50" i="7" s="1"/>
  <c r="I47" i="7"/>
  <c r="P47" i="7" s="1"/>
  <c r="O57" i="5"/>
  <c r="O56" i="5"/>
  <c r="O55" i="5"/>
  <c r="O54" i="5"/>
  <c r="O53" i="5"/>
  <c r="O52" i="5"/>
  <c r="O51" i="5"/>
  <c r="O50" i="5"/>
  <c r="O56" i="7"/>
  <c r="O55" i="7"/>
  <c r="O54" i="7"/>
  <c r="O53" i="7"/>
  <c r="O52" i="7"/>
  <c r="O51" i="7"/>
  <c r="O50" i="7"/>
  <c r="O49" i="7"/>
  <c r="O48" i="7"/>
  <c r="I48" i="7"/>
  <c r="P48" i="7" s="1"/>
  <c r="I46" i="7"/>
  <c r="P46" i="7" s="1"/>
  <c r="O49" i="5"/>
  <c r="O48" i="5"/>
  <c r="O47" i="7"/>
  <c r="O46" i="7"/>
  <c r="O45" i="7"/>
  <c r="I46" i="5"/>
  <c r="M26" i="5"/>
  <c r="B49" i="4"/>
  <c r="I51" i="5" s="1"/>
  <c r="B48" i="4"/>
  <c r="I50" i="5" s="1"/>
  <c r="B47" i="4"/>
  <c r="I49" i="5" s="1"/>
  <c r="M31" i="5"/>
  <c r="I47" i="5"/>
  <c r="I38" i="7"/>
  <c r="M39" i="5"/>
  <c r="M37" i="5"/>
  <c r="M35" i="5"/>
  <c r="M40" i="5"/>
  <c r="M38" i="5"/>
  <c r="M36" i="5"/>
  <c r="Q70" i="5"/>
  <c r="Q68" i="5"/>
  <c r="Q66" i="5"/>
  <c r="Q64" i="5"/>
  <c r="Q69" i="5"/>
  <c r="Q67" i="5"/>
  <c r="Q65" i="5"/>
  <c r="P63" i="5"/>
  <c r="P62" i="5"/>
  <c r="Q60" i="5"/>
  <c r="Q58" i="5"/>
  <c r="Q61" i="5"/>
  <c r="Q59" i="5"/>
  <c r="R70" i="5"/>
  <c r="R69" i="5"/>
  <c r="R68" i="5"/>
  <c r="R67" i="5"/>
  <c r="R66" i="5"/>
  <c r="R65" i="5"/>
  <c r="R64" i="5"/>
  <c r="Q63" i="5"/>
  <c r="Q62" i="5"/>
  <c r="R61" i="5"/>
  <c r="R60" i="5"/>
  <c r="R59" i="5"/>
  <c r="R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H3" i="4"/>
  <c r="H2" i="4"/>
  <c r="H35" i="7" s="1"/>
  <c r="H12" i="4"/>
  <c r="H10" i="4"/>
  <c r="I10" i="4" s="1"/>
  <c r="H38" i="4"/>
  <c r="H36" i="4"/>
  <c r="H16" i="4"/>
  <c r="P4" i="4"/>
  <c r="P17" i="4"/>
  <c r="M18" i="5"/>
  <c r="M16" i="5"/>
  <c r="M14" i="5"/>
  <c r="M19" i="5"/>
  <c r="K21" i="4"/>
  <c r="P29" i="4"/>
  <c r="P23" i="4"/>
  <c r="K5" i="4"/>
  <c r="O45" i="5"/>
  <c r="J45" i="5" s="1"/>
  <c r="K18" i="4"/>
  <c r="I41" i="5"/>
  <c r="M17" i="5"/>
  <c r="M15" i="5"/>
  <c r="M13" i="5"/>
  <c r="M11" i="5"/>
  <c r="M12" i="5"/>
  <c r="I42" i="5"/>
  <c r="M25" i="5"/>
  <c r="P33" i="4"/>
  <c r="M10" i="4"/>
  <c r="P31" i="4"/>
  <c r="K27" i="4"/>
  <c r="P28" i="4"/>
  <c r="B46" i="4"/>
  <c r="I48" i="5" s="1"/>
  <c r="O42" i="5"/>
  <c r="J42" i="5" s="1"/>
  <c r="O41" i="5"/>
  <c r="J41" i="5" s="1"/>
  <c r="O47" i="5"/>
  <c r="J47" i="5" s="1"/>
  <c r="O43" i="5"/>
  <c r="J43" i="5" s="1"/>
  <c r="P14" i="4"/>
  <c r="M18" i="4"/>
  <c r="K7" i="4"/>
  <c r="E7" i="4" s="1"/>
  <c r="E8" i="4" s="1"/>
  <c r="O46" i="5"/>
  <c r="J46" i="5" s="1"/>
  <c r="O44" i="5"/>
  <c r="J44" i="5" s="1"/>
  <c r="I45" i="5"/>
  <c r="I26" i="4"/>
  <c r="I31" i="4"/>
  <c r="M29" i="5"/>
  <c r="M33" i="5"/>
  <c r="H31" i="5"/>
  <c r="I20" i="4"/>
  <c r="I29" i="4"/>
  <c r="I25" i="4"/>
  <c r="I30" i="4"/>
  <c r="H17" i="5"/>
  <c r="M34" i="5"/>
  <c r="M32" i="5"/>
  <c r="M30" i="5"/>
  <c r="I43" i="5"/>
  <c r="M9" i="5"/>
  <c r="M27" i="5"/>
  <c r="I44" i="5"/>
  <c r="M10" i="5"/>
  <c r="M8" i="5"/>
  <c r="P18" i="4"/>
  <c r="K26" i="4"/>
  <c r="M28" i="5"/>
  <c r="H4" i="4"/>
  <c r="H17" i="4"/>
  <c r="H22" i="4"/>
  <c r="H38" i="5" s="1"/>
  <c r="K19" i="4"/>
  <c r="P7" i="4"/>
  <c r="K2" i="4"/>
  <c r="K17" i="4"/>
  <c r="K13" i="4"/>
  <c r="E13" i="4" s="1"/>
  <c r="M20" i="5"/>
  <c r="P13" i="4"/>
  <c r="K23" i="4"/>
  <c r="K22" i="4"/>
  <c r="K29" i="4"/>
  <c r="M2" i="4"/>
  <c r="K24" i="4"/>
  <c r="K34" i="4"/>
  <c r="K15" i="4"/>
  <c r="K14" i="4"/>
  <c r="K35" i="4"/>
  <c r="Q35" i="4" s="1"/>
  <c r="M8" i="4"/>
  <c r="P21" i="4"/>
  <c r="P19" i="4"/>
  <c r="M9" i="4"/>
  <c r="P9" i="4"/>
  <c r="M14" i="4"/>
  <c r="K25" i="4"/>
  <c r="K28" i="4"/>
  <c r="M15" i="4"/>
  <c r="K4" i="4"/>
  <c r="K30" i="4"/>
  <c r="P11" i="4"/>
  <c r="K12" i="4"/>
  <c r="K33" i="4"/>
  <c r="P10" i="4"/>
  <c r="O40" i="7"/>
  <c r="M16" i="4"/>
  <c r="K31" i="4"/>
  <c r="M12" i="4"/>
  <c r="K8" i="4"/>
  <c r="P38" i="4"/>
  <c r="P36" i="4"/>
  <c r="K36" i="4"/>
  <c r="K37" i="4"/>
  <c r="K10" i="4"/>
  <c r="M11" i="4"/>
  <c r="P27" i="4"/>
  <c r="P2" i="4"/>
  <c r="P20" i="4"/>
  <c r="P35" i="4"/>
  <c r="P32" i="4"/>
  <c r="P15" i="4"/>
  <c r="P24" i="4"/>
  <c r="P5" i="4"/>
  <c r="P8" i="4"/>
  <c r="P37" i="4"/>
  <c r="P25" i="4"/>
  <c r="P6" i="4"/>
  <c r="K38" i="4"/>
  <c r="M13" i="4"/>
  <c r="M17" i="4"/>
  <c r="P34" i="4"/>
  <c r="K32" i="4"/>
  <c r="P30" i="4"/>
  <c r="K11" i="4"/>
  <c r="K9" i="4"/>
  <c r="M7" i="4"/>
  <c r="P22" i="4"/>
  <c r="K20" i="4"/>
  <c r="P26" i="4"/>
  <c r="K3" i="4"/>
  <c r="P16" i="4"/>
  <c r="P3" i="4"/>
  <c r="K16" i="4"/>
  <c r="P12" i="4"/>
  <c r="S60" i="5" l="1"/>
  <c r="Q30" i="4"/>
  <c r="H11" i="5"/>
  <c r="I9" i="4"/>
  <c r="I34" i="4"/>
  <c r="I28" i="4"/>
  <c r="P51" i="5"/>
  <c r="Q51" i="5" s="1"/>
  <c r="J51" i="5"/>
  <c r="P53" i="5"/>
  <c r="Q53" i="5" s="1"/>
  <c r="J53" i="5"/>
  <c r="P55" i="5"/>
  <c r="J55" i="5"/>
  <c r="P57" i="5"/>
  <c r="J57" i="5"/>
  <c r="P50" i="5"/>
  <c r="Q50" i="5" s="1"/>
  <c r="J50" i="5"/>
  <c r="P52" i="5"/>
  <c r="Q52" i="5" s="1"/>
  <c r="J52" i="5"/>
  <c r="P54" i="5"/>
  <c r="Q54" i="5" s="1"/>
  <c r="J54" i="5"/>
  <c r="P56" i="5"/>
  <c r="Q56" i="5" s="1"/>
  <c r="J56" i="5"/>
  <c r="P48" i="5"/>
  <c r="J48" i="5"/>
  <c r="P49" i="5"/>
  <c r="Q49" i="5" s="1"/>
  <c r="J49" i="5"/>
  <c r="O25" i="7"/>
  <c r="N40" i="5"/>
  <c r="O40" i="5" s="1"/>
  <c r="O44" i="7"/>
  <c r="C6" i="4"/>
  <c r="H44" i="7"/>
  <c r="P45" i="7" s="1"/>
  <c r="I6" i="4"/>
  <c r="H40" i="5"/>
  <c r="I5" i="4"/>
  <c r="H5" i="5"/>
  <c r="I8" i="4"/>
  <c r="I24" i="4"/>
  <c r="E20" i="7"/>
  <c r="D20" i="7" s="1"/>
  <c r="N37" i="5"/>
  <c r="H33" i="7"/>
  <c r="H30" i="5"/>
  <c r="H9" i="5"/>
  <c r="I11" i="4"/>
  <c r="I32" i="4"/>
  <c r="I27" i="4"/>
  <c r="I7" i="4"/>
  <c r="H26" i="5"/>
  <c r="I18" i="4"/>
  <c r="I33" i="4"/>
  <c r="I21" i="4"/>
  <c r="H18" i="5"/>
  <c r="H13" i="7"/>
  <c r="H25" i="7"/>
  <c r="N39" i="5"/>
  <c r="O39" i="5" s="1"/>
  <c r="H36" i="5"/>
  <c r="N38" i="5"/>
  <c r="O38" i="5" s="1"/>
  <c r="I15" i="4"/>
  <c r="I3" i="4"/>
  <c r="I14" i="4"/>
  <c r="H14" i="7"/>
  <c r="C45" i="4"/>
  <c r="H16" i="5"/>
  <c r="H34" i="7"/>
  <c r="H43" i="7"/>
  <c r="C37" i="4"/>
  <c r="H42" i="7"/>
  <c r="H23" i="7"/>
  <c r="H20" i="7"/>
  <c r="O37" i="5"/>
  <c r="O41" i="7"/>
  <c r="O43" i="7"/>
  <c r="N36" i="5"/>
  <c r="O36" i="5" s="1"/>
  <c r="I36" i="4"/>
  <c r="H41" i="7"/>
  <c r="C35" i="4"/>
  <c r="H40" i="7"/>
  <c r="O42" i="7"/>
  <c r="I23" i="4"/>
  <c r="F28" i="5"/>
  <c r="D28" i="5"/>
  <c r="H9" i="7"/>
  <c r="N35" i="5"/>
  <c r="O35" i="5" s="1"/>
  <c r="O39" i="7"/>
  <c r="C19" i="4"/>
  <c r="H39" i="7"/>
  <c r="H41" i="5"/>
  <c r="H47" i="5"/>
  <c r="H35" i="5"/>
  <c r="H37" i="5"/>
  <c r="H39" i="5"/>
  <c r="H45" i="5"/>
  <c r="C43" i="4"/>
  <c r="C41" i="4"/>
  <c r="H43" i="5"/>
  <c r="H10" i="7"/>
  <c r="I39" i="4"/>
  <c r="C42" i="4"/>
  <c r="H44" i="5"/>
  <c r="C44" i="4"/>
  <c r="H46" i="5"/>
  <c r="H34" i="5"/>
  <c r="C40" i="4"/>
  <c r="H42" i="5"/>
  <c r="E49" i="7"/>
  <c r="E32" i="5"/>
  <c r="E47" i="7"/>
  <c r="E30" i="5"/>
  <c r="E51" i="7"/>
  <c r="E34" i="5"/>
  <c r="H32" i="5"/>
  <c r="E29" i="5"/>
  <c r="E46" i="7"/>
  <c r="E31" i="5"/>
  <c r="E48" i="7"/>
  <c r="E50" i="7"/>
  <c r="E33" i="5"/>
  <c r="H7" i="5"/>
  <c r="H15" i="5"/>
  <c r="H4" i="5"/>
  <c r="H8" i="7"/>
  <c r="C13" i="4"/>
  <c r="I13" i="4"/>
  <c r="H15" i="7"/>
  <c r="H18" i="7"/>
  <c r="Q55" i="5"/>
  <c r="E19" i="7"/>
  <c r="D19" i="7" s="1"/>
  <c r="H12" i="5"/>
  <c r="Q57" i="5"/>
  <c r="R57" i="5" s="1"/>
  <c r="H26" i="7"/>
  <c r="O33" i="7"/>
  <c r="E17" i="7"/>
  <c r="D17" i="7" s="1"/>
  <c r="O14" i="7"/>
  <c r="O29" i="7"/>
  <c r="E37" i="7"/>
  <c r="D37" i="7" s="1"/>
  <c r="E35" i="7"/>
  <c r="D35" i="7" s="1"/>
  <c r="O18" i="7"/>
  <c r="O22" i="7"/>
  <c r="O34" i="7"/>
  <c r="Q48" i="5"/>
  <c r="R48" i="5" s="1"/>
  <c r="S48" i="5" s="1"/>
  <c r="H21" i="7"/>
  <c r="O36" i="7"/>
  <c r="E30" i="7"/>
  <c r="D30" i="7" s="1"/>
  <c r="H11" i="7"/>
  <c r="H12" i="7"/>
  <c r="H30" i="7"/>
  <c r="O26" i="7"/>
  <c r="H28" i="5"/>
  <c r="H27" i="7"/>
  <c r="E28" i="7"/>
  <c r="D28" i="7" s="1"/>
  <c r="E34" i="7"/>
  <c r="D34" i="7" s="1"/>
  <c r="O35" i="7"/>
  <c r="O27" i="7"/>
  <c r="I2" i="4"/>
  <c r="H22" i="7"/>
  <c r="E32" i="7"/>
  <c r="D32" i="7" s="1"/>
  <c r="E31" i="7"/>
  <c r="D31" i="7" s="1"/>
  <c r="E36" i="7"/>
  <c r="D36" i="7" s="1"/>
  <c r="O38" i="7"/>
  <c r="H13" i="5"/>
  <c r="E23" i="7"/>
  <c r="D23" i="7" s="1"/>
  <c r="H16" i="7"/>
  <c r="H24" i="7"/>
  <c r="H37" i="7"/>
  <c r="E24" i="7"/>
  <c r="D24" i="7" s="1"/>
  <c r="E15" i="7"/>
  <c r="D15" i="7" s="1"/>
  <c r="E38" i="7"/>
  <c r="D38" i="7" s="1"/>
  <c r="O15" i="7"/>
  <c r="O24" i="7"/>
  <c r="O31" i="7"/>
  <c r="O37" i="7"/>
  <c r="O32" i="7"/>
  <c r="H33" i="5"/>
  <c r="E33" i="7"/>
  <c r="D33" i="7" s="1"/>
  <c r="E22" i="7"/>
  <c r="D22" i="7" s="1"/>
  <c r="O19" i="7"/>
  <c r="E16" i="7"/>
  <c r="D16" i="7" s="1"/>
  <c r="O13" i="7"/>
  <c r="O21" i="7"/>
  <c r="O20" i="7"/>
  <c r="O30" i="7"/>
  <c r="O17" i="7"/>
  <c r="E27" i="7"/>
  <c r="D27" i="7" s="1"/>
  <c r="E18" i="7"/>
  <c r="D18" i="7" s="1"/>
  <c r="O16" i="7"/>
  <c r="O23" i="7"/>
  <c r="E25" i="7"/>
  <c r="D25" i="7" s="1"/>
  <c r="E14" i="7"/>
  <c r="D14" i="7" s="1"/>
  <c r="E26" i="7"/>
  <c r="D26" i="7" s="1"/>
  <c r="E21" i="7"/>
  <c r="D21" i="7" s="1"/>
  <c r="E29" i="7"/>
  <c r="D29" i="7" s="1"/>
  <c r="E25" i="5"/>
  <c r="E42" i="7"/>
  <c r="E17" i="5"/>
  <c r="E9" i="7"/>
  <c r="E16" i="5"/>
  <c r="E8" i="7"/>
  <c r="E23" i="5"/>
  <c r="E40" i="7"/>
  <c r="E19" i="5"/>
  <c r="E11" i="7"/>
  <c r="N13" i="5"/>
  <c r="O28" i="7"/>
  <c r="N29" i="5"/>
  <c r="O8" i="7"/>
  <c r="N31" i="5"/>
  <c r="O10" i="7"/>
  <c r="N32" i="5"/>
  <c r="O32" i="5" s="1"/>
  <c r="O11" i="7"/>
  <c r="H8" i="5"/>
  <c r="H29" i="7"/>
  <c r="E26" i="5"/>
  <c r="E43" i="7"/>
  <c r="C36" i="4"/>
  <c r="H36" i="7"/>
  <c r="C10" i="4"/>
  <c r="H17" i="7"/>
  <c r="C2" i="4"/>
  <c r="H31" i="7"/>
  <c r="N34" i="5"/>
  <c r="O34" i="5" s="1"/>
  <c r="E18" i="5"/>
  <c r="F18" i="5" s="1"/>
  <c r="E10" i="7"/>
  <c r="E27" i="5"/>
  <c r="D27" i="5" s="1"/>
  <c r="E44" i="7"/>
  <c r="F44" i="7" s="1"/>
  <c r="E22" i="5"/>
  <c r="E39" i="7"/>
  <c r="E24" i="5"/>
  <c r="E41" i="7"/>
  <c r="N30" i="5"/>
  <c r="O30" i="5" s="1"/>
  <c r="O9" i="7"/>
  <c r="E20" i="5"/>
  <c r="F20" i="5" s="1"/>
  <c r="E12" i="7"/>
  <c r="N33" i="5"/>
  <c r="O12" i="7"/>
  <c r="E21" i="5"/>
  <c r="E13" i="7"/>
  <c r="C16" i="4"/>
  <c r="H28" i="7"/>
  <c r="C38" i="4"/>
  <c r="H38" i="7"/>
  <c r="C12" i="4"/>
  <c r="H19" i="7"/>
  <c r="C3" i="4"/>
  <c r="H32" i="7"/>
  <c r="H29" i="5"/>
  <c r="H25" i="5"/>
  <c r="F37" i="7"/>
  <c r="R49" i="5"/>
  <c r="S49" i="5" s="1"/>
  <c r="R51" i="5"/>
  <c r="S51" i="5" s="1"/>
  <c r="R53" i="5"/>
  <c r="S53" i="5" s="1"/>
  <c r="R50" i="5"/>
  <c r="R52" i="5"/>
  <c r="S52" i="5" s="1"/>
  <c r="R54" i="5"/>
  <c r="S54" i="5" s="1"/>
  <c r="R55" i="5"/>
  <c r="S55" i="5" s="1"/>
  <c r="R56" i="5"/>
  <c r="S56" i="5" s="1"/>
  <c r="S59" i="5"/>
  <c r="S58" i="5"/>
  <c r="S65" i="5"/>
  <c r="S67" i="5"/>
  <c r="S68" i="5"/>
  <c r="S50" i="5"/>
  <c r="T58" i="5"/>
  <c r="T60" i="5"/>
  <c r="T65" i="5"/>
  <c r="T68" i="5"/>
  <c r="S61" i="5"/>
  <c r="R62" i="5"/>
  <c r="R63" i="5"/>
  <c r="S69" i="5"/>
  <c r="S64" i="5"/>
  <c r="S66" i="5"/>
  <c r="S70" i="5"/>
  <c r="P44" i="5"/>
  <c r="Q44" i="5" s="1"/>
  <c r="P43" i="5"/>
  <c r="P41" i="5"/>
  <c r="P45" i="5"/>
  <c r="Q45" i="5" s="1"/>
  <c r="R45" i="5" s="1"/>
  <c r="P46" i="5"/>
  <c r="Q46" i="5" s="1"/>
  <c r="P47" i="5"/>
  <c r="Q47" i="5" s="1"/>
  <c r="P42" i="5"/>
  <c r="Q42" i="5" s="1"/>
  <c r="R42" i="5" s="1"/>
  <c r="S42" i="5" s="1"/>
  <c r="T42" i="5" s="1"/>
  <c r="H20" i="5"/>
  <c r="N9" i="5"/>
  <c r="H24" i="5"/>
  <c r="D4" i="1"/>
  <c r="D8" i="1"/>
  <c r="D12" i="1"/>
  <c r="D16" i="1"/>
  <c r="D20" i="1"/>
  <c r="D24" i="1"/>
  <c r="D28" i="1"/>
  <c r="D32" i="1"/>
  <c r="D36" i="1"/>
  <c r="D40" i="1"/>
  <c r="D44" i="1"/>
  <c r="D48" i="1"/>
  <c r="D52" i="1"/>
  <c r="D56" i="1"/>
  <c r="D60" i="1"/>
  <c r="D3" i="1"/>
  <c r="D7" i="1"/>
  <c r="D11" i="1"/>
  <c r="D15" i="1"/>
  <c r="D19" i="1"/>
  <c r="D23" i="1"/>
  <c r="D27" i="1"/>
  <c r="D31" i="1"/>
  <c r="D35" i="1"/>
  <c r="D39" i="1"/>
  <c r="D43" i="1"/>
  <c r="D47" i="1"/>
  <c r="D51" i="1"/>
  <c r="D55" i="1"/>
  <c r="D59" i="1"/>
  <c r="D2" i="1"/>
  <c r="D6" i="1"/>
  <c r="D10" i="1"/>
  <c r="D14" i="1"/>
  <c r="D18" i="1"/>
  <c r="D22" i="1"/>
  <c r="D26" i="1"/>
  <c r="D30" i="1"/>
  <c r="D34" i="1"/>
  <c r="D38" i="1"/>
  <c r="D42" i="1"/>
  <c r="D46" i="1"/>
  <c r="D50" i="1"/>
  <c r="D54" i="1"/>
  <c r="D58" i="1"/>
  <c r="D62" i="1"/>
  <c r="D5" i="1"/>
  <c r="D9" i="1"/>
  <c r="D13" i="1"/>
  <c r="D17" i="1"/>
  <c r="D21" i="1"/>
  <c r="D25" i="1"/>
  <c r="D29" i="1"/>
  <c r="D33" i="1"/>
  <c r="D37" i="1"/>
  <c r="D41" i="1"/>
  <c r="D45" i="1"/>
  <c r="D49" i="1"/>
  <c r="D53" i="1"/>
  <c r="D57" i="1"/>
  <c r="D61" i="1"/>
  <c r="I38" i="4"/>
  <c r="I12" i="4"/>
  <c r="I16" i="4"/>
  <c r="N18" i="5"/>
  <c r="O29" i="5"/>
  <c r="N12" i="5"/>
  <c r="H19" i="5"/>
  <c r="Q43" i="5"/>
  <c r="R43" i="5" s="1"/>
  <c r="H23" i="5"/>
  <c r="H6" i="5"/>
  <c r="E2" i="4"/>
  <c r="E3" i="4" s="1"/>
  <c r="E4" i="4" s="1"/>
  <c r="E5" i="4" s="1"/>
  <c r="N21" i="5"/>
  <c r="O21" i="5" s="1"/>
  <c r="Q36" i="4"/>
  <c r="Q37" i="4" s="1"/>
  <c r="Q38" i="4" s="1"/>
  <c r="Q24" i="4" s="1"/>
  <c r="Q25" i="4" s="1"/>
  <c r="Q26" i="4" s="1"/>
  <c r="Q27" i="4" s="1"/>
  <c r="Q28" i="4" s="1"/>
  <c r="Q29" i="4" s="1"/>
  <c r="N20" i="5"/>
  <c r="N25" i="5"/>
  <c r="O25" i="5" s="1"/>
  <c r="N24" i="5"/>
  <c r="Q7" i="4"/>
  <c r="Q8" i="4" s="1"/>
  <c r="Q9" i="4" s="1"/>
  <c r="Q10" i="4" s="1"/>
  <c r="Q11" i="4" s="1"/>
  <c r="Q12" i="4" s="1"/>
  <c r="Q13" i="4"/>
  <c r="Q14" i="4" s="1"/>
  <c r="Q15" i="4" s="1"/>
  <c r="Q16" i="4" s="1"/>
  <c r="Q17" i="4" s="1"/>
  <c r="Q18" i="4" s="1"/>
  <c r="Q31" i="4"/>
  <c r="Q32" i="4" s="1"/>
  <c r="Q33" i="4" s="1"/>
  <c r="N19" i="5"/>
  <c r="O19" i="5" s="1"/>
  <c r="H21" i="5"/>
  <c r="H10" i="5"/>
  <c r="N4" i="5"/>
  <c r="O4" i="5" s="1"/>
  <c r="N14" i="5"/>
  <c r="O14" i="5" s="1"/>
  <c r="N27" i="5"/>
  <c r="N11" i="5"/>
  <c r="N6" i="5"/>
  <c r="N23" i="5"/>
  <c r="N26" i="5"/>
  <c r="E4" i="5"/>
  <c r="D4" i="5" s="1"/>
  <c r="H22" i="5"/>
  <c r="N7" i="5"/>
  <c r="N16" i="5"/>
  <c r="O16" i="5" s="1"/>
  <c r="E6" i="5"/>
  <c r="N10" i="5"/>
  <c r="O10" i="5" s="1"/>
  <c r="N8" i="5"/>
  <c r="N22" i="5"/>
  <c r="O22" i="5" s="1"/>
  <c r="N5" i="5"/>
  <c r="N28" i="5"/>
  <c r="O28" i="5" s="1"/>
  <c r="N17" i="5"/>
  <c r="O17" i="5" s="1"/>
  <c r="N15" i="5"/>
  <c r="O15" i="5" s="1"/>
  <c r="I17" i="4"/>
  <c r="H14" i="5"/>
  <c r="C22" i="4"/>
  <c r="I22" i="4"/>
  <c r="H27" i="5"/>
  <c r="I4" i="4"/>
  <c r="F27" i="5"/>
  <c r="C4" i="4"/>
  <c r="C17" i="4"/>
  <c r="D18" i="5"/>
  <c r="S45" i="5"/>
  <c r="E11" i="5"/>
  <c r="E5" i="5"/>
  <c r="D17" i="5"/>
  <c r="F17" i="5"/>
  <c r="E7" i="5"/>
  <c r="D16" i="5"/>
  <c r="F16" i="5"/>
  <c r="E12" i="5"/>
  <c r="E13" i="5"/>
  <c r="E9" i="5"/>
  <c r="E10" i="5"/>
  <c r="E8" i="5"/>
  <c r="O9" i="5"/>
  <c r="E35" i="4"/>
  <c r="E14" i="4"/>
  <c r="E15" i="4" s="1"/>
  <c r="D25" i="5"/>
  <c r="F25" i="5"/>
  <c r="E14" i="5"/>
  <c r="D23" i="5"/>
  <c r="F23" i="5"/>
  <c r="D19" i="5"/>
  <c r="F19" i="5"/>
  <c r="E15" i="5"/>
  <c r="E30" i="4"/>
  <c r="F22" i="5"/>
  <c r="D22" i="5"/>
  <c r="D24" i="5"/>
  <c r="F24" i="5"/>
  <c r="E24" i="4"/>
  <c r="E9" i="4"/>
  <c r="U58" i="5" l="1"/>
  <c r="P40" i="5"/>
  <c r="Q40" i="5" s="1"/>
  <c r="F19" i="7"/>
  <c r="P22" i="5"/>
  <c r="Q22" i="5" s="1"/>
  <c r="I7" i="3"/>
  <c r="I9" i="3"/>
  <c r="I11" i="3"/>
  <c r="I13" i="3"/>
  <c r="I15" i="3"/>
  <c r="I17" i="3"/>
  <c r="I19" i="3"/>
  <c r="I21" i="3"/>
  <c r="I23" i="3"/>
  <c r="I25" i="3"/>
  <c r="I27" i="3"/>
  <c r="I29" i="3"/>
  <c r="I31" i="3"/>
  <c r="I33" i="3"/>
  <c r="I35" i="3"/>
  <c r="I37" i="3"/>
  <c r="I39" i="3"/>
  <c r="I41" i="3"/>
  <c r="I43" i="3"/>
  <c r="I45" i="3"/>
  <c r="I47" i="3"/>
  <c r="I49" i="3"/>
  <c r="I51" i="3"/>
  <c r="I53" i="3"/>
  <c r="I55" i="3"/>
  <c r="I57" i="3"/>
  <c r="I59" i="3"/>
  <c r="I61" i="3"/>
  <c r="I63" i="3"/>
  <c r="I65" i="3"/>
  <c r="I67" i="3"/>
  <c r="I69" i="3"/>
  <c r="I71" i="3"/>
  <c r="I73" i="3"/>
  <c r="I75" i="3"/>
  <c r="I77" i="3"/>
  <c r="I79" i="3"/>
  <c r="I81" i="3"/>
  <c r="I83" i="3"/>
  <c r="I85" i="3"/>
  <c r="I87" i="3"/>
  <c r="I89" i="3"/>
  <c r="I91" i="3"/>
  <c r="I93" i="3"/>
  <c r="I95" i="3"/>
  <c r="I97" i="3"/>
  <c r="I99" i="3"/>
  <c r="I101" i="3"/>
  <c r="I5" i="3"/>
  <c r="I4" i="3"/>
  <c r="I8" i="3"/>
  <c r="I10" i="3"/>
  <c r="I12" i="3"/>
  <c r="I14" i="3"/>
  <c r="I16" i="3"/>
  <c r="I18" i="3"/>
  <c r="I20" i="3"/>
  <c r="I22" i="3"/>
  <c r="I24" i="3"/>
  <c r="I26" i="3"/>
  <c r="I28" i="3"/>
  <c r="I30" i="3"/>
  <c r="I32" i="3"/>
  <c r="I34" i="3"/>
  <c r="I36" i="3"/>
  <c r="I38" i="3"/>
  <c r="I40" i="3"/>
  <c r="I42" i="3"/>
  <c r="I44" i="3"/>
  <c r="I46" i="3"/>
  <c r="I48" i="3"/>
  <c r="I50" i="3"/>
  <c r="I52" i="3"/>
  <c r="I54" i="3"/>
  <c r="I56" i="3"/>
  <c r="I58" i="3"/>
  <c r="I60" i="3"/>
  <c r="I62" i="3"/>
  <c r="I64" i="3"/>
  <c r="I66" i="3"/>
  <c r="I68" i="3"/>
  <c r="I70" i="3"/>
  <c r="I72" i="3"/>
  <c r="I74" i="3"/>
  <c r="I76" i="3"/>
  <c r="I78" i="3"/>
  <c r="I80" i="3"/>
  <c r="I82" i="3"/>
  <c r="I84" i="3"/>
  <c r="I86" i="3"/>
  <c r="I88" i="3"/>
  <c r="I90" i="3"/>
  <c r="I92" i="3"/>
  <c r="I94" i="3"/>
  <c r="I96" i="3"/>
  <c r="I98" i="3"/>
  <c r="I100" i="3"/>
  <c r="I102" i="3"/>
  <c r="I6" i="3"/>
  <c r="I3" i="3"/>
  <c r="P19" i="5"/>
  <c r="Q19" i="5" s="1"/>
  <c r="P35" i="5"/>
  <c r="Q35" i="5" s="1"/>
  <c r="P38" i="5"/>
  <c r="P39" i="5"/>
  <c r="Q39" i="5" s="1"/>
  <c r="R39" i="5" s="1"/>
  <c r="P41" i="7"/>
  <c r="F30" i="7"/>
  <c r="F34" i="7"/>
  <c r="D20" i="5"/>
  <c r="P37" i="5"/>
  <c r="Q37" i="5" s="1"/>
  <c r="R37" i="5" s="1"/>
  <c r="F15" i="7"/>
  <c r="F35" i="7"/>
  <c r="F32" i="7"/>
  <c r="F28" i="7"/>
  <c r="Q2" i="4"/>
  <c r="Q3" i="4" s="1"/>
  <c r="Q4" i="4" s="1"/>
  <c r="Q5" i="4" s="1"/>
  <c r="Q6" i="4" s="1"/>
  <c r="F36" i="7"/>
  <c r="P34" i="7"/>
  <c r="P39" i="7"/>
  <c r="F20" i="7"/>
  <c r="P43" i="7"/>
  <c r="P44" i="7"/>
  <c r="P42" i="7"/>
  <c r="Q19" i="4"/>
  <c r="Q20" i="4" s="1"/>
  <c r="Q21" i="4" s="1"/>
  <c r="Q22" i="4" s="1"/>
  <c r="Q23" i="4" s="1"/>
  <c r="D51" i="7"/>
  <c r="D47" i="7"/>
  <c r="D49" i="7"/>
  <c r="D34" i="5"/>
  <c r="F34" i="5"/>
  <c r="D30" i="5"/>
  <c r="F30" i="5"/>
  <c r="D32" i="5"/>
  <c r="F32" i="5"/>
  <c r="D50" i="7"/>
  <c r="D31" i="5"/>
  <c r="F31" i="5"/>
  <c r="D29" i="5"/>
  <c r="F29" i="5"/>
  <c r="D33" i="5"/>
  <c r="F33" i="5"/>
  <c r="D48" i="7"/>
  <c r="D46" i="7"/>
  <c r="S57" i="5"/>
  <c r="T57" i="5" s="1"/>
  <c r="U57" i="5" s="1"/>
  <c r="F23" i="7"/>
  <c r="P25" i="5"/>
  <c r="Q25" i="5" s="1"/>
  <c r="P28" i="5"/>
  <c r="Q28" i="5" s="1"/>
  <c r="P29" i="5"/>
  <c r="Q29" i="5" s="1"/>
  <c r="R29" i="5" s="1"/>
  <c r="S29" i="5" s="1"/>
  <c r="F17" i="7"/>
  <c r="G4" i="3"/>
  <c r="P32" i="5"/>
  <c r="Q32" i="5" s="1"/>
  <c r="F31" i="7"/>
  <c r="F24" i="7"/>
  <c r="P30" i="5"/>
  <c r="Q30" i="5" s="1"/>
  <c r="F18" i="7"/>
  <c r="F27" i="7"/>
  <c r="F25" i="7"/>
  <c r="F21" i="7"/>
  <c r="F38" i="7"/>
  <c r="F29" i="7"/>
  <c r="F33" i="7"/>
  <c r="F26" i="7"/>
  <c r="F14" i="7"/>
  <c r="F22" i="7"/>
  <c r="T56" i="5"/>
  <c r="U56" i="5" s="1"/>
  <c r="T53" i="5"/>
  <c r="U53" i="5" s="1"/>
  <c r="V53" i="5" s="1"/>
  <c r="T55" i="5"/>
  <c r="U55" i="5" s="1"/>
  <c r="T52" i="5"/>
  <c r="U52" i="5" s="1"/>
  <c r="T51" i="5"/>
  <c r="U51" i="5" s="1"/>
  <c r="V51" i="5" s="1"/>
  <c r="F16" i="7"/>
  <c r="D13" i="7"/>
  <c r="F13" i="7"/>
  <c r="D12" i="7"/>
  <c r="F12" i="7"/>
  <c r="D41" i="7"/>
  <c r="F41" i="7"/>
  <c r="D39" i="7"/>
  <c r="F39" i="7"/>
  <c r="D44" i="7"/>
  <c r="D10" i="7"/>
  <c r="F10" i="7"/>
  <c r="P37" i="7"/>
  <c r="D43" i="7"/>
  <c r="F43" i="7"/>
  <c r="D11" i="7"/>
  <c r="F11" i="7"/>
  <c r="D40" i="7"/>
  <c r="F40" i="7"/>
  <c r="D8" i="7"/>
  <c r="F8" i="7"/>
  <c r="D9" i="7"/>
  <c r="F9" i="7"/>
  <c r="D42" i="7"/>
  <c r="F42" i="7"/>
  <c r="O33" i="5"/>
  <c r="P38" i="7"/>
  <c r="D21" i="5"/>
  <c r="F21" i="5"/>
  <c r="F26" i="5"/>
  <c r="D26" i="5"/>
  <c r="O31" i="5"/>
  <c r="T70" i="5"/>
  <c r="T66" i="5"/>
  <c r="T64" i="5"/>
  <c r="T69" i="5"/>
  <c r="U69" i="5"/>
  <c r="V69" i="5"/>
  <c r="W69" i="5"/>
  <c r="T67" i="5"/>
  <c r="T59" i="5"/>
  <c r="S63" i="5"/>
  <c r="S62" i="5"/>
  <c r="U65" i="5"/>
  <c r="T48" i="5"/>
  <c r="U68" i="5"/>
  <c r="T54" i="5"/>
  <c r="T49" i="5"/>
  <c r="U49" i="5" s="1"/>
  <c r="V49" i="5" s="1"/>
  <c r="T61" i="5"/>
  <c r="T63" i="5"/>
  <c r="T62" i="5"/>
  <c r="U60" i="5"/>
  <c r="U61" i="5"/>
  <c r="V68" i="5"/>
  <c r="V58" i="5"/>
  <c r="U67" i="5"/>
  <c r="T50" i="5"/>
  <c r="U59" i="5"/>
  <c r="R47" i="5"/>
  <c r="S47" i="5" s="1"/>
  <c r="R44" i="5"/>
  <c r="S44" i="5" s="1"/>
  <c r="T44" i="5" s="1"/>
  <c r="Q38" i="5"/>
  <c r="R46" i="5"/>
  <c r="S46" i="5" s="1"/>
  <c r="Q41" i="5"/>
  <c r="P34" i="5"/>
  <c r="Q34" i="5" s="1"/>
  <c r="R34" i="5" s="1"/>
  <c r="R35" i="5"/>
  <c r="S35" i="5" s="1"/>
  <c r="F4" i="5"/>
  <c r="S39" i="5"/>
  <c r="R13" i="4"/>
  <c r="D6" i="5"/>
  <c r="F6" i="5"/>
  <c r="G3" i="3"/>
  <c r="G11" i="3"/>
  <c r="G102" i="3"/>
  <c r="G86" i="3"/>
  <c r="G94" i="3"/>
  <c r="P36" i="5"/>
  <c r="G6" i="3"/>
  <c r="G98" i="3"/>
  <c r="G90" i="3"/>
  <c r="G82" i="3"/>
  <c r="G74" i="3"/>
  <c r="G66" i="3"/>
  <c r="G58" i="3"/>
  <c r="G50" i="3"/>
  <c r="G42" i="3"/>
  <c r="G34" i="3"/>
  <c r="G26" i="3"/>
  <c r="G18" i="3"/>
  <c r="G10" i="3"/>
  <c r="G101" i="3"/>
  <c r="G93" i="3"/>
  <c r="G85" i="3"/>
  <c r="G77" i="3"/>
  <c r="G69" i="3"/>
  <c r="G61" i="3"/>
  <c r="G53" i="3"/>
  <c r="G45" i="3"/>
  <c r="G37" i="3"/>
  <c r="G29" i="3"/>
  <c r="G21" i="3"/>
  <c r="G13" i="3"/>
  <c r="G100" i="3"/>
  <c r="G92" i="3"/>
  <c r="G84" i="3"/>
  <c r="G76" i="3"/>
  <c r="G68" i="3"/>
  <c r="G60" i="3"/>
  <c r="G52" i="3"/>
  <c r="G44" i="3"/>
  <c r="G36" i="3"/>
  <c r="G28" i="3"/>
  <c r="G20" i="3"/>
  <c r="G12" i="3"/>
  <c r="G7" i="3"/>
  <c r="G95" i="3"/>
  <c r="G87" i="3"/>
  <c r="G79" i="3"/>
  <c r="G71" i="3"/>
  <c r="G63" i="3"/>
  <c r="G55" i="3"/>
  <c r="G47" i="3"/>
  <c r="G39" i="3"/>
  <c r="G31" i="3"/>
  <c r="G23" i="3"/>
  <c r="G15" i="3"/>
  <c r="G9" i="3"/>
  <c r="G78" i="3"/>
  <c r="G70" i="3"/>
  <c r="G62" i="3"/>
  <c r="G54" i="3"/>
  <c r="G46" i="3"/>
  <c r="G38" i="3"/>
  <c r="G30" i="3"/>
  <c r="G22" i="3"/>
  <c r="G14" i="3"/>
  <c r="G5" i="3"/>
  <c r="G97" i="3"/>
  <c r="G89" i="3"/>
  <c r="G81" i="3"/>
  <c r="G73" i="3"/>
  <c r="G65" i="3"/>
  <c r="G57" i="3"/>
  <c r="G49" i="3"/>
  <c r="G41" i="3"/>
  <c r="G33" i="3"/>
  <c r="G25" i="3"/>
  <c r="G17" i="3"/>
  <c r="G96" i="3"/>
  <c r="G88" i="3"/>
  <c r="G80" i="3"/>
  <c r="G72" i="3"/>
  <c r="G64" i="3"/>
  <c r="G56" i="3"/>
  <c r="G48" i="3"/>
  <c r="G40" i="3"/>
  <c r="G32" i="3"/>
  <c r="G24" i="3"/>
  <c r="G16" i="3"/>
  <c r="G8" i="3"/>
  <c r="G99" i="3"/>
  <c r="G91" i="3"/>
  <c r="G83" i="3"/>
  <c r="G75" i="3"/>
  <c r="G67" i="3"/>
  <c r="G59" i="3"/>
  <c r="G51" i="3"/>
  <c r="G43" i="3"/>
  <c r="G35" i="3"/>
  <c r="G27" i="3"/>
  <c r="G19" i="3"/>
  <c r="T45" i="5"/>
  <c r="U45" i="5" s="1"/>
  <c r="V45" i="5" s="1"/>
  <c r="W45" i="5" s="1"/>
  <c r="S43" i="5"/>
  <c r="P14" i="5"/>
  <c r="Q14" i="5" s="1"/>
  <c r="R14" i="5" s="1"/>
  <c r="S14" i="5" s="1"/>
  <c r="T46" i="5"/>
  <c r="U46" i="5" s="1"/>
  <c r="V46" i="5" s="1"/>
  <c r="P17" i="5"/>
  <c r="Q17" i="5" s="1"/>
  <c r="P4" i="5"/>
  <c r="Q4" i="5" s="1"/>
  <c r="R4" i="5" s="1"/>
  <c r="O27" i="5"/>
  <c r="P16" i="5"/>
  <c r="Q16" i="5" s="1"/>
  <c r="P10" i="5"/>
  <c r="Q10" i="5" s="1"/>
  <c r="O11" i="5"/>
  <c r="O13" i="5"/>
  <c r="E25" i="4"/>
  <c r="R24" i="4"/>
  <c r="O20" i="5"/>
  <c r="D15" i="5"/>
  <c r="F15" i="5"/>
  <c r="D14" i="5"/>
  <c r="F14" i="5"/>
  <c r="P8" i="7"/>
  <c r="O8" i="5"/>
  <c r="O26" i="5"/>
  <c r="F8" i="5"/>
  <c r="D8" i="5"/>
  <c r="O6" i="5"/>
  <c r="F10" i="5"/>
  <c r="D10" i="5"/>
  <c r="O24" i="5"/>
  <c r="F13" i="5"/>
  <c r="D13" i="5"/>
  <c r="O12" i="5"/>
  <c r="D11" i="5"/>
  <c r="F11" i="5"/>
  <c r="P21" i="5"/>
  <c r="Q21" i="5" s="1"/>
  <c r="R21" i="5" s="1"/>
  <c r="O5" i="5"/>
  <c r="E31" i="4"/>
  <c r="O7" i="5"/>
  <c r="O23" i="5"/>
  <c r="S37" i="5"/>
  <c r="P15" i="5"/>
  <c r="E16" i="4"/>
  <c r="O18" i="5"/>
  <c r="E36" i="4"/>
  <c r="D9" i="5"/>
  <c r="F9" i="5"/>
  <c r="D12" i="5"/>
  <c r="F12" i="5"/>
  <c r="F7" i="5"/>
  <c r="D7" i="5"/>
  <c r="F5" i="5"/>
  <c r="D5" i="5"/>
  <c r="P9" i="5"/>
  <c r="Q9" i="5" s="1"/>
  <c r="U42" i="5"/>
  <c r="E10" i="4"/>
  <c r="R19" i="5"/>
  <c r="Q8" i="7" l="1"/>
  <c r="R22" i="5"/>
  <c r="S22" i="5" s="1"/>
  <c r="T22" i="5" s="1"/>
  <c r="P18" i="5"/>
  <c r="P5" i="5"/>
  <c r="Q5" i="5" s="1"/>
  <c r="R32" i="5"/>
  <c r="S32" i="5" s="1"/>
  <c r="U44" i="5"/>
  <c r="V44" i="5" s="1"/>
  <c r="T47" i="5"/>
  <c r="U47" i="5" s="1"/>
  <c r="R28" i="5"/>
  <c r="S28" i="5" s="1"/>
  <c r="S34" i="5"/>
  <c r="T34" i="5" s="1"/>
  <c r="U34" i="5" s="1"/>
  <c r="R25" i="5"/>
  <c r="S25" i="5" s="1"/>
  <c r="T29" i="5"/>
  <c r="U29" i="5" s="1"/>
  <c r="P26" i="5"/>
  <c r="Q26" i="5" s="1"/>
  <c r="R26" i="5" s="1"/>
  <c r="P27" i="5"/>
  <c r="Q27" i="5" s="1"/>
  <c r="R27" i="5" s="1"/>
  <c r="S27" i="5" s="1"/>
  <c r="R30" i="5"/>
  <c r="S30" i="5" s="1"/>
  <c r="T30" i="5" s="1"/>
  <c r="U30" i="5" s="1"/>
  <c r="V30" i="5" s="1"/>
  <c r="P31" i="5"/>
  <c r="P33" i="5"/>
  <c r="Q33" i="5" s="1"/>
  <c r="R33" i="5" s="1"/>
  <c r="S33" i="5" s="1"/>
  <c r="V59" i="5"/>
  <c r="V67" i="5"/>
  <c r="W59" i="5"/>
  <c r="W68" i="5"/>
  <c r="W51" i="5"/>
  <c r="U50" i="5"/>
  <c r="V50" i="5" s="1"/>
  <c r="V56" i="5"/>
  <c r="W56" i="5" s="1"/>
  <c r="V57" i="5"/>
  <c r="W57" i="5" s="1"/>
  <c r="U62" i="5"/>
  <c r="U48" i="5"/>
  <c r="X68" i="5"/>
  <c r="U64" i="5"/>
  <c r="W67" i="5"/>
  <c r="W49" i="5"/>
  <c r="W53" i="5"/>
  <c r="X53" i="5" s="1"/>
  <c r="U63" i="5"/>
  <c r="X51" i="5"/>
  <c r="Y51" i="5" s="1"/>
  <c r="V52" i="5"/>
  <c r="V55" i="5"/>
  <c r="W58" i="5"/>
  <c r="V61" i="5"/>
  <c r="U54" i="5"/>
  <c r="X59" i="5"/>
  <c r="X67" i="5"/>
  <c r="V65" i="5"/>
  <c r="W52" i="5"/>
  <c r="V60" i="5"/>
  <c r="X58" i="5"/>
  <c r="X69" i="5"/>
  <c r="V64" i="5"/>
  <c r="U66" i="5"/>
  <c r="U70" i="5"/>
  <c r="T39" i="5"/>
  <c r="R38" i="5"/>
  <c r="R40" i="5"/>
  <c r="R41" i="5"/>
  <c r="R10" i="5"/>
  <c r="S10" i="5" s="1"/>
  <c r="X45" i="5"/>
  <c r="Q36" i="5"/>
  <c r="T43" i="5"/>
  <c r="R16" i="5"/>
  <c r="S16" i="5" s="1"/>
  <c r="R17" i="5"/>
  <c r="S17" i="5" s="1"/>
  <c r="T14" i="5"/>
  <c r="U14" i="5" s="1"/>
  <c r="P11" i="5"/>
  <c r="E17" i="4"/>
  <c r="Q15" i="5"/>
  <c r="T37" i="5"/>
  <c r="E32" i="4"/>
  <c r="P6" i="5"/>
  <c r="P20" i="5"/>
  <c r="Q20" i="5" s="1"/>
  <c r="R25" i="4"/>
  <c r="E26" i="4"/>
  <c r="P7" i="5"/>
  <c r="W46" i="5"/>
  <c r="E37" i="4"/>
  <c r="Q18" i="5"/>
  <c r="R18" i="5" s="1"/>
  <c r="S18" i="5" s="1"/>
  <c r="R14" i="4"/>
  <c r="P12" i="5"/>
  <c r="R9" i="5"/>
  <c r="P23" i="5"/>
  <c r="V42" i="5"/>
  <c r="W42" i="5" s="1"/>
  <c r="X42" i="5" s="1"/>
  <c r="P24" i="5"/>
  <c r="T35" i="5"/>
  <c r="P8" i="5"/>
  <c r="R8" i="7"/>
  <c r="P13" i="5"/>
  <c r="E11" i="4"/>
  <c r="S21" i="5"/>
  <c r="S19" i="5"/>
  <c r="S4" i="5"/>
  <c r="R5" i="5" l="1"/>
  <c r="S5" i="5" s="1"/>
  <c r="T5" i="5" s="1"/>
  <c r="U22" i="5"/>
  <c r="V22" i="5" s="1"/>
  <c r="T25" i="5"/>
  <c r="U25" i="5" s="1"/>
  <c r="T16" i="5"/>
  <c r="T28" i="5"/>
  <c r="U28" i="5" s="1"/>
  <c r="V29" i="5"/>
  <c r="V34" i="5"/>
  <c r="W34" i="5" s="1"/>
  <c r="S26" i="5"/>
  <c r="T26" i="5" s="1"/>
  <c r="T32" i="5"/>
  <c r="U32" i="5" s="1"/>
  <c r="T33" i="5"/>
  <c r="Q31" i="5"/>
  <c r="V70" i="5"/>
  <c r="W70" i="5"/>
  <c r="V66" i="5"/>
  <c r="W66" i="5"/>
  <c r="V48" i="5"/>
  <c r="W48" i="5" s="1"/>
  <c r="Y69" i="5"/>
  <c r="Y58" i="5"/>
  <c r="X52" i="5"/>
  <c r="W55" i="5"/>
  <c r="W65" i="5"/>
  <c r="Y67" i="5"/>
  <c r="Z67" i="5"/>
  <c r="AA67" i="5" s="1"/>
  <c r="V63" i="5"/>
  <c r="Y68" i="5"/>
  <c r="W50" i="5"/>
  <c r="V54" i="5"/>
  <c r="W64" i="5"/>
  <c r="X70" i="5"/>
  <c r="W61" i="5"/>
  <c r="W60" i="5"/>
  <c r="Z69" i="5"/>
  <c r="AA69" i="5" s="1"/>
  <c r="X56" i="5"/>
  <c r="Y56" i="5" s="1"/>
  <c r="X55" i="5"/>
  <c r="Y55" i="5" s="1"/>
  <c r="Y52" i="5"/>
  <c r="Z58" i="5"/>
  <c r="AA58" i="5" s="1"/>
  <c r="AB58" i="5" s="1"/>
  <c r="AC58" i="5" s="1"/>
  <c r="Y53" i="5"/>
  <c r="X50" i="5"/>
  <c r="Y50" i="5" s="1"/>
  <c r="Z51" i="5"/>
  <c r="AA51" i="5" s="1"/>
  <c r="X57" i="5"/>
  <c r="Y59" i="5"/>
  <c r="X49" i="5"/>
  <c r="V62" i="5"/>
  <c r="U39" i="5"/>
  <c r="S38" i="5"/>
  <c r="S40" i="5"/>
  <c r="Y45" i="5"/>
  <c r="V47" i="5"/>
  <c r="W47" i="5" s="1"/>
  <c r="X47" i="5" s="1"/>
  <c r="S41" i="5"/>
  <c r="U43" i="5"/>
  <c r="V43" i="5" s="1"/>
  <c r="Z45" i="5"/>
  <c r="T10" i="5"/>
  <c r="U10" i="5" s="1"/>
  <c r="T17" i="5"/>
  <c r="U17" i="5" s="1"/>
  <c r="V17" i="5" s="1"/>
  <c r="R36" i="5"/>
  <c r="W44" i="5"/>
  <c r="X44" i="5" s="1"/>
  <c r="Y44" i="5" s="1"/>
  <c r="W30" i="5"/>
  <c r="X30" i="5" s="1"/>
  <c r="AA45" i="5"/>
  <c r="AB45" i="5" s="1"/>
  <c r="W29" i="5"/>
  <c r="X34" i="5"/>
  <c r="U16" i="5"/>
  <c r="V16" i="5" s="1"/>
  <c r="W16" i="5" s="1"/>
  <c r="V14" i="5"/>
  <c r="W14" i="5" s="1"/>
  <c r="T27" i="5"/>
  <c r="U27" i="5" s="1"/>
  <c r="V27" i="5" s="1"/>
  <c r="W22" i="5"/>
  <c r="X22" i="5" s="1"/>
  <c r="Y22" i="5" s="1"/>
  <c r="Z22" i="5" s="1"/>
  <c r="Q11" i="5"/>
  <c r="T18" i="5"/>
  <c r="U18" i="5" s="1"/>
  <c r="Q8" i="5"/>
  <c r="R8" i="5" s="1"/>
  <c r="Q24" i="5"/>
  <c r="R24" i="5" s="1"/>
  <c r="S24" i="5" s="1"/>
  <c r="Q23" i="5"/>
  <c r="R23" i="5" s="1"/>
  <c r="S23" i="5" s="1"/>
  <c r="Q12" i="5"/>
  <c r="R12" i="5" s="1"/>
  <c r="S12" i="5" s="1"/>
  <c r="R20" i="5"/>
  <c r="S20" i="5" s="1"/>
  <c r="T20" i="5" s="1"/>
  <c r="E33" i="4"/>
  <c r="X46" i="5"/>
  <c r="Y42" i="5"/>
  <c r="Z42" i="5" s="1"/>
  <c r="AA42" i="5" s="1"/>
  <c r="S9" i="5"/>
  <c r="T9" i="5" s="1"/>
  <c r="S8" i="7"/>
  <c r="T8" i="7" s="1"/>
  <c r="R15" i="4"/>
  <c r="E38" i="4"/>
  <c r="R26" i="4"/>
  <c r="E27" i="4"/>
  <c r="Q6" i="5"/>
  <c r="U37" i="5"/>
  <c r="R15" i="5"/>
  <c r="E18" i="4"/>
  <c r="U35" i="5"/>
  <c r="Q7" i="5"/>
  <c r="R7" i="5" s="1"/>
  <c r="Q13" i="5"/>
  <c r="T21" i="5"/>
  <c r="E12" i="4"/>
  <c r="T19" i="5"/>
  <c r="T4" i="5"/>
  <c r="U26" i="5" l="1"/>
  <c r="V26" i="5" s="1"/>
  <c r="V32" i="5"/>
  <c r="W32" i="5" s="1"/>
  <c r="U33" i="5"/>
  <c r="R31" i="5"/>
  <c r="Z50" i="5"/>
  <c r="Y49" i="5"/>
  <c r="Z49" i="5" s="1"/>
  <c r="AA49" i="5" s="1"/>
  <c r="Y57" i="5"/>
  <c r="Z53" i="5"/>
  <c r="AB51" i="5"/>
  <c r="AC51" i="5" s="1"/>
  <c r="W62" i="5"/>
  <c r="Z52" i="5"/>
  <c r="AA52" i="5" s="1"/>
  <c r="Z59" i="5"/>
  <c r="X61" i="5"/>
  <c r="AB67" i="5"/>
  <c r="AC67" i="5" s="1"/>
  <c r="AD67" i="5" s="1"/>
  <c r="AE67" i="5" s="1"/>
  <c r="AF67" i="5" s="1"/>
  <c r="AG67" i="5" s="1"/>
  <c r="AH67" i="5" s="1"/>
  <c r="AI67" i="5" s="1"/>
  <c r="AJ67" i="5" s="1"/>
  <c r="AK67" i="5" s="1"/>
  <c r="AL67" i="5" s="1"/>
  <c r="AM67" i="5" s="1"/>
  <c r="AN67" i="5" s="1"/>
  <c r="AO67" i="5" s="1"/>
  <c r="AP67" i="5" s="1"/>
  <c r="AQ67" i="5" s="1"/>
  <c r="AR67" i="5" s="1"/>
  <c r="AS67" i="5" s="1"/>
  <c r="AT67" i="5" s="1"/>
  <c r="AU67" i="5" s="1"/>
  <c r="AV67" i="5" s="1"/>
  <c r="AW67" i="5" s="1"/>
  <c r="AX67" i="5" s="1"/>
  <c r="AY67" i="5" s="1"/>
  <c r="AZ67" i="5" s="1"/>
  <c r="BA67" i="5" s="1"/>
  <c r="BB67" i="5" s="1"/>
  <c r="BC67" i="5" s="1"/>
  <c r="BD67" i="5" s="1"/>
  <c r="BE67" i="5" s="1"/>
  <c r="BF67" i="5" s="1"/>
  <c r="BG67" i="5" s="1"/>
  <c r="BH67" i="5" s="1"/>
  <c r="BI67" i="5" s="1"/>
  <c r="BJ67" i="5" s="1"/>
  <c r="BK67" i="5" s="1"/>
  <c r="BL67" i="5" s="1"/>
  <c r="BM67" i="5" s="1"/>
  <c r="BN67" i="5" s="1"/>
  <c r="BO67" i="5" s="1"/>
  <c r="BP67" i="5" s="1"/>
  <c r="BQ67" i="5" s="1"/>
  <c r="BR67" i="5" s="1"/>
  <c r="BS67" i="5" s="1"/>
  <c r="BT67" i="5" s="1"/>
  <c r="BU67" i="5" s="1"/>
  <c r="BV67" i="5" s="1"/>
  <c r="AB69" i="5"/>
  <c r="X65" i="5"/>
  <c r="W63" i="5"/>
  <c r="X66" i="5"/>
  <c r="X62" i="5"/>
  <c r="X63" i="5"/>
  <c r="Y63" i="5" s="1"/>
  <c r="Z63" i="5" s="1"/>
  <c r="AA63" i="5"/>
  <c r="AB63" i="5" s="1"/>
  <c r="AA53" i="5"/>
  <c r="AB53" i="5" s="1"/>
  <c r="AC53" i="5" s="1"/>
  <c r="AD53" i="5" s="1"/>
  <c r="Z56" i="5"/>
  <c r="AD58" i="5"/>
  <c r="AE58" i="5" s="1"/>
  <c r="AF58" i="5" s="1"/>
  <c r="AG58" i="5" s="1"/>
  <c r="AH58" i="5" s="1"/>
  <c r="AI58" i="5" s="1"/>
  <c r="AJ58" i="5" s="1"/>
  <c r="AK58" i="5" s="1"/>
  <c r="AL58" i="5" s="1"/>
  <c r="AM58" i="5" s="1"/>
  <c r="AN58" i="5" s="1"/>
  <c r="AO58" i="5" s="1"/>
  <c r="AP58" i="5" s="1"/>
  <c r="AQ58" i="5" s="1"/>
  <c r="AR58" i="5" s="1"/>
  <c r="AS58" i="5" s="1"/>
  <c r="AT58" i="5" s="1"/>
  <c r="AU58" i="5" s="1"/>
  <c r="AV58" i="5" s="1"/>
  <c r="AW58" i="5" s="1"/>
  <c r="AX58" i="5" s="1"/>
  <c r="AY58" i="5" s="1"/>
  <c r="AZ58" i="5" s="1"/>
  <c r="BA58" i="5" s="1"/>
  <c r="BB58" i="5" s="1"/>
  <c r="BC58" i="5" s="1"/>
  <c r="BD58" i="5" s="1"/>
  <c r="BE58" i="5" s="1"/>
  <c r="BF58" i="5" s="1"/>
  <c r="BG58" i="5" s="1"/>
  <c r="BH58" i="5" s="1"/>
  <c r="BI58" i="5" s="1"/>
  <c r="BJ58" i="5" s="1"/>
  <c r="BK58" i="5" s="1"/>
  <c r="BL58" i="5" s="1"/>
  <c r="BM58" i="5" s="1"/>
  <c r="BN58" i="5" s="1"/>
  <c r="BO58" i="5" s="1"/>
  <c r="BP58" i="5" s="1"/>
  <c r="BQ58" i="5" s="1"/>
  <c r="BR58" i="5" s="1"/>
  <c r="BS58" i="5" s="1"/>
  <c r="BT58" i="5" s="1"/>
  <c r="BU58" i="5" s="1"/>
  <c r="BV58" i="5" s="1"/>
  <c r="X64" i="5"/>
  <c r="X60" i="5"/>
  <c r="W54" i="5"/>
  <c r="Y65" i="5"/>
  <c r="Z65" i="5" s="1"/>
  <c r="AA65" i="5" s="1"/>
  <c r="AB65" i="5" s="1"/>
  <c r="AC65" i="5" s="1"/>
  <c r="AD65" i="5" s="1"/>
  <c r="AE65" i="5" s="1"/>
  <c r="X48" i="5"/>
  <c r="Z55" i="5"/>
  <c r="Y66" i="5"/>
  <c r="Z66" i="5" s="1"/>
  <c r="AA66" i="5" s="1"/>
  <c r="AB66" i="5" s="1"/>
  <c r="AC66" i="5" s="1"/>
  <c r="AD66" i="5" s="1"/>
  <c r="AE66" i="5" s="1"/>
  <c r="AF66" i="5" s="1"/>
  <c r="AG66" i="5" s="1"/>
  <c r="AH66" i="5" s="1"/>
  <c r="AI66" i="5" s="1"/>
  <c r="AJ66" i="5" s="1"/>
  <c r="AK66" i="5" s="1"/>
  <c r="Y70" i="5"/>
  <c r="AA50" i="5"/>
  <c r="AB50" i="5" s="1"/>
  <c r="AC50" i="5" s="1"/>
  <c r="AD50" i="5" s="1"/>
  <c r="Z68" i="5"/>
  <c r="T38" i="5"/>
  <c r="V37" i="5"/>
  <c r="W37" i="5" s="1"/>
  <c r="X37" i="5" s="1"/>
  <c r="Y37" i="5" s="1"/>
  <c r="T40" i="5"/>
  <c r="V39" i="5"/>
  <c r="U40" i="5"/>
  <c r="V40" i="5" s="1"/>
  <c r="Y46" i="5"/>
  <c r="Z46" i="5" s="1"/>
  <c r="T41" i="5"/>
  <c r="S36" i="5"/>
  <c r="Y30" i="5"/>
  <c r="Z30" i="5" s="1"/>
  <c r="AC45" i="5"/>
  <c r="X29" i="5"/>
  <c r="Y34" i="5"/>
  <c r="Y47" i="5"/>
  <c r="Z47" i="5" s="1"/>
  <c r="Z44" i="5"/>
  <c r="X14" i="5"/>
  <c r="Y14" i="5" s="1"/>
  <c r="Z14" i="5" s="1"/>
  <c r="X16" i="5"/>
  <c r="T12" i="5"/>
  <c r="U12" i="5" s="1"/>
  <c r="S8" i="5"/>
  <c r="T8" i="5" s="1"/>
  <c r="U20" i="5"/>
  <c r="V20" i="5" s="1"/>
  <c r="T23" i="5"/>
  <c r="U23" i="5" s="1"/>
  <c r="V23" i="5" s="1"/>
  <c r="R11" i="5"/>
  <c r="T24" i="5"/>
  <c r="U24" i="5" s="1"/>
  <c r="V24" i="5" s="1"/>
  <c r="V18" i="5"/>
  <c r="AB42" i="5"/>
  <c r="AC42" i="5" s="1"/>
  <c r="AD42" i="5" s="1"/>
  <c r="AE42" i="5" s="1"/>
  <c r="AF42" i="5" s="1"/>
  <c r="AG42" i="5" s="1"/>
  <c r="AH42" i="5" s="1"/>
  <c r="AI42" i="5" s="1"/>
  <c r="AJ42" i="5" s="1"/>
  <c r="AK42" i="5" s="1"/>
  <c r="AL42" i="5" s="1"/>
  <c r="AM42" i="5" s="1"/>
  <c r="AN42" i="5" s="1"/>
  <c r="AO42" i="5" s="1"/>
  <c r="AP42" i="5" s="1"/>
  <c r="AQ42" i="5" s="1"/>
  <c r="AR42" i="5" s="1"/>
  <c r="AS42" i="5" s="1"/>
  <c r="S15" i="5"/>
  <c r="V35" i="5"/>
  <c r="U9" i="5"/>
  <c r="V9" i="5" s="1"/>
  <c r="R6" i="5"/>
  <c r="S6" i="5" s="1"/>
  <c r="E28" i="4"/>
  <c r="R27" i="4"/>
  <c r="W43" i="5"/>
  <c r="R16" i="4"/>
  <c r="U8" i="7"/>
  <c r="V8" i="7" s="1"/>
  <c r="E34" i="4"/>
  <c r="U5" i="5"/>
  <c r="V28" i="5"/>
  <c r="S7" i="5"/>
  <c r="R13" i="5"/>
  <c r="AA22" i="5"/>
  <c r="U19" i="5"/>
  <c r="V25" i="5"/>
  <c r="W25" i="5" s="1"/>
  <c r="W17" i="5"/>
  <c r="X17" i="5" s="1"/>
  <c r="V10" i="5"/>
  <c r="U21" i="5"/>
  <c r="U4" i="5"/>
  <c r="W27" i="5"/>
  <c r="AA47" i="5" l="1"/>
  <c r="W26" i="5"/>
  <c r="X26" i="5" s="1"/>
  <c r="AA46" i="5"/>
  <c r="AB46" i="5" s="1"/>
  <c r="X32" i="5"/>
  <c r="Y32" i="5" s="1"/>
  <c r="Z32" i="5" s="1"/>
  <c r="AB52" i="5"/>
  <c r="AC52" i="5" s="1"/>
  <c r="AD51" i="5"/>
  <c r="AE51" i="5" s="1"/>
  <c r="Z57" i="5"/>
  <c r="AA57" i="5" s="1"/>
  <c r="AB49" i="5"/>
  <c r="AC49" i="5" s="1"/>
  <c r="V33" i="5"/>
  <c r="S31" i="5"/>
  <c r="Y60" i="5"/>
  <c r="Z60" i="5" s="1"/>
  <c r="AA60" i="5" s="1"/>
  <c r="AB60" i="5" s="1"/>
  <c r="AC60" i="5" s="1"/>
  <c r="AD60" i="5" s="1"/>
  <c r="AE60" i="5" s="1"/>
  <c r="AF60" i="5" s="1"/>
  <c r="AG60" i="5" s="1"/>
  <c r="AH60" i="5" s="1"/>
  <c r="AI60" i="5" s="1"/>
  <c r="AJ60" i="5" s="1"/>
  <c r="AK60" i="5" s="1"/>
  <c r="AL60" i="5" s="1"/>
  <c r="AM60" i="5" s="1"/>
  <c r="AN60" i="5" s="1"/>
  <c r="AO60" i="5" s="1"/>
  <c r="AP60" i="5" s="1"/>
  <c r="AQ60" i="5" s="1"/>
  <c r="AR60" i="5" s="1"/>
  <c r="AS60" i="5" s="1"/>
  <c r="AT60" i="5" s="1"/>
  <c r="AU60" i="5" s="1"/>
  <c r="AV60" i="5" s="1"/>
  <c r="AW60" i="5" s="1"/>
  <c r="AX60" i="5" s="1"/>
  <c r="AY60" i="5" s="1"/>
  <c r="AZ60" i="5" s="1"/>
  <c r="BA60" i="5" s="1"/>
  <c r="BB60" i="5" s="1"/>
  <c r="BC60" i="5" s="1"/>
  <c r="BD60" i="5" s="1"/>
  <c r="BE60" i="5" s="1"/>
  <c r="BF60" i="5" s="1"/>
  <c r="BG60" i="5" s="1"/>
  <c r="BH60" i="5" s="1"/>
  <c r="BI60" i="5" s="1"/>
  <c r="BJ60" i="5" s="1"/>
  <c r="BK60" i="5" s="1"/>
  <c r="BL60" i="5" s="1"/>
  <c r="BM60" i="5" s="1"/>
  <c r="BN60" i="5" s="1"/>
  <c r="BO60" i="5" s="1"/>
  <c r="BP60" i="5" s="1"/>
  <c r="BQ60" i="5" s="1"/>
  <c r="BR60" i="5" s="1"/>
  <c r="BS60" i="5" s="1"/>
  <c r="BT60" i="5" s="1"/>
  <c r="BU60" i="5" s="1"/>
  <c r="BV60" i="5" s="1"/>
  <c r="Y64" i="5"/>
  <c r="Z64" i="5" s="1"/>
  <c r="AA64" i="5" s="1"/>
  <c r="AB64" i="5" s="1"/>
  <c r="AC64" i="5" s="1"/>
  <c r="AD64" i="5" s="1"/>
  <c r="AE64" i="5" s="1"/>
  <c r="AF64" i="5" s="1"/>
  <c r="AG64" i="5" s="1"/>
  <c r="AH64" i="5" s="1"/>
  <c r="AI64" i="5" s="1"/>
  <c r="AJ64" i="5" s="1"/>
  <c r="AK64" i="5" s="1"/>
  <c r="AL64" i="5" s="1"/>
  <c r="AM64" i="5" s="1"/>
  <c r="AN64" i="5" s="1"/>
  <c r="AO64" i="5" s="1"/>
  <c r="AP64" i="5" s="1"/>
  <c r="AQ64" i="5" s="1"/>
  <c r="AR64" i="5" s="1"/>
  <c r="AS64" i="5" s="1"/>
  <c r="AT64" i="5" s="1"/>
  <c r="AU64" i="5" s="1"/>
  <c r="AV64" i="5" s="1"/>
  <c r="AW64" i="5" s="1"/>
  <c r="AX64" i="5" s="1"/>
  <c r="AY64" i="5" s="1"/>
  <c r="AZ64" i="5" s="1"/>
  <c r="BA64" i="5" s="1"/>
  <c r="BB64" i="5" s="1"/>
  <c r="BC64" i="5" s="1"/>
  <c r="BD64" i="5" s="1"/>
  <c r="BE64" i="5" s="1"/>
  <c r="BF64" i="5" s="1"/>
  <c r="BG64" i="5" s="1"/>
  <c r="BH64" i="5" s="1"/>
  <c r="BI64" i="5" s="1"/>
  <c r="BJ64" i="5" s="1"/>
  <c r="BK64" i="5" s="1"/>
  <c r="BL64" i="5" s="1"/>
  <c r="BM64" i="5" s="1"/>
  <c r="BN64" i="5" s="1"/>
  <c r="BO64" i="5" s="1"/>
  <c r="BP64" i="5" s="1"/>
  <c r="BQ64" i="5" s="1"/>
  <c r="BR64" i="5" s="1"/>
  <c r="BS64" i="5" s="1"/>
  <c r="BT64" i="5" s="1"/>
  <c r="BU64" i="5" s="1"/>
  <c r="BV64" i="5" s="1"/>
  <c r="AA56" i="5"/>
  <c r="AB56" i="5" s="1"/>
  <c r="AC56" i="5" s="1"/>
  <c r="AD56" i="5" s="1"/>
  <c r="AE56" i="5" s="1"/>
  <c r="AF56" i="5" s="1"/>
  <c r="AG56" i="5" s="1"/>
  <c r="AH56" i="5" s="1"/>
  <c r="AI56" i="5" s="1"/>
  <c r="AJ56" i="5" s="1"/>
  <c r="AK56" i="5" s="1"/>
  <c r="AL56" i="5" s="1"/>
  <c r="AF65" i="5"/>
  <c r="AG65" i="5" s="1"/>
  <c r="AH65" i="5" s="1"/>
  <c r="AI65" i="5" s="1"/>
  <c r="AJ65" i="5" s="1"/>
  <c r="AK65" i="5" s="1"/>
  <c r="AL65" i="5" s="1"/>
  <c r="AM65" i="5" s="1"/>
  <c r="AN65" i="5" s="1"/>
  <c r="AO65" i="5" s="1"/>
  <c r="AP65" i="5" s="1"/>
  <c r="AQ65" i="5" s="1"/>
  <c r="AR65" i="5" s="1"/>
  <c r="AS65" i="5" s="1"/>
  <c r="AT65" i="5" s="1"/>
  <c r="AU65" i="5" s="1"/>
  <c r="AV65" i="5" s="1"/>
  <c r="AW65" i="5" s="1"/>
  <c r="AX65" i="5" s="1"/>
  <c r="AY65" i="5" s="1"/>
  <c r="AZ65" i="5" s="1"/>
  <c r="BA65" i="5" s="1"/>
  <c r="BB65" i="5" s="1"/>
  <c r="BC65" i="5" s="1"/>
  <c r="BD65" i="5" s="1"/>
  <c r="BE65" i="5" s="1"/>
  <c r="BF65" i="5" s="1"/>
  <c r="BG65" i="5" s="1"/>
  <c r="BH65" i="5" s="1"/>
  <c r="BI65" i="5" s="1"/>
  <c r="BJ65" i="5" s="1"/>
  <c r="BK65" i="5" s="1"/>
  <c r="BL65" i="5" s="1"/>
  <c r="BM65" i="5" s="1"/>
  <c r="BN65" i="5" s="1"/>
  <c r="BO65" i="5" s="1"/>
  <c r="BP65" i="5" s="1"/>
  <c r="BQ65" i="5" s="1"/>
  <c r="BR65" i="5" s="1"/>
  <c r="BS65" i="5" s="1"/>
  <c r="BT65" i="5" s="1"/>
  <c r="BU65" i="5" s="1"/>
  <c r="BV65" i="5" s="1"/>
  <c r="AE53" i="5"/>
  <c r="AF53" i="5" s="1"/>
  <c r="AG53" i="5" s="1"/>
  <c r="AH53" i="5" s="1"/>
  <c r="AI53" i="5" s="1"/>
  <c r="AJ53" i="5" s="1"/>
  <c r="AK53" i="5" s="1"/>
  <c r="AL53" i="5" s="1"/>
  <c r="AM53" i="5" s="1"/>
  <c r="AN53" i="5" s="1"/>
  <c r="AO53" i="5" s="1"/>
  <c r="AP53" i="5" s="1"/>
  <c r="AQ53" i="5" s="1"/>
  <c r="AR53" i="5" s="1"/>
  <c r="AS53" i="5" s="1"/>
  <c r="AT53" i="5" s="1"/>
  <c r="AU53" i="5" s="1"/>
  <c r="AV53" i="5" s="1"/>
  <c r="AW53" i="5" s="1"/>
  <c r="AX53" i="5" s="1"/>
  <c r="AA55" i="5"/>
  <c r="AM56" i="5"/>
  <c r="AN56" i="5" s="1"/>
  <c r="AO56" i="5" s="1"/>
  <c r="AP56" i="5" s="1"/>
  <c r="Y61" i="5"/>
  <c r="AA68" i="5"/>
  <c r="AB68" i="5" s="1"/>
  <c r="AC68" i="5" s="1"/>
  <c r="AD68" i="5" s="1"/>
  <c r="AE68" i="5" s="1"/>
  <c r="AF68" i="5" s="1"/>
  <c r="AG68" i="5" s="1"/>
  <c r="AH68" i="5" s="1"/>
  <c r="AI68" i="5" s="1"/>
  <c r="AJ68" i="5" s="1"/>
  <c r="AK68" i="5" s="1"/>
  <c r="AL68" i="5" s="1"/>
  <c r="AM68" i="5" s="1"/>
  <c r="AN68" i="5" s="1"/>
  <c r="AO68" i="5" s="1"/>
  <c r="AP68" i="5" s="1"/>
  <c r="AQ68" i="5" s="1"/>
  <c r="AR68" i="5" s="1"/>
  <c r="AS68" i="5" s="1"/>
  <c r="AT68" i="5" s="1"/>
  <c r="AU68" i="5" s="1"/>
  <c r="AV68" i="5" s="1"/>
  <c r="AW68" i="5" s="1"/>
  <c r="AX68" i="5" s="1"/>
  <c r="AY68" i="5" s="1"/>
  <c r="AZ68" i="5" s="1"/>
  <c r="BA68" i="5" s="1"/>
  <c r="BB68" i="5" s="1"/>
  <c r="BC68" i="5" s="1"/>
  <c r="BD68" i="5" s="1"/>
  <c r="BE68" i="5" s="1"/>
  <c r="BF68" i="5" s="1"/>
  <c r="BG68" i="5" s="1"/>
  <c r="BH68" i="5" s="1"/>
  <c r="BI68" i="5" s="1"/>
  <c r="BJ68" i="5" s="1"/>
  <c r="BK68" i="5" s="1"/>
  <c r="BL68" i="5" s="1"/>
  <c r="BM68" i="5" s="1"/>
  <c r="BN68" i="5" s="1"/>
  <c r="BO68" i="5" s="1"/>
  <c r="BP68" i="5" s="1"/>
  <c r="BQ68" i="5" s="1"/>
  <c r="BR68" i="5" s="1"/>
  <c r="BS68" i="5" s="1"/>
  <c r="BT68" i="5" s="1"/>
  <c r="BU68" i="5" s="1"/>
  <c r="BV68" i="5" s="1"/>
  <c r="Y48" i="5"/>
  <c r="Z48" i="5" s="1"/>
  <c r="X54" i="5"/>
  <c r="Y54" i="5" s="1"/>
  <c r="AL66" i="5"/>
  <c r="AM66" i="5" s="1"/>
  <c r="AN66" i="5" s="1"/>
  <c r="AO66" i="5" s="1"/>
  <c r="AP66" i="5" s="1"/>
  <c r="AQ66" i="5" s="1"/>
  <c r="AR66" i="5" s="1"/>
  <c r="AS66" i="5" s="1"/>
  <c r="AT66" i="5"/>
  <c r="AU66" i="5" s="1"/>
  <c r="AV66" i="5" s="1"/>
  <c r="AW66" i="5" s="1"/>
  <c r="AX66" i="5" s="1"/>
  <c r="AY66" i="5" s="1"/>
  <c r="AZ66" i="5" s="1"/>
  <c r="BA66" i="5" s="1"/>
  <c r="BB66" i="5" s="1"/>
  <c r="BC66" i="5" s="1"/>
  <c r="BD66" i="5" s="1"/>
  <c r="BE66" i="5" s="1"/>
  <c r="BF66" i="5" s="1"/>
  <c r="BG66" i="5" s="1"/>
  <c r="BH66" i="5" s="1"/>
  <c r="BI66" i="5" s="1"/>
  <c r="BJ66" i="5" s="1"/>
  <c r="BK66" i="5" s="1"/>
  <c r="BL66" i="5" s="1"/>
  <c r="BM66" i="5" s="1"/>
  <c r="BN66" i="5" s="1"/>
  <c r="BO66" i="5" s="1"/>
  <c r="BP66" i="5" s="1"/>
  <c r="BQ66" i="5" s="1"/>
  <c r="BR66" i="5" s="1"/>
  <c r="BS66" i="5" s="1"/>
  <c r="BT66" i="5" s="1"/>
  <c r="BU66" i="5" s="1"/>
  <c r="BV66" i="5" s="1"/>
  <c r="AC63" i="5"/>
  <c r="AD63" i="5" s="1"/>
  <c r="AE63" i="5" s="1"/>
  <c r="AF63" i="5" s="1"/>
  <c r="AG63" i="5" s="1"/>
  <c r="AH63" i="5" s="1"/>
  <c r="AI63" i="5" s="1"/>
  <c r="AJ63" i="5" s="1"/>
  <c r="AC69" i="5"/>
  <c r="AA59" i="5"/>
  <c r="Z70" i="5"/>
  <c r="AA70" i="5" s="1"/>
  <c r="AB70" i="5" s="1"/>
  <c r="AC70" i="5" s="1"/>
  <c r="AD70" i="5" s="1"/>
  <c r="AE70" i="5" s="1"/>
  <c r="AF70" i="5" s="1"/>
  <c r="AG70" i="5" s="1"/>
  <c r="AH70" i="5" s="1"/>
  <c r="AI70" i="5" s="1"/>
  <c r="AJ70" i="5" s="1"/>
  <c r="AK70" i="5" s="1"/>
  <c r="AL70" i="5" s="1"/>
  <c r="AM70" i="5" s="1"/>
  <c r="AN70" i="5" s="1"/>
  <c r="AO70" i="5" s="1"/>
  <c r="AP70" i="5" s="1"/>
  <c r="AQ70" i="5" s="1"/>
  <c r="AR70" i="5" s="1"/>
  <c r="AS70" i="5" s="1"/>
  <c r="AT70" i="5" s="1"/>
  <c r="AU70" i="5" s="1"/>
  <c r="AV70" i="5" s="1"/>
  <c r="AW70" i="5" s="1"/>
  <c r="AX70" i="5" s="1"/>
  <c r="AY70" i="5" s="1"/>
  <c r="AZ70" i="5" s="1"/>
  <c r="BA70" i="5" s="1"/>
  <c r="BB70" i="5" s="1"/>
  <c r="BC70" i="5" s="1"/>
  <c r="BD70" i="5" s="1"/>
  <c r="BE70" i="5" s="1"/>
  <c r="BF70" i="5" s="1"/>
  <c r="BG70" i="5" s="1"/>
  <c r="BH70" i="5" s="1"/>
  <c r="BI70" i="5" s="1"/>
  <c r="BJ70" i="5" s="1"/>
  <c r="BK70" i="5" s="1"/>
  <c r="BL70" i="5" s="1"/>
  <c r="BM70" i="5" s="1"/>
  <c r="BN70" i="5" s="1"/>
  <c r="BO70" i="5" s="1"/>
  <c r="BP70" i="5" s="1"/>
  <c r="BQ70" i="5" s="1"/>
  <c r="BR70" i="5" s="1"/>
  <c r="BS70" i="5" s="1"/>
  <c r="BT70" i="5" s="1"/>
  <c r="BU70" i="5" s="1"/>
  <c r="BV70" i="5" s="1"/>
  <c r="Y62" i="5"/>
  <c r="AE50" i="5"/>
  <c r="AF50" i="5" s="1"/>
  <c r="AG50" i="5" s="1"/>
  <c r="AH50" i="5" s="1"/>
  <c r="AI50" i="5" s="1"/>
  <c r="AJ50" i="5" s="1"/>
  <c r="AK50" i="5" s="1"/>
  <c r="AL50" i="5" s="1"/>
  <c r="AM50" i="5" s="1"/>
  <c r="AN50" i="5" s="1"/>
  <c r="AO50" i="5" s="1"/>
  <c r="AP50" i="5" s="1"/>
  <c r="AQ50" i="5" s="1"/>
  <c r="AR50" i="5" s="1"/>
  <c r="AS50" i="5" s="1"/>
  <c r="AT50" i="5" s="1"/>
  <c r="AU50" i="5" s="1"/>
  <c r="AV50" i="5" s="1"/>
  <c r="AW50" i="5" s="1"/>
  <c r="AX50" i="5" s="1"/>
  <c r="AY50" i="5" s="1"/>
  <c r="AZ50" i="5" s="1"/>
  <c r="BA50" i="5" s="1"/>
  <c r="BB50" i="5" s="1"/>
  <c r="BC50" i="5" s="1"/>
  <c r="BD50" i="5" s="1"/>
  <c r="BE50" i="5" s="1"/>
  <c r="BF50" i="5" s="1"/>
  <c r="BG50" i="5" s="1"/>
  <c r="BH50" i="5" s="1"/>
  <c r="BI50" i="5" s="1"/>
  <c r="BJ50" i="5" s="1"/>
  <c r="BK50" i="5" s="1"/>
  <c r="BL50" i="5" s="1"/>
  <c r="BM50" i="5" s="1"/>
  <c r="BN50" i="5" s="1"/>
  <c r="BO50" i="5" s="1"/>
  <c r="BP50" i="5" s="1"/>
  <c r="BQ50" i="5" s="1"/>
  <c r="BR50" i="5" s="1"/>
  <c r="BS50" i="5" s="1"/>
  <c r="BT50" i="5" s="1"/>
  <c r="BU50" i="5" s="1"/>
  <c r="BV50" i="5" s="1"/>
  <c r="W40" i="5"/>
  <c r="U38" i="5"/>
  <c r="X40" i="5"/>
  <c r="W39" i="5"/>
  <c r="X39" i="5" s="1"/>
  <c r="AD45" i="5"/>
  <c r="AE45" i="5" s="1"/>
  <c r="AF45" i="5" s="1"/>
  <c r="AG45" i="5" s="1"/>
  <c r="AH45" i="5" s="1"/>
  <c r="AI45" i="5" s="1"/>
  <c r="AJ45" i="5" s="1"/>
  <c r="AK45" i="5" s="1"/>
  <c r="AL45" i="5" s="1"/>
  <c r="AM45" i="5" s="1"/>
  <c r="AN45" i="5" s="1"/>
  <c r="AO45" i="5" s="1"/>
  <c r="AP45" i="5" s="1"/>
  <c r="AQ45" i="5" s="1"/>
  <c r="AA44" i="5"/>
  <c r="U41" i="5"/>
  <c r="AT42" i="5"/>
  <c r="AU42" i="5" s="1"/>
  <c r="AV42" i="5" s="1"/>
  <c r="Z34" i="5"/>
  <c r="AA34" i="5" s="1"/>
  <c r="AB34" i="5" s="1"/>
  <c r="AC34" i="5" s="1"/>
  <c r="AD34" i="5" s="1"/>
  <c r="AE34" i="5" s="1"/>
  <c r="AF34" i="5" s="1"/>
  <c r="AG34" i="5" s="1"/>
  <c r="AH34" i="5" s="1"/>
  <c r="AI34" i="5" s="1"/>
  <c r="AJ34" i="5" s="1"/>
  <c r="AK34" i="5" s="1"/>
  <c r="AL34" i="5" s="1"/>
  <c r="AM34" i="5" s="1"/>
  <c r="T36" i="5"/>
  <c r="AA30" i="5"/>
  <c r="AB30" i="5" s="1"/>
  <c r="AC30" i="5" s="1"/>
  <c r="Y29" i="5"/>
  <c r="Y16" i="5"/>
  <c r="Z16" i="5" s="1"/>
  <c r="AA16" i="5" s="1"/>
  <c r="V12" i="5"/>
  <c r="W12" i="5" s="1"/>
  <c r="AA14" i="5"/>
  <c r="AB14" i="5" s="1"/>
  <c r="AC14" i="5" s="1"/>
  <c r="AD14" i="5" s="1"/>
  <c r="AE14" i="5" s="1"/>
  <c r="AF14" i="5" s="1"/>
  <c r="AG14" i="5" s="1"/>
  <c r="AH14" i="5" s="1"/>
  <c r="AI14" i="5" s="1"/>
  <c r="Y17" i="5"/>
  <c r="Z17" i="5" s="1"/>
  <c r="Y26" i="5"/>
  <c r="Z26" i="5" s="1"/>
  <c r="S11" i="5"/>
  <c r="W8" i="7"/>
  <c r="X8" i="7" s="1"/>
  <c r="W24" i="5"/>
  <c r="X24" i="5" s="1"/>
  <c r="Y24" i="5" s="1"/>
  <c r="Z24" i="5" s="1"/>
  <c r="R18" i="4"/>
  <c r="R17" i="4"/>
  <c r="E29" i="4"/>
  <c r="R28" i="4"/>
  <c r="W20" i="5"/>
  <c r="X20" i="5" s="1"/>
  <c r="AB47" i="5"/>
  <c r="T7" i="5"/>
  <c r="U7" i="5" s="1"/>
  <c r="Z37" i="5"/>
  <c r="AA37" i="5" s="1"/>
  <c r="V5" i="5"/>
  <c r="W23" i="5"/>
  <c r="X23" i="5" s="1"/>
  <c r="Y23" i="5" s="1"/>
  <c r="U8" i="5"/>
  <c r="V8" i="5" s="1"/>
  <c r="W8" i="5" s="1"/>
  <c r="T15" i="5"/>
  <c r="X25" i="5"/>
  <c r="Y25" i="5" s="1"/>
  <c r="S13" i="5"/>
  <c r="T13" i="5" s="1"/>
  <c r="U13" i="5" s="1"/>
  <c r="X43" i="5"/>
  <c r="W9" i="5"/>
  <c r="X9" i="5" s="1"/>
  <c r="Y9" i="5" s="1"/>
  <c r="W28" i="5"/>
  <c r="W35" i="5"/>
  <c r="T6" i="5"/>
  <c r="W18" i="5"/>
  <c r="AB22" i="5"/>
  <c r="AC22" i="5" s="1"/>
  <c r="AD22" i="5" s="1"/>
  <c r="V21" i="5"/>
  <c r="W21" i="5" s="1"/>
  <c r="V4" i="5"/>
  <c r="V19" i="5"/>
  <c r="W19" i="5" s="1"/>
  <c r="X19" i="5" s="1"/>
  <c r="Y19" i="5" s="1"/>
  <c r="Z19" i="5" s="1"/>
  <c r="AA19" i="5" s="1"/>
  <c r="AB19" i="5" s="1"/>
  <c r="AC19" i="5" s="1"/>
  <c r="AD19" i="5" s="1"/>
  <c r="AE19" i="5" s="1"/>
  <c r="AF19" i="5" s="1"/>
  <c r="AG19" i="5" s="1"/>
  <c r="AH19" i="5" s="1"/>
  <c r="AI19" i="5" s="1"/>
  <c r="AJ19" i="5" s="1"/>
  <c r="AK19" i="5" s="1"/>
  <c r="AL19" i="5" s="1"/>
  <c r="AM19" i="5" s="1"/>
  <c r="AN19" i="5" s="1"/>
  <c r="AO19" i="5" s="1"/>
  <c r="AP19" i="5" s="1"/>
  <c r="AQ19" i="5" s="1"/>
  <c r="AR19" i="5" s="1"/>
  <c r="AS19" i="5" s="1"/>
  <c r="AT19" i="5" s="1"/>
  <c r="AU19" i="5" s="1"/>
  <c r="AV19" i="5" s="1"/>
  <c r="AW19" i="5" s="1"/>
  <c r="AX19" i="5" s="1"/>
  <c r="AY19" i="5" s="1"/>
  <c r="AZ19" i="5" s="1"/>
  <c r="BA19" i="5" s="1"/>
  <c r="BB19" i="5" s="1"/>
  <c r="BC19" i="5" s="1"/>
  <c r="BD19" i="5" s="1"/>
  <c r="BE19" i="5" s="1"/>
  <c r="BF19" i="5" s="1"/>
  <c r="BG19" i="5" s="1"/>
  <c r="BH19" i="5" s="1"/>
  <c r="BI19" i="5" s="1"/>
  <c r="BJ19" i="5" s="1"/>
  <c r="BK19" i="5" s="1"/>
  <c r="BL19" i="5" s="1"/>
  <c r="BM19" i="5" s="1"/>
  <c r="BN19" i="5" s="1"/>
  <c r="BO19" i="5" s="1"/>
  <c r="BP19" i="5" s="1"/>
  <c r="BQ19" i="5" s="1"/>
  <c r="BR19" i="5" s="1"/>
  <c r="BS19" i="5" s="1"/>
  <c r="BT19" i="5" s="1"/>
  <c r="BU19" i="5" s="1"/>
  <c r="BV19" i="5" s="1"/>
  <c r="X27" i="5"/>
  <c r="W10" i="5"/>
  <c r="X10" i="5" s="1"/>
  <c r="Y10" i="5" s="1"/>
  <c r="Z10" i="5" s="1"/>
  <c r="AA10" i="5" s="1"/>
  <c r="AB10" i="5" s="1"/>
  <c r="AC10" i="5" s="1"/>
  <c r="AD10" i="5" s="1"/>
  <c r="AE10" i="5" s="1"/>
  <c r="AF10" i="5" s="1"/>
  <c r="AG10" i="5" s="1"/>
  <c r="AH10" i="5" s="1"/>
  <c r="AI10" i="5" s="1"/>
  <c r="AJ10" i="5" s="1"/>
  <c r="AK10" i="5" s="1"/>
  <c r="AL10" i="5" s="1"/>
  <c r="AM10" i="5" s="1"/>
  <c r="AN10" i="5" s="1"/>
  <c r="AO10" i="5" s="1"/>
  <c r="AP10" i="5" s="1"/>
  <c r="AQ10" i="5" s="1"/>
  <c r="AR10" i="5" s="1"/>
  <c r="AS10" i="5" s="1"/>
  <c r="AT10" i="5" s="1"/>
  <c r="AU10" i="5" s="1"/>
  <c r="AV10" i="5" s="1"/>
  <c r="AW10" i="5" s="1"/>
  <c r="AX10" i="5" s="1"/>
  <c r="AY10" i="5" s="1"/>
  <c r="AZ10" i="5" s="1"/>
  <c r="BA10" i="5" s="1"/>
  <c r="BB10" i="5" s="1"/>
  <c r="BC10" i="5" s="1"/>
  <c r="BD10" i="5" s="1"/>
  <c r="BE10" i="5" s="1"/>
  <c r="BF10" i="5" s="1"/>
  <c r="BG10" i="5" s="1"/>
  <c r="BH10" i="5" s="1"/>
  <c r="BI10" i="5" s="1"/>
  <c r="BJ10" i="5" s="1"/>
  <c r="BK10" i="5" s="1"/>
  <c r="BL10" i="5" s="1"/>
  <c r="BM10" i="5" s="1"/>
  <c r="BN10" i="5" s="1"/>
  <c r="BO10" i="5" s="1"/>
  <c r="BP10" i="5" s="1"/>
  <c r="BQ10" i="5" s="1"/>
  <c r="BR10" i="5" s="1"/>
  <c r="BS10" i="5" s="1"/>
  <c r="BT10" i="5" s="1"/>
  <c r="BU10" i="5" s="1"/>
  <c r="BV10" i="5" s="1"/>
  <c r="J19" i="5" l="1"/>
  <c r="J23" i="7" s="1"/>
  <c r="J10" i="5"/>
  <c r="J14" i="7" s="1"/>
  <c r="AC46" i="5"/>
  <c r="AD46" i="5" s="1"/>
  <c r="Z54" i="5"/>
  <c r="AA54" i="5" s="1"/>
  <c r="AQ56" i="5"/>
  <c r="AR56" i="5" s="1"/>
  <c r="AS56" i="5" s="1"/>
  <c r="AT56" i="5" s="1"/>
  <c r="AU56" i="5" s="1"/>
  <c r="AV56" i="5" s="1"/>
  <c r="AW56" i="5" s="1"/>
  <c r="AX56" i="5" s="1"/>
  <c r="AY56" i="5" s="1"/>
  <c r="AZ56" i="5" s="1"/>
  <c r="BA56" i="5" s="1"/>
  <c r="BB56" i="5" s="1"/>
  <c r="BC56" i="5" s="1"/>
  <c r="BD56" i="5" s="1"/>
  <c r="BE56" i="5" s="1"/>
  <c r="BF56" i="5" s="1"/>
  <c r="BG56" i="5" s="1"/>
  <c r="BH56" i="5" s="1"/>
  <c r="BI56" i="5" s="1"/>
  <c r="BJ56" i="5" s="1"/>
  <c r="BK56" i="5" s="1"/>
  <c r="BL56" i="5" s="1"/>
  <c r="BM56" i="5" s="1"/>
  <c r="BN56" i="5" s="1"/>
  <c r="BO56" i="5" s="1"/>
  <c r="BP56" i="5" s="1"/>
  <c r="BQ56" i="5" s="1"/>
  <c r="BR56" i="5" s="1"/>
  <c r="BS56" i="5" s="1"/>
  <c r="BT56" i="5" s="1"/>
  <c r="BU56" i="5" s="1"/>
  <c r="BV56" i="5" s="1"/>
  <c r="AB57" i="5"/>
  <c r="AC57" i="5" s="1"/>
  <c r="AD57" i="5" s="1"/>
  <c r="AE57" i="5" s="1"/>
  <c r="AF57" i="5" s="1"/>
  <c r="AG57" i="5" s="1"/>
  <c r="AH57" i="5" s="1"/>
  <c r="AI57" i="5" s="1"/>
  <c r="AF51" i="5"/>
  <c r="AG51" i="5" s="1"/>
  <c r="AH51" i="5" s="1"/>
  <c r="AI51" i="5" s="1"/>
  <c r="AD52" i="5"/>
  <c r="AE52" i="5" s="1"/>
  <c r="AF52" i="5" s="1"/>
  <c r="AG52" i="5" s="1"/>
  <c r="AH52" i="5" s="1"/>
  <c r="AI52" i="5" s="1"/>
  <c r="AJ52" i="5" s="1"/>
  <c r="AK52" i="5" s="1"/>
  <c r="AL52" i="5" s="1"/>
  <c r="AM52" i="5" s="1"/>
  <c r="AN52" i="5" s="1"/>
  <c r="AO52" i="5" s="1"/>
  <c r="AP52" i="5" s="1"/>
  <c r="AQ52" i="5" s="1"/>
  <c r="AR52" i="5" s="1"/>
  <c r="AS52" i="5" s="1"/>
  <c r="AT52" i="5" s="1"/>
  <c r="AU52" i="5" s="1"/>
  <c r="AV52" i="5" s="1"/>
  <c r="AW52" i="5" s="1"/>
  <c r="AX52" i="5" s="1"/>
  <c r="AY52" i="5" s="1"/>
  <c r="AZ52" i="5" s="1"/>
  <c r="BA52" i="5" s="1"/>
  <c r="BB52" i="5" s="1"/>
  <c r="BC52" i="5" s="1"/>
  <c r="BD52" i="5" s="1"/>
  <c r="BE52" i="5" s="1"/>
  <c r="BF52" i="5" s="1"/>
  <c r="BG52" i="5" s="1"/>
  <c r="BH52" i="5" s="1"/>
  <c r="BI52" i="5" s="1"/>
  <c r="BJ52" i="5" s="1"/>
  <c r="BK52" i="5" s="1"/>
  <c r="BL52" i="5" s="1"/>
  <c r="BM52" i="5" s="1"/>
  <c r="BN52" i="5" s="1"/>
  <c r="BO52" i="5" s="1"/>
  <c r="BP52" i="5" s="1"/>
  <c r="BQ52" i="5" s="1"/>
  <c r="BR52" i="5" s="1"/>
  <c r="BS52" i="5" s="1"/>
  <c r="BT52" i="5" s="1"/>
  <c r="BU52" i="5" s="1"/>
  <c r="BV52" i="5" s="1"/>
  <c r="AY53" i="5"/>
  <c r="AZ53" i="5" s="1"/>
  <c r="BA53" i="5" s="1"/>
  <c r="BB53" i="5" s="1"/>
  <c r="BC53" i="5" s="1"/>
  <c r="BD53" i="5" s="1"/>
  <c r="BE53" i="5" s="1"/>
  <c r="BF53" i="5" s="1"/>
  <c r="BG53" i="5" s="1"/>
  <c r="BH53" i="5" s="1"/>
  <c r="BI53" i="5" s="1"/>
  <c r="BJ53" i="5" s="1"/>
  <c r="BK53" i="5" s="1"/>
  <c r="BL53" i="5" s="1"/>
  <c r="BM53" i="5" s="1"/>
  <c r="BN53" i="5" s="1"/>
  <c r="BO53" i="5" s="1"/>
  <c r="BP53" i="5" s="1"/>
  <c r="BQ53" i="5" s="1"/>
  <c r="BR53" i="5" s="1"/>
  <c r="BS53" i="5" s="1"/>
  <c r="BT53" i="5" s="1"/>
  <c r="BU53" i="5" s="1"/>
  <c r="BV53" i="5" s="1"/>
  <c r="AD49" i="5"/>
  <c r="Y40" i="5"/>
  <c r="AA17" i="5"/>
  <c r="Z40" i="5"/>
  <c r="AA40" i="5" s="1"/>
  <c r="AB40" i="5" s="1"/>
  <c r="AC40" i="5" s="1"/>
  <c r="T31" i="5"/>
  <c r="W33" i="5"/>
  <c r="Z62" i="5"/>
  <c r="AA62" i="5"/>
  <c r="AB62" i="5" s="1"/>
  <c r="AC62" i="5" s="1"/>
  <c r="AD62" i="5" s="1"/>
  <c r="AE62" i="5" s="1"/>
  <c r="AF62" i="5" s="1"/>
  <c r="AG62" i="5" s="1"/>
  <c r="AH62" i="5" s="1"/>
  <c r="AI62" i="5" s="1"/>
  <c r="AJ62" i="5" s="1"/>
  <c r="AK62" i="5" s="1"/>
  <c r="AL62" i="5" s="1"/>
  <c r="AM62" i="5" s="1"/>
  <c r="AN62" i="5" s="1"/>
  <c r="AO62" i="5" s="1"/>
  <c r="AP62" i="5" s="1"/>
  <c r="AQ62" i="5" s="1"/>
  <c r="AR62" i="5" s="1"/>
  <c r="AS62" i="5" s="1"/>
  <c r="AT62" i="5" s="1"/>
  <c r="AU62" i="5" s="1"/>
  <c r="AV62" i="5" s="1"/>
  <c r="AW62" i="5" s="1"/>
  <c r="AX62" i="5" s="1"/>
  <c r="AY62" i="5" s="1"/>
  <c r="AZ62" i="5" s="1"/>
  <c r="BA62" i="5" s="1"/>
  <c r="BB62" i="5" s="1"/>
  <c r="BC62" i="5" s="1"/>
  <c r="BD62" i="5" s="1"/>
  <c r="BE62" i="5" s="1"/>
  <c r="BF62" i="5" s="1"/>
  <c r="BG62" i="5" s="1"/>
  <c r="BH62" i="5" s="1"/>
  <c r="BI62" i="5" s="1"/>
  <c r="BJ62" i="5" s="1"/>
  <c r="BK62" i="5" s="1"/>
  <c r="BL62" i="5" s="1"/>
  <c r="BM62" i="5" s="1"/>
  <c r="BN62" i="5" s="1"/>
  <c r="BO62" i="5" s="1"/>
  <c r="BP62" i="5" s="1"/>
  <c r="BQ62" i="5" s="1"/>
  <c r="BR62" i="5" s="1"/>
  <c r="BS62" i="5" s="1"/>
  <c r="BT62" i="5" s="1"/>
  <c r="BU62" i="5" s="1"/>
  <c r="BV62" i="5" s="1"/>
  <c r="Z61" i="5"/>
  <c r="AA61" i="5" s="1"/>
  <c r="AB61" i="5" s="1"/>
  <c r="AC61" i="5" s="1"/>
  <c r="AD61" i="5" s="1"/>
  <c r="AE61" i="5" s="1"/>
  <c r="AF61" i="5" s="1"/>
  <c r="AG61" i="5" s="1"/>
  <c r="AH61" i="5" s="1"/>
  <c r="AI61" i="5" s="1"/>
  <c r="AJ61" i="5" s="1"/>
  <c r="AK61" i="5"/>
  <c r="AL61" i="5" s="1"/>
  <c r="AM61" i="5" s="1"/>
  <c r="AN61" i="5" s="1"/>
  <c r="AO61" i="5" s="1"/>
  <c r="AP61" i="5" s="1"/>
  <c r="AQ61" i="5" s="1"/>
  <c r="AR61" i="5" s="1"/>
  <c r="AS61" i="5" s="1"/>
  <c r="AT61" i="5" s="1"/>
  <c r="AU61" i="5"/>
  <c r="AV61" i="5" s="1"/>
  <c r="AW61" i="5" s="1"/>
  <c r="AX61" i="5" s="1"/>
  <c r="AY61" i="5" s="1"/>
  <c r="AZ61" i="5" s="1"/>
  <c r="BA61" i="5" s="1"/>
  <c r="BB61" i="5" s="1"/>
  <c r="BC61" i="5" s="1"/>
  <c r="BD61" i="5" s="1"/>
  <c r="BE61" i="5" s="1"/>
  <c r="BF61" i="5" s="1"/>
  <c r="BG61" i="5" s="1"/>
  <c r="BH61" i="5" s="1"/>
  <c r="BI61" i="5" s="1"/>
  <c r="BJ61" i="5" s="1"/>
  <c r="BK61" i="5" s="1"/>
  <c r="BL61" i="5" s="1"/>
  <c r="BM61" i="5" s="1"/>
  <c r="BN61" i="5" s="1"/>
  <c r="BO61" i="5" s="1"/>
  <c r="BP61" i="5" s="1"/>
  <c r="BQ61" i="5" s="1"/>
  <c r="BR61" i="5" s="1"/>
  <c r="BS61" i="5" s="1"/>
  <c r="BT61" i="5" s="1"/>
  <c r="BU61" i="5" s="1"/>
  <c r="BV61" i="5" s="1"/>
  <c r="AA48" i="5"/>
  <c r="AB59" i="5"/>
  <c r="AC59" i="5" s="1"/>
  <c r="AD59" i="5" s="1"/>
  <c r="AE59" i="5" s="1"/>
  <c r="AF59" i="5" s="1"/>
  <c r="AG59" i="5" s="1"/>
  <c r="AH59" i="5" s="1"/>
  <c r="AI59" i="5" s="1"/>
  <c r="AJ59" i="5" s="1"/>
  <c r="AK59" i="5" s="1"/>
  <c r="AL59" i="5" s="1"/>
  <c r="AM59" i="5" s="1"/>
  <c r="AN59" i="5"/>
  <c r="AO59" i="5" s="1"/>
  <c r="AP59" i="5" s="1"/>
  <c r="AQ59" i="5" s="1"/>
  <c r="AR59" i="5" s="1"/>
  <c r="AS59" i="5" s="1"/>
  <c r="AT59" i="5" s="1"/>
  <c r="AU59" i="5" s="1"/>
  <c r="AV59" i="5" s="1"/>
  <c r="AW59" i="5" s="1"/>
  <c r="AX59" i="5" s="1"/>
  <c r="AY59" i="5" s="1"/>
  <c r="AZ59" i="5" s="1"/>
  <c r="BA59" i="5" s="1"/>
  <c r="BB59" i="5" s="1"/>
  <c r="BC59" i="5" s="1"/>
  <c r="BD59" i="5" s="1"/>
  <c r="BE59" i="5" s="1"/>
  <c r="BF59" i="5" s="1"/>
  <c r="BG59" i="5" s="1"/>
  <c r="BH59" i="5" s="1"/>
  <c r="BI59" i="5" s="1"/>
  <c r="BJ59" i="5" s="1"/>
  <c r="BK59" i="5" s="1"/>
  <c r="BL59" i="5" s="1"/>
  <c r="BM59" i="5" s="1"/>
  <c r="BN59" i="5" s="1"/>
  <c r="BO59" i="5" s="1"/>
  <c r="BP59" i="5" s="1"/>
  <c r="BQ59" i="5" s="1"/>
  <c r="BR59" i="5" s="1"/>
  <c r="BS59" i="5" s="1"/>
  <c r="BT59" i="5" s="1"/>
  <c r="BU59" i="5" s="1"/>
  <c r="BV59" i="5" s="1"/>
  <c r="AD69" i="5"/>
  <c r="AE69" i="5" s="1"/>
  <c r="AF69" i="5" s="1"/>
  <c r="AG69" i="5" s="1"/>
  <c r="AH69" i="5" s="1"/>
  <c r="AI69" i="5" s="1"/>
  <c r="AJ69" i="5" s="1"/>
  <c r="AK69" i="5" s="1"/>
  <c r="AL69" i="5" s="1"/>
  <c r="AM69" i="5" s="1"/>
  <c r="AN69" i="5" s="1"/>
  <c r="AO69" i="5" s="1"/>
  <c r="AP69" i="5" s="1"/>
  <c r="AQ69" i="5" s="1"/>
  <c r="AR69" i="5" s="1"/>
  <c r="AS69" i="5" s="1"/>
  <c r="AT69" i="5" s="1"/>
  <c r="AU69" i="5" s="1"/>
  <c r="AV69" i="5" s="1"/>
  <c r="AW69" i="5" s="1"/>
  <c r="AX69" i="5" s="1"/>
  <c r="AY69" i="5" s="1"/>
  <c r="AZ69" i="5" s="1"/>
  <c r="BA69" i="5" s="1"/>
  <c r="BB69" i="5" s="1"/>
  <c r="BC69" i="5" s="1"/>
  <c r="BD69" i="5" s="1"/>
  <c r="BE69" i="5" s="1"/>
  <c r="BF69" i="5" s="1"/>
  <c r="BG69" i="5" s="1"/>
  <c r="BH69" i="5" s="1"/>
  <c r="BI69" i="5" s="1"/>
  <c r="BJ69" i="5" s="1"/>
  <c r="BK69" i="5" s="1"/>
  <c r="BL69" i="5" s="1"/>
  <c r="BM69" i="5" s="1"/>
  <c r="BN69" i="5" s="1"/>
  <c r="BO69" i="5" s="1"/>
  <c r="BP69" i="5" s="1"/>
  <c r="BQ69" i="5" s="1"/>
  <c r="BR69" i="5" s="1"/>
  <c r="BS69" i="5" s="1"/>
  <c r="BT69" i="5" s="1"/>
  <c r="BU69" i="5" s="1"/>
  <c r="BV69" i="5" s="1"/>
  <c r="AK63" i="5"/>
  <c r="AL63" i="5" s="1"/>
  <c r="AM63" i="5" s="1"/>
  <c r="AN63" i="5" s="1"/>
  <c r="AO63" i="5"/>
  <c r="AP63" i="5" s="1"/>
  <c r="AQ63" i="5" s="1"/>
  <c r="AR63" i="5" s="1"/>
  <c r="AS63" i="5" s="1"/>
  <c r="AT63" i="5" s="1"/>
  <c r="AU63" i="5" s="1"/>
  <c r="AV63" i="5" s="1"/>
  <c r="AW63" i="5" s="1"/>
  <c r="AX63" i="5" s="1"/>
  <c r="AY63" i="5" s="1"/>
  <c r="AZ63" i="5" s="1"/>
  <c r="BA63" i="5" s="1"/>
  <c r="BB63" i="5" s="1"/>
  <c r="BC63" i="5" s="1"/>
  <c r="BD63" i="5" s="1"/>
  <c r="BE63" i="5" s="1"/>
  <c r="BF63" i="5" s="1"/>
  <c r="BG63" i="5" s="1"/>
  <c r="BH63" i="5" s="1"/>
  <c r="BI63" i="5" s="1"/>
  <c r="BJ63" i="5" s="1"/>
  <c r="BK63" i="5" s="1"/>
  <c r="BL63" i="5" s="1"/>
  <c r="BM63" i="5" s="1"/>
  <c r="BN63" i="5" s="1"/>
  <c r="BO63" i="5" s="1"/>
  <c r="BP63" i="5" s="1"/>
  <c r="BQ63" i="5" s="1"/>
  <c r="BR63" i="5" s="1"/>
  <c r="BS63" i="5" s="1"/>
  <c r="BT63" i="5" s="1"/>
  <c r="BU63" i="5" s="1"/>
  <c r="BV63" i="5" s="1"/>
  <c r="AB55" i="5"/>
  <c r="AC55" i="5" s="1"/>
  <c r="AD55" i="5" s="1"/>
  <c r="AE55" i="5" s="1"/>
  <c r="AF55" i="5" s="1"/>
  <c r="AG55" i="5" s="1"/>
  <c r="AH55" i="5" s="1"/>
  <c r="AI55" i="5" s="1"/>
  <c r="AJ55" i="5" s="1"/>
  <c r="AK55" i="5" s="1"/>
  <c r="AL55" i="5" s="1"/>
  <c r="AM55" i="5" s="1"/>
  <c r="AN55" i="5" s="1"/>
  <c r="AO55" i="5" s="1"/>
  <c r="AP55" i="5" s="1"/>
  <c r="AQ55" i="5" s="1"/>
  <c r="AR55" i="5" s="1"/>
  <c r="AS55" i="5" s="1"/>
  <c r="AT55" i="5" s="1"/>
  <c r="V38" i="5"/>
  <c r="W38" i="5" s="1"/>
  <c r="Y39" i="5"/>
  <c r="Z39" i="5" s="1"/>
  <c r="AA39" i="5" s="1"/>
  <c r="AB39" i="5" s="1"/>
  <c r="AC39" i="5" s="1"/>
  <c r="AW42" i="5"/>
  <c r="AX42" i="5" s="1"/>
  <c r="AY42" i="5" s="1"/>
  <c r="AR45" i="5"/>
  <c r="AS45" i="5" s="1"/>
  <c r="AC47" i="5"/>
  <c r="V41" i="5"/>
  <c r="AB44" i="5"/>
  <c r="AN34" i="5"/>
  <c r="AO34" i="5" s="1"/>
  <c r="AP34" i="5" s="1"/>
  <c r="U36" i="5"/>
  <c r="AD30" i="5"/>
  <c r="AE30" i="5" s="1"/>
  <c r="AB37" i="5"/>
  <c r="AC37" i="5" s="1"/>
  <c r="AD37" i="5" s="1"/>
  <c r="AE37" i="5" s="1"/>
  <c r="AF37" i="5" s="1"/>
  <c r="AA32" i="5"/>
  <c r="Z29" i="5"/>
  <c r="X12" i="5"/>
  <c r="Y12" i="5" s="1"/>
  <c r="AE22" i="5"/>
  <c r="AF22" i="5" s="1"/>
  <c r="AG22" i="5" s="1"/>
  <c r="AH22" i="5" s="1"/>
  <c r="AI22" i="5" s="1"/>
  <c r="AJ22" i="5" s="1"/>
  <c r="AK22" i="5" s="1"/>
  <c r="AL22" i="5" s="1"/>
  <c r="AM22" i="5" s="1"/>
  <c r="AN22" i="5" s="1"/>
  <c r="AO22" i="5" s="1"/>
  <c r="AP22" i="5" s="1"/>
  <c r="AQ22" i="5" s="1"/>
  <c r="AR22" i="5" s="1"/>
  <c r="AS22" i="5" s="1"/>
  <c r="AT22" i="5" s="1"/>
  <c r="AU22" i="5" s="1"/>
  <c r="AV22" i="5" s="1"/>
  <c r="AW22" i="5" s="1"/>
  <c r="AX22" i="5" s="1"/>
  <c r="AY22" i="5" s="1"/>
  <c r="AZ22" i="5" s="1"/>
  <c r="BA22" i="5" s="1"/>
  <c r="BB22" i="5" s="1"/>
  <c r="BC22" i="5" s="1"/>
  <c r="BD22" i="5" s="1"/>
  <c r="BE22" i="5" s="1"/>
  <c r="BF22" i="5" s="1"/>
  <c r="BG22" i="5" s="1"/>
  <c r="BH22" i="5" s="1"/>
  <c r="BI22" i="5" s="1"/>
  <c r="BJ22" i="5" s="1"/>
  <c r="BK22" i="5" s="1"/>
  <c r="BL22" i="5" s="1"/>
  <c r="BM22" i="5" s="1"/>
  <c r="BN22" i="5" s="1"/>
  <c r="BO22" i="5" s="1"/>
  <c r="BP22" i="5" s="1"/>
  <c r="BQ22" i="5" s="1"/>
  <c r="BR22" i="5" s="1"/>
  <c r="BS22" i="5" s="1"/>
  <c r="BT22" i="5" s="1"/>
  <c r="BU22" i="5" s="1"/>
  <c r="BV22" i="5" s="1"/>
  <c r="J22" i="5" s="1"/>
  <c r="Y8" i="7"/>
  <c r="Z8" i="7" s="1"/>
  <c r="T11" i="5"/>
  <c r="V7" i="5"/>
  <c r="W7" i="5" s="1"/>
  <c r="X7" i="5" s="1"/>
  <c r="X28" i="5"/>
  <c r="Y28" i="5" s="1"/>
  <c r="Z28" i="5" s="1"/>
  <c r="X8" i="5"/>
  <c r="Y20" i="5"/>
  <c r="R29" i="4"/>
  <c r="E19" i="4"/>
  <c r="W5" i="5"/>
  <c r="X5" i="5" s="1"/>
  <c r="Y43" i="5"/>
  <c r="Z43" i="5" s="1"/>
  <c r="AA43" i="5" s="1"/>
  <c r="AB43" i="5" s="1"/>
  <c r="AC43" i="5" s="1"/>
  <c r="AD43" i="5" s="1"/>
  <c r="AE43" i="5" s="1"/>
  <c r="AF43" i="5" s="1"/>
  <c r="AG43" i="5" s="1"/>
  <c r="AH43" i="5" s="1"/>
  <c r="AI43" i="5" s="1"/>
  <c r="AJ43" i="5" s="1"/>
  <c r="X18" i="5"/>
  <c r="U6" i="5"/>
  <c r="V6" i="5" s="1"/>
  <c r="X35" i="5"/>
  <c r="Y35" i="5" s="1"/>
  <c r="Z35" i="5" s="1"/>
  <c r="AA35" i="5" s="1"/>
  <c r="AB35" i="5" s="1"/>
  <c r="AC35" i="5" s="1"/>
  <c r="AD35" i="5" s="1"/>
  <c r="AE35" i="5" s="1"/>
  <c r="AF35" i="5" s="1"/>
  <c r="AG35" i="5" s="1"/>
  <c r="AH35" i="5" s="1"/>
  <c r="AI35" i="5" s="1"/>
  <c r="AJ35" i="5" s="1"/>
  <c r="AK35" i="5" s="1"/>
  <c r="AL35" i="5" s="1"/>
  <c r="AM35" i="5" s="1"/>
  <c r="AN35" i="5" s="1"/>
  <c r="AO35" i="5" s="1"/>
  <c r="AP35" i="5" s="1"/>
  <c r="AQ35" i="5" s="1"/>
  <c r="AR35" i="5" s="1"/>
  <c r="AA26" i="5"/>
  <c r="AB26" i="5" s="1"/>
  <c r="AC26" i="5" s="1"/>
  <c r="AD26" i="5" s="1"/>
  <c r="AE26" i="5" s="1"/>
  <c r="V13" i="5"/>
  <c r="W13" i="5" s="1"/>
  <c r="U15" i="5"/>
  <c r="V15" i="5" s="1"/>
  <c r="W15" i="5" s="1"/>
  <c r="X15" i="5" s="1"/>
  <c r="Z25" i="5"/>
  <c r="Y27" i="5"/>
  <c r="Z27" i="5" s="1"/>
  <c r="AA27" i="5" s="1"/>
  <c r="AB27" i="5" s="1"/>
  <c r="AC27" i="5" s="1"/>
  <c r="AD27" i="5" s="1"/>
  <c r="AE27" i="5" s="1"/>
  <c r="AF27" i="5" s="1"/>
  <c r="AG27" i="5" s="1"/>
  <c r="AH27" i="5" s="1"/>
  <c r="AI27" i="5" s="1"/>
  <c r="AJ27" i="5" s="1"/>
  <c r="AK27" i="5" s="1"/>
  <c r="AL27" i="5" s="1"/>
  <c r="AM27" i="5" s="1"/>
  <c r="AN27" i="5" s="1"/>
  <c r="W4" i="5"/>
  <c r="X4" i="5" s="1"/>
  <c r="Y4" i="5" s="1"/>
  <c r="Z4" i="5" s="1"/>
  <c r="AA4" i="5" s="1"/>
  <c r="AJ14" i="5"/>
  <c r="AK14" i="5" s="1"/>
  <c r="AL14" i="5" s="1"/>
  <c r="AM14" i="5" s="1"/>
  <c r="AN14" i="5" s="1"/>
  <c r="AO14" i="5" s="1"/>
  <c r="AP14" i="5" s="1"/>
  <c r="AQ14" i="5" s="1"/>
  <c r="AR14" i="5" s="1"/>
  <c r="AS14" i="5" s="1"/>
  <c r="AT14" i="5" s="1"/>
  <c r="AU14" i="5" s="1"/>
  <c r="AV14" i="5" s="1"/>
  <c r="AW14" i="5" s="1"/>
  <c r="AX14" i="5" s="1"/>
  <c r="AY14" i="5" s="1"/>
  <c r="AZ14" i="5" s="1"/>
  <c r="BA14" i="5" s="1"/>
  <c r="BB14" i="5" s="1"/>
  <c r="BC14" i="5" s="1"/>
  <c r="BD14" i="5" s="1"/>
  <c r="BE14" i="5" s="1"/>
  <c r="BF14" i="5" s="1"/>
  <c r="BG14" i="5" s="1"/>
  <c r="BH14" i="5" s="1"/>
  <c r="BI14" i="5" s="1"/>
  <c r="BJ14" i="5" s="1"/>
  <c r="BK14" i="5" s="1"/>
  <c r="BL14" i="5" s="1"/>
  <c r="BM14" i="5" s="1"/>
  <c r="BN14" i="5" s="1"/>
  <c r="BO14" i="5" s="1"/>
  <c r="BP14" i="5" s="1"/>
  <c r="BQ14" i="5" s="1"/>
  <c r="BR14" i="5" s="1"/>
  <c r="BS14" i="5" s="1"/>
  <c r="BT14" i="5" s="1"/>
  <c r="BU14" i="5" s="1"/>
  <c r="BV14" i="5" s="1"/>
  <c r="X21" i="5"/>
  <c r="Y21" i="5" s="1"/>
  <c r="Z21" i="5" s="1"/>
  <c r="AA21" i="5" s="1"/>
  <c r="AB21" i="5" s="1"/>
  <c r="AC21" i="5" s="1"/>
  <c r="AD21" i="5" s="1"/>
  <c r="AE21" i="5" s="1"/>
  <c r="AF21" i="5" s="1"/>
  <c r="AG21" i="5" s="1"/>
  <c r="AH21" i="5" s="1"/>
  <c r="AI21" i="5" s="1"/>
  <c r="AJ21" i="5" s="1"/>
  <c r="AK21" i="5" s="1"/>
  <c r="AL21" i="5" s="1"/>
  <c r="AM21" i="5" s="1"/>
  <c r="AA24" i="5"/>
  <c r="AB17" i="5"/>
  <c r="AB16" i="5"/>
  <c r="AC16" i="5" s="1"/>
  <c r="AD16" i="5" s="1"/>
  <c r="AE16" i="5" s="1"/>
  <c r="AF16" i="5" s="1"/>
  <c r="AG16" i="5" s="1"/>
  <c r="AH16" i="5" s="1"/>
  <c r="AI16" i="5" s="1"/>
  <c r="AJ16" i="5" s="1"/>
  <c r="AK16" i="5" s="1"/>
  <c r="AL16" i="5" s="1"/>
  <c r="AM16" i="5" s="1"/>
  <c r="AN16" i="5" s="1"/>
  <c r="AO16" i="5" s="1"/>
  <c r="AP16" i="5" s="1"/>
  <c r="AQ16" i="5" s="1"/>
  <c r="AR16" i="5" s="1"/>
  <c r="AS16" i="5" s="1"/>
  <c r="AT16" i="5" s="1"/>
  <c r="AU16" i="5" s="1"/>
  <c r="AV16" i="5" s="1"/>
  <c r="AW16" i="5" s="1"/>
  <c r="AX16" i="5" s="1"/>
  <c r="AY16" i="5" s="1"/>
  <c r="AZ16" i="5" s="1"/>
  <c r="BA16" i="5" s="1"/>
  <c r="BB16" i="5" s="1"/>
  <c r="BC16" i="5" s="1"/>
  <c r="BD16" i="5" s="1"/>
  <c r="BE16" i="5" s="1"/>
  <c r="BF16" i="5" s="1"/>
  <c r="BG16" i="5" s="1"/>
  <c r="BH16" i="5" s="1"/>
  <c r="BI16" i="5" s="1"/>
  <c r="BJ16" i="5" s="1"/>
  <c r="BK16" i="5" s="1"/>
  <c r="BL16" i="5" s="1"/>
  <c r="BM16" i="5" s="1"/>
  <c r="BN16" i="5" s="1"/>
  <c r="BO16" i="5" s="1"/>
  <c r="BP16" i="5" s="1"/>
  <c r="BQ16" i="5" s="1"/>
  <c r="BR16" i="5" s="1"/>
  <c r="BS16" i="5" s="1"/>
  <c r="BT16" i="5" s="1"/>
  <c r="BU16" i="5" s="1"/>
  <c r="BV16" i="5" s="1"/>
  <c r="Z9" i="5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AO9" i="5" s="1"/>
  <c r="AP9" i="5" s="1"/>
  <c r="AQ9" i="5" s="1"/>
  <c r="AR9" i="5" s="1"/>
  <c r="AS9" i="5" s="1"/>
  <c r="AT9" i="5" s="1"/>
  <c r="AU9" i="5" s="1"/>
  <c r="AV9" i="5" s="1"/>
  <c r="AW9" i="5" s="1"/>
  <c r="AX9" i="5" s="1"/>
  <c r="AY9" i="5" s="1"/>
  <c r="AZ9" i="5" s="1"/>
  <c r="BA9" i="5" s="1"/>
  <c r="BB9" i="5" s="1"/>
  <c r="BC9" i="5" s="1"/>
  <c r="BD9" i="5" s="1"/>
  <c r="BE9" i="5" s="1"/>
  <c r="BF9" i="5" s="1"/>
  <c r="BG9" i="5" s="1"/>
  <c r="BH9" i="5" s="1"/>
  <c r="BI9" i="5" s="1"/>
  <c r="BJ9" i="5" s="1"/>
  <c r="BK9" i="5" s="1"/>
  <c r="BL9" i="5" s="1"/>
  <c r="BM9" i="5" s="1"/>
  <c r="BN9" i="5" s="1"/>
  <c r="BO9" i="5" s="1"/>
  <c r="BP9" i="5" s="1"/>
  <c r="BQ9" i="5" s="1"/>
  <c r="BR9" i="5" s="1"/>
  <c r="BS9" i="5" s="1"/>
  <c r="BT9" i="5" s="1"/>
  <c r="BU9" i="5" s="1"/>
  <c r="BV9" i="5" s="1"/>
  <c r="Z23" i="5"/>
  <c r="AA23" i="5" s="1"/>
  <c r="AB23" i="5" s="1"/>
  <c r="AC23" i="5" s="1"/>
  <c r="AD23" i="5" s="1"/>
  <c r="AE23" i="5" s="1"/>
  <c r="AF23" i="5" s="1"/>
  <c r="AG23" i="5" s="1"/>
  <c r="AH23" i="5" s="1"/>
  <c r="AI23" i="5" s="1"/>
  <c r="AJ23" i="5" s="1"/>
  <c r="AK23" i="5" s="1"/>
  <c r="AL23" i="5" s="1"/>
  <c r="AM23" i="5" s="1"/>
  <c r="AN23" i="5" s="1"/>
  <c r="AO23" i="5" s="1"/>
  <c r="AP23" i="5" s="1"/>
  <c r="AQ23" i="5" s="1"/>
  <c r="AR23" i="5" s="1"/>
  <c r="AS23" i="5" s="1"/>
  <c r="AT23" i="5" s="1"/>
  <c r="AU23" i="5" s="1"/>
  <c r="AV23" i="5" s="1"/>
  <c r="AW23" i="5" s="1"/>
  <c r="AX23" i="5" s="1"/>
  <c r="AY23" i="5" s="1"/>
  <c r="AZ23" i="5" s="1"/>
  <c r="BA23" i="5" s="1"/>
  <c r="BB23" i="5" s="1"/>
  <c r="BC23" i="5" s="1"/>
  <c r="BD23" i="5" s="1"/>
  <c r="BE23" i="5" s="1"/>
  <c r="BF23" i="5" s="1"/>
  <c r="BG23" i="5" s="1"/>
  <c r="BH23" i="5" s="1"/>
  <c r="BI23" i="5" s="1"/>
  <c r="BJ23" i="5" s="1"/>
  <c r="BK23" i="5" s="1"/>
  <c r="BL23" i="5" s="1"/>
  <c r="BM23" i="5" s="1"/>
  <c r="BN23" i="5" s="1"/>
  <c r="BO23" i="5" s="1"/>
  <c r="BP23" i="5" s="1"/>
  <c r="BQ23" i="5" s="1"/>
  <c r="BR23" i="5" s="1"/>
  <c r="BS23" i="5" s="1"/>
  <c r="BT23" i="5" s="1"/>
  <c r="BU23" i="5" s="1"/>
  <c r="BV23" i="5" s="1"/>
  <c r="J23" i="5" l="1"/>
  <c r="J27" i="7" s="1"/>
  <c r="J14" i="5"/>
  <c r="J18" i="7" s="1"/>
  <c r="J9" i="5"/>
  <c r="J13" i="7" s="1"/>
  <c r="J16" i="5"/>
  <c r="J20" i="7" s="1"/>
  <c r="AD39" i="5"/>
  <c r="AE39" i="5" s="1"/>
  <c r="AF39" i="5" s="1"/>
  <c r="AG39" i="5" s="1"/>
  <c r="AH39" i="5" s="1"/>
  <c r="AI39" i="5" s="1"/>
  <c r="AJ39" i="5" s="1"/>
  <c r="AK39" i="5" s="1"/>
  <c r="AL39" i="5" s="1"/>
  <c r="AM39" i="5" s="1"/>
  <c r="AN39" i="5" s="1"/>
  <c r="AO39" i="5" s="1"/>
  <c r="AP39" i="5" s="1"/>
  <c r="AE46" i="5"/>
  <c r="AF46" i="5" s="1"/>
  <c r="AG46" i="5" s="1"/>
  <c r="AH46" i="5" s="1"/>
  <c r="AI46" i="5" s="1"/>
  <c r="AJ46" i="5" s="1"/>
  <c r="AK46" i="5" s="1"/>
  <c r="AL46" i="5" s="1"/>
  <c r="AJ57" i="5"/>
  <c r="AK57" i="5" s="1"/>
  <c r="AL57" i="5" s="1"/>
  <c r="AM57" i="5" s="1"/>
  <c r="AN57" i="5" s="1"/>
  <c r="AO57" i="5" s="1"/>
  <c r="AP57" i="5" s="1"/>
  <c r="AQ57" i="5" s="1"/>
  <c r="AR57" i="5" s="1"/>
  <c r="AS57" i="5" s="1"/>
  <c r="AT57" i="5" s="1"/>
  <c r="AU57" i="5" s="1"/>
  <c r="AV57" i="5" s="1"/>
  <c r="AW57" i="5" s="1"/>
  <c r="AX57" i="5" s="1"/>
  <c r="AY57" i="5" s="1"/>
  <c r="AZ57" i="5" s="1"/>
  <c r="BA57" i="5" s="1"/>
  <c r="BB57" i="5" s="1"/>
  <c r="BC57" i="5" s="1"/>
  <c r="BD57" i="5" s="1"/>
  <c r="BE57" i="5" s="1"/>
  <c r="BF57" i="5" s="1"/>
  <c r="BG57" i="5" s="1"/>
  <c r="BH57" i="5" s="1"/>
  <c r="BI57" i="5" s="1"/>
  <c r="BJ57" i="5" s="1"/>
  <c r="BK57" i="5" s="1"/>
  <c r="BL57" i="5" s="1"/>
  <c r="BM57" i="5" s="1"/>
  <c r="BN57" i="5" s="1"/>
  <c r="BO57" i="5" s="1"/>
  <c r="BP57" i="5" s="1"/>
  <c r="BQ57" i="5" s="1"/>
  <c r="BR57" i="5" s="1"/>
  <c r="BS57" i="5" s="1"/>
  <c r="BT57" i="5" s="1"/>
  <c r="BU57" i="5" s="1"/>
  <c r="BV57" i="5" s="1"/>
  <c r="AB54" i="5"/>
  <c r="AC54" i="5" s="1"/>
  <c r="AD54" i="5" s="1"/>
  <c r="AU55" i="5"/>
  <c r="AV55" i="5" s="1"/>
  <c r="AW55" i="5" s="1"/>
  <c r="AX55" i="5" s="1"/>
  <c r="AY55" i="5" s="1"/>
  <c r="AZ55" i="5" s="1"/>
  <c r="BA55" i="5" s="1"/>
  <c r="BB55" i="5" s="1"/>
  <c r="BC55" i="5" s="1"/>
  <c r="BD55" i="5" s="1"/>
  <c r="BE55" i="5" s="1"/>
  <c r="BF55" i="5" s="1"/>
  <c r="BG55" i="5" s="1"/>
  <c r="BH55" i="5" s="1"/>
  <c r="BI55" i="5" s="1"/>
  <c r="BJ55" i="5" s="1"/>
  <c r="BK55" i="5" s="1"/>
  <c r="BL55" i="5" s="1"/>
  <c r="BM55" i="5" s="1"/>
  <c r="BN55" i="5" s="1"/>
  <c r="BO55" i="5" s="1"/>
  <c r="BP55" i="5" s="1"/>
  <c r="BQ55" i="5" s="1"/>
  <c r="BR55" i="5" s="1"/>
  <c r="BS55" i="5" s="1"/>
  <c r="BT55" i="5" s="1"/>
  <c r="BU55" i="5" s="1"/>
  <c r="BV55" i="5" s="1"/>
  <c r="AJ51" i="5"/>
  <c r="AK51" i="5" s="1"/>
  <c r="AL51" i="5" s="1"/>
  <c r="AM51" i="5" s="1"/>
  <c r="AN51" i="5" s="1"/>
  <c r="AO51" i="5" s="1"/>
  <c r="AP51" i="5" s="1"/>
  <c r="AQ51" i="5" s="1"/>
  <c r="AR51" i="5" s="1"/>
  <c r="AS51" i="5" s="1"/>
  <c r="AT51" i="5" s="1"/>
  <c r="AU51" i="5" s="1"/>
  <c r="AV51" i="5" s="1"/>
  <c r="AW51" i="5" s="1"/>
  <c r="AX51" i="5" s="1"/>
  <c r="AY51" i="5" s="1"/>
  <c r="AZ51" i="5" s="1"/>
  <c r="BA51" i="5" s="1"/>
  <c r="BB51" i="5" s="1"/>
  <c r="BC51" i="5" s="1"/>
  <c r="BD51" i="5" s="1"/>
  <c r="BE51" i="5" s="1"/>
  <c r="BF51" i="5" s="1"/>
  <c r="BG51" i="5" s="1"/>
  <c r="BH51" i="5" s="1"/>
  <c r="BI51" i="5" s="1"/>
  <c r="BJ51" i="5" s="1"/>
  <c r="BK51" i="5" s="1"/>
  <c r="BL51" i="5" s="1"/>
  <c r="BM51" i="5" s="1"/>
  <c r="BN51" i="5" s="1"/>
  <c r="BO51" i="5" s="1"/>
  <c r="BP51" i="5" s="1"/>
  <c r="BQ51" i="5" s="1"/>
  <c r="BR51" i="5" s="1"/>
  <c r="BS51" i="5" s="1"/>
  <c r="BT51" i="5" s="1"/>
  <c r="BU51" i="5" s="1"/>
  <c r="BV51" i="5" s="1"/>
  <c r="AE49" i="5"/>
  <c r="AF49" i="5" s="1"/>
  <c r="AF30" i="5"/>
  <c r="AG30" i="5" s="1"/>
  <c r="AH30" i="5" s="1"/>
  <c r="AI30" i="5" s="1"/>
  <c r="AJ30" i="5" s="1"/>
  <c r="AK30" i="5" s="1"/>
  <c r="AD40" i="5"/>
  <c r="X33" i="5"/>
  <c r="U31" i="5"/>
  <c r="AB48" i="5"/>
  <c r="AC48" i="5" s="1"/>
  <c r="AD48" i="5" s="1"/>
  <c r="AE48" i="5" s="1"/>
  <c r="AF48" i="5" s="1"/>
  <c r="AG48" i="5" s="1"/>
  <c r="AH48" i="5" s="1"/>
  <c r="AS35" i="5"/>
  <c r="AT35" i="5" s="1"/>
  <c r="X38" i="5"/>
  <c r="Y38" i="5" s="1"/>
  <c r="Z38" i="5" s="1"/>
  <c r="AT45" i="5"/>
  <c r="AU45" i="5" s="1"/>
  <c r="AV45" i="5" s="1"/>
  <c r="AW45" i="5" s="1"/>
  <c r="W41" i="5"/>
  <c r="AZ42" i="5"/>
  <c r="BA42" i="5" s="1"/>
  <c r="BB42" i="5" s="1"/>
  <c r="BC42" i="5" s="1"/>
  <c r="BD42" i="5" s="1"/>
  <c r="BE42" i="5" s="1"/>
  <c r="BF42" i="5" s="1"/>
  <c r="BG42" i="5" s="1"/>
  <c r="BH42" i="5" s="1"/>
  <c r="BI42" i="5" s="1"/>
  <c r="BJ42" i="5" s="1"/>
  <c r="BK42" i="5" s="1"/>
  <c r="BL42" i="5" s="1"/>
  <c r="BM42" i="5" s="1"/>
  <c r="BN42" i="5" s="1"/>
  <c r="BO42" i="5" s="1"/>
  <c r="BP42" i="5" s="1"/>
  <c r="BQ42" i="5" s="1"/>
  <c r="BR42" i="5" s="1"/>
  <c r="BS42" i="5" s="1"/>
  <c r="BT42" i="5" s="1"/>
  <c r="BU42" i="5" s="1"/>
  <c r="BV42" i="5" s="1"/>
  <c r="AC44" i="5"/>
  <c r="AD47" i="5"/>
  <c r="AQ34" i="5"/>
  <c r="V36" i="5"/>
  <c r="W36" i="5" s="1"/>
  <c r="AG37" i="5"/>
  <c r="AH37" i="5" s="1"/>
  <c r="AI37" i="5" s="1"/>
  <c r="AJ37" i="5" s="1"/>
  <c r="AK37" i="5" s="1"/>
  <c r="AL37" i="5" s="1"/>
  <c r="AB32" i="5"/>
  <c r="AA29" i="5"/>
  <c r="AB29" i="5" s="1"/>
  <c r="AC29" i="5" s="1"/>
  <c r="AD29" i="5" s="1"/>
  <c r="AE29" i="5" s="1"/>
  <c r="AF29" i="5" s="1"/>
  <c r="AG29" i="5" s="1"/>
  <c r="AH29" i="5" s="1"/>
  <c r="AI29" i="5" s="1"/>
  <c r="AJ29" i="5" s="1"/>
  <c r="AK29" i="5" s="1"/>
  <c r="J26" i="7"/>
  <c r="AK43" i="5"/>
  <c r="AL43" i="5" s="1"/>
  <c r="AM43" i="5" s="1"/>
  <c r="AN43" i="5" s="1"/>
  <c r="AO43" i="5" s="1"/>
  <c r="AP43" i="5" s="1"/>
  <c r="AQ43" i="5" s="1"/>
  <c r="AR43" i="5" s="1"/>
  <c r="AS43" i="5" s="1"/>
  <c r="AT43" i="5" s="1"/>
  <c r="AU43" i="5" s="1"/>
  <c r="AV43" i="5" s="1"/>
  <c r="AW43" i="5" s="1"/>
  <c r="Z12" i="5"/>
  <c r="AA12" i="5" s="1"/>
  <c r="AB4" i="5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AM4" i="5" s="1"/>
  <c r="AN4" i="5" s="1"/>
  <c r="AO4" i="5" s="1"/>
  <c r="AP4" i="5" s="1"/>
  <c r="AQ4" i="5" s="1"/>
  <c r="AR4" i="5" s="1"/>
  <c r="AS4" i="5" s="1"/>
  <c r="AT4" i="5" s="1"/>
  <c r="AU4" i="5" s="1"/>
  <c r="AV4" i="5" s="1"/>
  <c r="AW4" i="5" s="1"/>
  <c r="AX4" i="5" s="1"/>
  <c r="AY4" i="5" s="1"/>
  <c r="AZ4" i="5" s="1"/>
  <c r="BA4" i="5" s="1"/>
  <c r="BB4" i="5" s="1"/>
  <c r="BC4" i="5" s="1"/>
  <c r="BD4" i="5" s="1"/>
  <c r="BE4" i="5" s="1"/>
  <c r="BF4" i="5" s="1"/>
  <c r="BG4" i="5" s="1"/>
  <c r="BH4" i="5" s="1"/>
  <c r="BI4" i="5" s="1"/>
  <c r="BJ4" i="5" s="1"/>
  <c r="BK4" i="5" s="1"/>
  <c r="BL4" i="5" s="1"/>
  <c r="BM4" i="5" s="1"/>
  <c r="BN4" i="5" s="1"/>
  <c r="BO4" i="5" s="1"/>
  <c r="BP4" i="5" s="1"/>
  <c r="BQ4" i="5" s="1"/>
  <c r="BR4" i="5" s="1"/>
  <c r="BS4" i="5" s="1"/>
  <c r="BT4" i="5" s="1"/>
  <c r="BU4" i="5" s="1"/>
  <c r="BV4" i="5" s="1"/>
  <c r="J4" i="5" s="1"/>
  <c r="J8" i="7" s="1"/>
  <c r="U11" i="5"/>
  <c r="V11" i="5" s="1"/>
  <c r="Y5" i="5"/>
  <c r="Z5" i="5" s="1"/>
  <c r="Y15" i="5"/>
  <c r="Y18" i="5"/>
  <c r="R19" i="4"/>
  <c r="E20" i="4"/>
  <c r="AF26" i="5"/>
  <c r="AG26" i="5" s="1"/>
  <c r="AH26" i="5" s="1"/>
  <c r="AI26" i="5" s="1"/>
  <c r="AJ26" i="5" s="1"/>
  <c r="AK26" i="5" s="1"/>
  <c r="AL26" i="5" s="1"/>
  <c r="AM26" i="5" s="1"/>
  <c r="AN26" i="5" s="1"/>
  <c r="AO26" i="5" s="1"/>
  <c r="AP26" i="5" s="1"/>
  <c r="AQ26" i="5" s="1"/>
  <c r="AR26" i="5" s="1"/>
  <c r="AS26" i="5" s="1"/>
  <c r="AT26" i="5" s="1"/>
  <c r="AU26" i="5" s="1"/>
  <c r="AV26" i="5" s="1"/>
  <c r="AW26" i="5" s="1"/>
  <c r="AX26" i="5" s="1"/>
  <c r="AY26" i="5" s="1"/>
  <c r="AZ26" i="5" s="1"/>
  <c r="BA26" i="5" s="1"/>
  <c r="BB26" i="5" s="1"/>
  <c r="BC26" i="5" s="1"/>
  <c r="BD26" i="5" s="1"/>
  <c r="BE26" i="5" s="1"/>
  <c r="BF26" i="5" s="1"/>
  <c r="BG26" i="5" s="1"/>
  <c r="BH26" i="5" s="1"/>
  <c r="BI26" i="5" s="1"/>
  <c r="BJ26" i="5" s="1"/>
  <c r="BK26" i="5" s="1"/>
  <c r="BL26" i="5" s="1"/>
  <c r="BM26" i="5" s="1"/>
  <c r="BN26" i="5" s="1"/>
  <c r="BO26" i="5" s="1"/>
  <c r="BP26" i="5" s="1"/>
  <c r="BQ26" i="5" s="1"/>
  <c r="BR26" i="5" s="1"/>
  <c r="BS26" i="5" s="1"/>
  <c r="BT26" i="5" s="1"/>
  <c r="BU26" i="5" s="1"/>
  <c r="BV26" i="5" s="1"/>
  <c r="J26" i="5" s="1"/>
  <c r="Y8" i="5"/>
  <c r="Z8" i="5" s="1"/>
  <c r="W6" i="5"/>
  <c r="X6" i="5" s="1"/>
  <c r="X13" i="5"/>
  <c r="Y13" i="5" s="1"/>
  <c r="Z20" i="5"/>
  <c r="AA28" i="5"/>
  <c r="AO27" i="5"/>
  <c r="Y7" i="5"/>
  <c r="AA8" i="7"/>
  <c r="AC17" i="5"/>
  <c r="AD17" i="5" s="1"/>
  <c r="AE17" i="5" s="1"/>
  <c r="AB24" i="5"/>
  <c r="AC24" i="5" s="1"/>
  <c r="AD24" i="5" s="1"/>
  <c r="AE24" i="5" s="1"/>
  <c r="AF24" i="5" s="1"/>
  <c r="AG24" i="5" s="1"/>
  <c r="AH24" i="5" s="1"/>
  <c r="AI24" i="5" s="1"/>
  <c r="AJ24" i="5" s="1"/>
  <c r="AK24" i="5" s="1"/>
  <c r="AL24" i="5" s="1"/>
  <c r="AM24" i="5" s="1"/>
  <c r="AN24" i="5" s="1"/>
  <c r="AO24" i="5" s="1"/>
  <c r="AP24" i="5" s="1"/>
  <c r="AQ24" i="5" s="1"/>
  <c r="AR24" i="5" s="1"/>
  <c r="AS24" i="5" s="1"/>
  <c r="AT24" i="5" s="1"/>
  <c r="AU24" i="5" s="1"/>
  <c r="AV24" i="5" s="1"/>
  <c r="AW24" i="5" s="1"/>
  <c r="AX24" i="5" s="1"/>
  <c r="AY24" i="5" s="1"/>
  <c r="AZ24" i="5" s="1"/>
  <c r="BA24" i="5" s="1"/>
  <c r="BB24" i="5" s="1"/>
  <c r="BC24" i="5" s="1"/>
  <c r="BD24" i="5" s="1"/>
  <c r="BE24" i="5" s="1"/>
  <c r="BF24" i="5" s="1"/>
  <c r="BG24" i="5" s="1"/>
  <c r="BH24" i="5" s="1"/>
  <c r="BI24" i="5" s="1"/>
  <c r="BJ24" i="5" s="1"/>
  <c r="BK24" i="5" s="1"/>
  <c r="BL24" i="5" s="1"/>
  <c r="BM24" i="5" s="1"/>
  <c r="BN24" i="5" s="1"/>
  <c r="BO24" i="5" s="1"/>
  <c r="BP24" i="5" s="1"/>
  <c r="BQ24" i="5" s="1"/>
  <c r="BR24" i="5" s="1"/>
  <c r="BS24" i="5" s="1"/>
  <c r="BT24" i="5" s="1"/>
  <c r="BU24" i="5" s="1"/>
  <c r="BV24" i="5" s="1"/>
  <c r="AN21" i="5"/>
  <c r="AO21" i="5" s="1"/>
  <c r="AP21" i="5" s="1"/>
  <c r="AQ21" i="5" s="1"/>
  <c r="AR21" i="5" s="1"/>
  <c r="AS21" i="5" s="1"/>
  <c r="AT21" i="5" s="1"/>
  <c r="AU21" i="5" s="1"/>
  <c r="AV21" i="5" s="1"/>
  <c r="AW21" i="5" s="1"/>
  <c r="AX21" i="5" s="1"/>
  <c r="AY21" i="5" s="1"/>
  <c r="AZ21" i="5" s="1"/>
  <c r="BA21" i="5" s="1"/>
  <c r="BB21" i="5" s="1"/>
  <c r="BC21" i="5" s="1"/>
  <c r="BD21" i="5" s="1"/>
  <c r="BE21" i="5" s="1"/>
  <c r="BF21" i="5" s="1"/>
  <c r="BG21" i="5" s="1"/>
  <c r="BH21" i="5" s="1"/>
  <c r="BI21" i="5" s="1"/>
  <c r="BJ21" i="5" s="1"/>
  <c r="BK21" i="5" s="1"/>
  <c r="BL21" i="5" s="1"/>
  <c r="BM21" i="5" s="1"/>
  <c r="BN21" i="5" s="1"/>
  <c r="BO21" i="5" s="1"/>
  <c r="BP21" i="5" s="1"/>
  <c r="BQ21" i="5" s="1"/>
  <c r="BR21" i="5" s="1"/>
  <c r="BS21" i="5" s="1"/>
  <c r="BT21" i="5" s="1"/>
  <c r="BU21" i="5" s="1"/>
  <c r="BV21" i="5" s="1"/>
  <c r="AA25" i="5"/>
  <c r="AB25" i="5" s="1"/>
  <c r="AC25" i="5" s="1"/>
  <c r="J21" i="5" l="1"/>
  <c r="J25" i="7" s="1"/>
  <c r="J24" i="5"/>
  <c r="J28" i="7" s="1"/>
  <c r="AM46" i="5"/>
  <c r="AN46" i="5" s="1"/>
  <c r="AO46" i="5" s="1"/>
  <c r="AP46" i="5" s="1"/>
  <c r="AQ46" i="5" s="1"/>
  <c r="AR46" i="5" s="1"/>
  <c r="AS46" i="5" s="1"/>
  <c r="AT46" i="5" s="1"/>
  <c r="AU46" i="5" s="1"/>
  <c r="AV46" i="5" s="1"/>
  <c r="J30" i="7"/>
  <c r="AQ39" i="5"/>
  <c r="AR39" i="5" s="1"/>
  <c r="AS39" i="5" s="1"/>
  <c r="AT39" i="5" s="1"/>
  <c r="AU39" i="5" s="1"/>
  <c r="AM37" i="5"/>
  <c r="AN37" i="5" s="1"/>
  <c r="AO37" i="5" s="1"/>
  <c r="AP37" i="5" s="1"/>
  <c r="AQ37" i="5" s="1"/>
  <c r="AR37" i="5" s="1"/>
  <c r="AS37" i="5" s="1"/>
  <c r="AT37" i="5" s="1"/>
  <c r="AU37" i="5" s="1"/>
  <c r="AE54" i="5"/>
  <c r="AF54" i="5" s="1"/>
  <c r="AG54" i="5" s="1"/>
  <c r="AH54" i="5" s="1"/>
  <c r="AI54" i="5" s="1"/>
  <c r="AJ54" i="5" s="1"/>
  <c r="AK54" i="5" s="1"/>
  <c r="AL54" i="5" s="1"/>
  <c r="AM54" i="5" s="1"/>
  <c r="AN54" i="5" s="1"/>
  <c r="AO54" i="5" s="1"/>
  <c r="AP54" i="5" s="1"/>
  <c r="AQ54" i="5" s="1"/>
  <c r="AR54" i="5" s="1"/>
  <c r="AS54" i="5" s="1"/>
  <c r="AT54" i="5" s="1"/>
  <c r="AU54" i="5" s="1"/>
  <c r="AV54" i="5" s="1"/>
  <c r="AW54" i="5" s="1"/>
  <c r="AX54" i="5" s="1"/>
  <c r="AY54" i="5" s="1"/>
  <c r="AZ54" i="5" s="1"/>
  <c r="BA54" i="5" s="1"/>
  <c r="BB54" i="5" s="1"/>
  <c r="BC54" i="5" s="1"/>
  <c r="BD54" i="5" s="1"/>
  <c r="BE54" i="5" s="1"/>
  <c r="BF54" i="5" s="1"/>
  <c r="BG54" i="5" s="1"/>
  <c r="BH54" i="5" s="1"/>
  <c r="BI54" i="5" s="1"/>
  <c r="BJ54" i="5" s="1"/>
  <c r="BK54" i="5" s="1"/>
  <c r="BL54" i="5" s="1"/>
  <c r="BM54" i="5" s="1"/>
  <c r="BN54" i="5" s="1"/>
  <c r="BO54" i="5" s="1"/>
  <c r="BP54" i="5" s="1"/>
  <c r="BQ54" i="5" s="1"/>
  <c r="BR54" i="5" s="1"/>
  <c r="BS54" i="5" s="1"/>
  <c r="BT54" i="5" s="1"/>
  <c r="BU54" i="5" s="1"/>
  <c r="BV54" i="5" s="1"/>
  <c r="AL30" i="5"/>
  <c r="AM30" i="5" s="1"/>
  <c r="AN30" i="5" s="1"/>
  <c r="AO30" i="5" s="1"/>
  <c r="AP30" i="5" s="1"/>
  <c r="AQ30" i="5" s="1"/>
  <c r="AR30" i="5" s="1"/>
  <c r="AS30" i="5" s="1"/>
  <c r="AT30" i="5" s="1"/>
  <c r="AU30" i="5" s="1"/>
  <c r="AV30" i="5" s="1"/>
  <c r="AW30" i="5" s="1"/>
  <c r="AX30" i="5" s="1"/>
  <c r="AX45" i="5"/>
  <c r="AY45" i="5" s="1"/>
  <c r="AG49" i="5"/>
  <c r="AH49" i="5" s="1"/>
  <c r="AZ45" i="5"/>
  <c r="AI48" i="5"/>
  <c r="AJ48" i="5" s="1"/>
  <c r="AK48" i="5" s="1"/>
  <c r="AL48" i="5" s="1"/>
  <c r="AM48" i="5" s="1"/>
  <c r="AN48" i="5" s="1"/>
  <c r="AO48" i="5" s="1"/>
  <c r="AP48" i="5" s="1"/>
  <c r="AQ48" i="5" s="1"/>
  <c r="AR48" i="5" s="1"/>
  <c r="AS48" i="5" s="1"/>
  <c r="AT48" i="5" s="1"/>
  <c r="AU48" i="5" s="1"/>
  <c r="AV48" i="5" s="1"/>
  <c r="AW48" i="5" s="1"/>
  <c r="AX48" i="5" s="1"/>
  <c r="AY48" i="5" s="1"/>
  <c r="AZ48" i="5" s="1"/>
  <c r="BA48" i="5" s="1"/>
  <c r="BB48" i="5" s="1"/>
  <c r="BC48" i="5" s="1"/>
  <c r="BD48" i="5" s="1"/>
  <c r="BE48" i="5" s="1"/>
  <c r="BF48" i="5" s="1"/>
  <c r="BG48" i="5" s="1"/>
  <c r="BH48" i="5" s="1"/>
  <c r="BI48" i="5" s="1"/>
  <c r="BJ48" i="5" s="1"/>
  <c r="BK48" i="5" s="1"/>
  <c r="BL48" i="5" s="1"/>
  <c r="BM48" i="5" s="1"/>
  <c r="BN48" i="5" s="1"/>
  <c r="BO48" i="5" s="1"/>
  <c r="BP48" i="5" s="1"/>
  <c r="BQ48" i="5" s="1"/>
  <c r="BR48" i="5" s="1"/>
  <c r="BS48" i="5" s="1"/>
  <c r="BT48" i="5" s="1"/>
  <c r="BU48" i="5" s="1"/>
  <c r="BV48" i="5" s="1"/>
  <c r="AE40" i="5"/>
  <c r="V31" i="5"/>
  <c r="Y33" i="5"/>
  <c r="AY30" i="5"/>
  <c r="AZ30" i="5" s="1"/>
  <c r="BA30" i="5" s="1"/>
  <c r="BB30" i="5" s="1"/>
  <c r="AV39" i="5"/>
  <c r="AU35" i="5"/>
  <c r="AA38" i="5"/>
  <c r="AD44" i="5"/>
  <c r="X41" i="5"/>
  <c r="AX43" i="5"/>
  <c r="AE47" i="5"/>
  <c r="AF47" i="5" s="1"/>
  <c r="AG47" i="5" s="1"/>
  <c r="AH47" i="5" s="1"/>
  <c r="AI47" i="5" s="1"/>
  <c r="AJ47" i="5" s="1"/>
  <c r="AK47" i="5" s="1"/>
  <c r="AL47" i="5" s="1"/>
  <c r="AM47" i="5" s="1"/>
  <c r="AN47" i="5" s="1"/>
  <c r="AO47" i="5" s="1"/>
  <c r="AP47" i="5" s="1"/>
  <c r="AQ47" i="5" s="1"/>
  <c r="AR47" i="5" s="1"/>
  <c r="AS47" i="5" s="1"/>
  <c r="AT47" i="5" s="1"/>
  <c r="AU47" i="5" s="1"/>
  <c r="AV47" i="5" s="1"/>
  <c r="AW47" i="5" s="1"/>
  <c r="AX47" i="5" s="1"/>
  <c r="AY43" i="5"/>
  <c r="AZ43" i="5" s="1"/>
  <c r="AR34" i="5"/>
  <c r="AS34" i="5" s="1"/>
  <c r="X36" i="5"/>
  <c r="Y36" i="5" s="1"/>
  <c r="AL29" i="5"/>
  <c r="AM29" i="5" s="1"/>
  <c r="AN29" i="5" s="1"/>
  <c r="AO29" i="5" s="1"/>
  <c r="AP29" i="5" s="1"/>
  <c r="AQ29" i="5" s="1"/>
  <c r="AR29" i="5" s="1"/>
  <c r="AS29" i="5" s="1"/>
  <c r="AT29" i="5" s="1"/>
  <c r="AC32" i="5"/>
  <c r="AD32" i="5" s="1"/>
  <c r="AE32" i="5" s="1"/>
  <c r="AF32" i="5" s="1"/>
  <c r="AG32" i="5" s="1"/>
  <c r="AH32" i="5" s="1"/>
  <c r="AI32" i="5" s="1"/>
  <c r="AJ32" i="5" s="1"/>
  <c r="AK32" i="5" s="1"/>
  <c r="AL32" i="5" s="1"/>
  <c r="AM32" i="5" s="1"/>
  <c r="AN32" i="5" s="1"/>
  <c r="AO32" i="5" s="1"/>
  <c r="AP32" i="5" s="1"/>
  <c r="AQ32" i="5" s="1"/>
  <c r="AR32" i="5" s="1"/>
  <c r="AS32" i="5" s="1"/>
  <c r="AT32" i="5" s="1"/>
  <c r="AU32" i="5" s="1"/>
  <c r="AV32" i="5" s="1"/>
  <c r="AW32" i="5" s="1"/>
  <c r="AX32" i="5" s="1"/>
  <c r="AB12" i="5"/>
  <c r="AC12" i="5" s="1"/>
  <c r="AD12" i="5" s="1"/>
  <c r="AE12" i="5" s="1"/>
  <c r="AF12" i="5" s="1"/>
  <c r="AG12" i="5" s="1"/>
  <c r="AH12" i="5" s="1"/>
  <c r="AI12" i="5" s="1"/>
  <c r="AJ12" i="5" s="1"/>
  <c r="AK12" i="5" s="1"/>
  <c r="AL12" i="5" s="1"/>
  <c r="AM12" i="5" s="1"/>
  <c r="AN12" i="5" s="1"/>
  <c r="AO12" i="5" s="1"/>
  <c r="AP12" i="5" s="1"/>
  <c r="AQ12" i="5" s="1"/>
  <c r="AR12" i="5" s="1"/>
  <c r="AS12" i="5" s="1"/>
  <c r="AT12" i="5" s="1"/>
  <c r="AU12" i="5" s="1"/>
  <c r="AV12" i="5" s="1"/>
  <c r="AW12" i="5" s="1"/>
  <c r="AX12" i="5" s="1"/>
  <c r="AY12" i="5" s="1"/>
  <c r="AZ12" i="5" s="1"/>
  <c r="BA12" i="5" s="1"/>
  <c r="BB12" i="5" s="1"/>
  <c r="BC12" i="5" s="1"/>
  <c r="BD12" i="5" s="1"/>
  <c r="BE12" i="5" s="1"/>
  <c r="BF12" i="5" s="1"/>
  <c r="BG12" i="5" s="1"/>
  <c r="BH12" i="5" s="1"/>
  <c r="BI12" i="5" s="1"/>
  <c r="BJ12" i="5" s="1"/>
  <c r="BK12" i="5" s="1"/>
  <c r="BL12" i="5" s="1"/>
  <c r="BM12" i="5" s="1"/>
  <c r="BN12" i="5" s="1"/>
  <c r="BO12" i="5" s="1"/>
  <c r="BP12" i="5" s="1"/>
  <c r="BQ12" i="5" s="1"/>
  <c r="BR12" i="5" s="1"/>
  <c r="BS12" i="5" s="1"/>
  <c r="BT12" i="5" s="1"/>
  <c r="BU12" i="5" s="1"/>
  <c r="BV12" i="5" s="1"/>
  <c r="W11" i="5"/>
  <c r="X11" i="5" s="1"/>
  <c r="AD25" i="5"/>
  <c r="AE25" i="5" s="1"/>
  <c r="AF25" i="5" s="1"/>
  <c r="AG25" i="5" s="1"/>
  <c r="AH25" i="5" s="1"/>
  <c r="AI25" i="5" s="1"/>
  <c r="AJ25" i="5" s="1"/>
  <c r="AK25" i="5" s="1"/>
  <c r="AL25" i="5" s="1"/>
  <c r="AM25" i="5" s="1"/>
  <c r="AN25" i="5" s="1"/>
  <c r="AO25" i="5" s="1"/>
  <c r="AP25" i="5" s="1"/>
  <c r="AQ25" i="5" s="1"/>
  <c r="AR25" i="5" s="1"/>
  <c r="AS25" i="5" s="1"/>
  <c r="AT25" i="5" s="1"/>
  <c r="AU25" i="5" s="1"/>
  <c r="AV25" i="5" s="1"/>
  <c r="AW25" i="5" s="1"/>
  <c r="AX25" i="5" s="1"/>
  <c r="AY25" i="5" s="1"/>
  <c r="AZ25" i="5" s="1"/>
  <c r="BA25" i="5" s="1"/>
  <c r="BB25" i="5" s="1"/>
  <c r="BC25" i="5" s="1"/>
  <c r="BD25" i="5" s="1"/>
  <c r="BE25" i="5" s="1"/>
  <c r="BF25" i="5" s="1"/>
  <c r="BG25" i="5" s="1"/>
  <c r="BH25" i="5" s="1"/>
  <c r="BI25" i="5" s="1"/>
  <c r="BJ25" i="5" s="1"/>
  <c r="BK25" i="5" s="1"/>
  <c r="BL25" i="5" s="1"/>
  <c r="BM25" i="5" s="1"/>
  <c r="BN25" i="5" s="1"/>
  <c r="BO25" i="5" s="1"/>
  <c r="BP25" i="5" s="1"/>
  <c r="BQ25" i="5" s="1"/>
  <c r="BR25" i="5" s="1"/>
  <c r="BS25" i="5" s="1"/>
  <c r="BT25" i="5" s="1"/>
  <c r="BU25" i="5" s="1"/>
  <c r="BV25" i="5" s="1"/>
  <c r="J25" i="5" s="1"/>
  <c r="Z13" i="5"/>
  <c r="AA13" i="5" s="1"/>
  <c r="AA5" i="5"/>
  <c r="AB5" i="5" s="1"/>
  <c r="E21" i="4"/>
  <c r="R20" i="4"/>
  <c r="Y6" i="5"/>
  <c r="Z6" i="5" s="1"/>
  <c r="AA6" i="5" s="1"/>
  <c r="AB6" i="5" s="1"/>
  <c r="AC6" i="5" s="1"/>
  <c r="AD6" i="5" s="1"/>
  <c r="AE6" i="5" s="1"/>
  <c r="AF6" i="5" s="1"/>
  <c r="AG6" i="5" s="1"/>
  <c r="AH6" i="5" s="1"/>
  <c r="AI6" i="5" s="1"/>
  <c r="AJ6" i="5" s="1"/>
  <c r="AK6" i="5" s="1"/>
  <c r="AL6" i="5" s="1"/>
  <c r="AM6" i="5" s="1"/>
  <c r="AN6" i="5" s="1"/>
  <c r="AO6" i="5" s="1"/>
  <c r="AP6" i="5" s="1"/>
  <c r="AQ6" i="5" s="1"/>
  <c r="AR6" i="5" s="1"/>
  <c r="AS6" i="5" s="1"/>
  <c r="AT6" i="5" s="1"/>
  <c r="AU6" i="5" s="1"/>
  <c r="AV6" i="5" s="1"/>
  <c r="AW6" i="5" s="1"/>
  <c r="AX6" i="5" s="1"/>
  <c r="AY6" i="5" s="1"/>
  <c r="AZ6" i="5" s="1"/>
  <c r="BA6" i="5" s="1"/>
  <c r="BB6" i="5" s="1"/>
  <c r="BC6" i="5" s="1"/>
  <c r="BD6" i="5" s="1"/>
  <c r="BE6" i="5" s="1"/>
  <c r="BF6" i="5" s="1"/>
  <c r="BG6" i="5" s="1"/>
  <c r="BH6" i="5" s="1"/>
  <c r="BI6" i="5" s="1"/>
  <c r="BJ6" i="5" s="1"/>
  <c r="BK6" i="5" s="1"/>
  <c r="BL6" i="5" s="1"/>
  <c r="BM6" i="5" s="1"/>
  <c r="BN6" i="5" s="1"/>
  <c r="BO6" i="5" s="1"/>
  <c r="BP6" i="5" s="1"/>
  <c r="BQ6" i="5" s="1"/>
  <c r="BR6" i="5" s="1"/>
  <c r="BS6" i="5" s="1"/>
  <c r="BT6" i="5" s="1"/>
  <c r="BU6" i="5" s="1"/>
  <c r="BV6" i="5" s="1"/>
  <c r="Z18" i="5"/>
  <c r="AA18" i="5" s="1"/>
  <c r="AB18" i="5" s="1"/>
  <c r="Z15" i="5"/>
  <c r="AF17" i="5"/>
  <c r="AG17" i="5" s="1"/>
  <c r="AH17" i="5" s="1"/>
  <c r="AI17" i="5" s="1"/>
  <c r="AJ17" i="5" s="1"/>
  <c r="AK17" i="5" s="1"/>
  <c r="AL17" i="5" s="1"/>
  <c r="AM17" i="5" s="1"/>
  <c r="AN17" i="5" s="1"/>
  <c r="AO17" i="5" s="1"/>
  <c r="AP17" i="5" s="1"/>
  <c r="AQ17" i="5" s="1"/>
  <c r="AR17" i="5" s="1"/>
  <c r="AS17" i="5" s="1"/>
  <c r="AT17" i="5" s="1"/>
  <c r="AU17" i="5" s="1"/>
  <c r="AV17" i="5" s="1"/>
  <c r="AW17" i="5" s="1"/>
  <c r="AX17" i="5" s="1"/>
  <c r="AY17" i="5" s="1"/>
  <c r="AZ17" i="5" s="1"/>
  <c r="BA17" i="5" s="1"/>
  <c r="BB17" i="5" s="1"/>
  <c r="BC17" i="5" s="1"/>
  <c r="BD17" i="5" s="1"/>
  <c r="BE17" i="5" s="1"/>
  <c r="BF17" i="5" s="1"/>
  <c r="BG17" i="5" s="1"/>
  <c r="BH17" i="5" s="1"/>
  <c r="BI17" i="5" s="1"/>
  <c r="BJ17" i="5" s="1"/>
  <c r="BK17" i="5" s="1"/>
  <c r="BL17" i="5" s="1"/>
  <c r="BM17" i="5" s="1"/>
  <c r="BN17" i="5" s="1"/>
  <c r="BO17" i="5" s="1"/>
  <c r="BP17" i="5" s="1"/>
  <c r="BQ17" i="5" s="1"/>
  <c r="BR17" i="5" s="1"/>
  <c r="BS17" i="5" s="1"/>
  <c r="BT17" i="5" s="1"/>
  <c r="BU17" i="5" s="1"/>
  <c r="BV17" i="5" s="1"/>
  <c r="AB28" i="5"/>
  <c r="AA20" i="5"/>
  <c r="AA8" i="5"/>
  <c r="AB8" i="7"/>
  <c r="Z7" i="5"/>
  <c r="AA7" i="5" s="1"/>
  <c r="AB7" i="5" s="1"/>
  <c r="AC7" i="5" s="1"/>
  <c r="AD7" i="5" s="1"/>
  <c r="AE7" i="5" s="1"/>
  <c r="AF7" i="5" s="1"/>
  <c r="AG7" i="5" s="1"/>
  <c r="AH7" i="5" s="1"/>
  <c r="AI7" i="5" s="1"/>
  <c r="AJ7" i="5" s="1"/>
  <c r="AK7" i="5" s="1"/>
  <c r="AL7" i="5" s="1"/>
  <c r="AM7" i="5" s="1"/>
  <c r="AN7" i="5" s="1"/>
  <c r="AO7" i="5" s="1"/>
  <c r="AP7" i="5" s="1"/>
  <c r="AQ7" i="5" s="1"/>
  <c r="AR7" i="5" s="1"/>
  <c r="AS7" i="5" s="1"/>
  <c r="AT7" i="5" s="1"/>
  <c r="AU7" i="5" s="1"/>
  <c r="AV7" i="5" s="1"/>
  <c r="AW7" i="5" s="1"/>
  <c r="AX7" i="5" s="1"/>
  <c r="AY7" i="5" s="1"/>
  <c r="AZ7" i="5" s="1"/>
  <c r="BA7" i="5" s="1"/>
  <c r="BB7" i="5" s="1"/>
  <c r="BC7" i="5" s="1"/>
  <c r="BD7" i="5" s="1"/>
  <c r="BE7" i="5" s="1"/>
  <c r="BF7" i="5" s="1"/>
  <c r="BG7" i="5" s="1"/>
  <c r="BH7" i="5" s="1"/>
  <c r="BI7" i="5" s="1"/>
  <c r="BJ7" i="5" s="1"/>
  <c r="BK7" i="5" s="1"/>
  <c r="BL7" i="5" s="1"/>
  <c r="BM7" i="5" s="1"/>
  <c r="BN7" i="5" s="1"/>
  <c r="BO7" i="5" s="1"/>
  <c r="BP7" i="5" s="1"/>
  <c r="BQ7" i="5" s="1"/>
  <c r="BR7" i="5" s="1"/>
  <c r="BS7" i="5" s="1"/>
  <c r="BT7" i="5" s="1"/>
  <c r="BU7" i="5" s="1"/>
  <c r="BV7" i="5" s="1"/>
  <c r="AP27" i="5"/>
  <c r="AQ27" i="5" s="1"/>
  <c r="AR27" i="5" s="1"/>
  <c r="AS27" i="5" s="1"/>
  <c r="AT27" i="5" s="1"/>
  <c r="AU27" i="5" s="1"/>
  <c r="AV27" i="5" s="1"/>
  <c r="AW27" i="5" s="1"/>
  <c r="AX27" i="5" s="1"/>
  <c r="AY27" i="5" s="1"/>
  <c r="AZ27" i="5" s="1"/>
  <c r="BA27" i="5" s="1"/>
  <c r="BB27" i="5" s="1"/>
  <c r="BC27" i="5" s="1"/>
  <c r="BD27" i="5" s="1"/>
  <c r="BE27" i="5" s="1"/>
  <c r="BF27" i="5" s="1"/>
  <c r="BG27" i="5" s="1"/>
  <c r="BH27" i="5" s="1"/>
  <c r="BI27" i="5" s="1"/>
  <c r="BJ27" i="5" s="1"/>
  <c r="BK27" i="5" s="1"/>
  <c r="BL27" i="5" s="1"/>
  <c r="BM27" i="5" s="1"/>
  <c r="BN27" i="5" s="1"/>
  <c r="BO27" i="5" s="1"/>
  <c r="BP27" i="5" s="1"/>
  <c r="BQ27" i="5" s="1"/>
  <c r="BR27" i="5" s="1"/>
  <c r="BS27" i="5" s="1"/>
  <c r="BT27" i="5" s="1"/>
  <c r="BU27" i="5" s="1"/>
  <c r="BV27" i="5" s="1"/>
  <c r="J27" i="5" s="1"/>
  <c r="J17" i="5" l="1"/>
  <c r="J21" i="7" s="1"/>
  <c r="J7" i="5"/>
  <c r="J11" i="7" s="1"/>
  <c r="J6" i="5"/>
  <c r="J10" i="7" s="1"/>
  <c r="J12" i="5"/>
  <c r="J16" i="7" s="1"/>
  <c r="J31" i="7"/>
  <c r="J29" i="7"/>
  <c r="AV37" i="5"/>
  <c r="AW37" i="5" s="1"/>
  <c r="AX37" i="5" s="1"/>
  <c r="AY37" i="5" s="1"/>
  <c r="BA45" i="5"/>
  <c r="BB45" i="5" s="1"/>
  <c r="BC45" i="5" s="1"/>
  <c r="BD45" i="5" s="1"/>
  <c r="AW46" i="5"/>
  <c r="AX46" i="5" s="1"/>
  <c r="AI49" i="5"/>
  <c r="AJ49" i="5" s="1"/>
  <c r="AK49" i="5" s="1"/>
  <c r="AL49" i="5" s="1"/>
  <c r="AF40" i="5"/>
  <c r="AY32" i="5"/>
  <c r="BC30" i="5"/>
  <c r="BD30" i="5" s="1"/>
  <c r="BE30" i="5" s="1"/>
  <c r="BF30" i="5" s="1"/>
  <c r="BG30" i="5" s="1"/>
  <c r="BH30" i="5" s="1"/>
  <c r="BI30" i="5" s="1"/>
  <c r="BJ30" i="5" s="1"/>
  <c r="BK30" i="5" s="1"/>
  <c r="BL30" i="5" s="1"/>
  <c r="BM30" i="5" s="1"/>
  <c r="BN30" i="5" s="1"/>
  <c r="BO30" i="5" s="1"/>
  <c r="BP30" i="5" s="1"/>
  <c r="BQ30" i="5" s="1"/>
  <c r="BR30" i="5" s="1"/>
  <c r="BS30" i="5" s="1"/>
  <c r="BT30" i="5" s="1"/>
  <c r="BU30" i="5" s="1"/>
  <c r="BV30" i="5" s="1"/>
  <c r="AU29" i="5"/>
  <c r="AV29" i="5" s="1"/>
  <c r="Z33" i="5"/>
  <c r="AA33" i="5" s="1"/>
  <c r="AB33" i="5" s="1"/>
  <c r="AC33" i="5" s="1"/>
  <c r="AD33" i="5" s="1"/>
  <c r="AE33" i="5" s="1"/>
  <c r="AF33" i="5" s="1"/>
  <c r="AG33" i="5" s="1"/>
  <c r="AH33" i="5" s="1"/>
  <c r="AI33" i="5" s="1"/>
  <c r="AJ33" i="5" s="1"/>
  <c r="AK33" i="5" s="1"/>
  <c r="AL33" i="5" s="1"/>
  <c r="AM33" i="5" s="1"/>
  <c r="AN33" i="5" s="1"/>
  <c r="AO33" i="5" s="1"/>
  <c r="AP33" i="5" s="1"/>
  <c r="AW39" i="5"/>
  <c r="AX39" i="5" s="1"/>
  <c r="AY39" i="5" s="1"/>
  <c r="AZ39" i="5" s="1"/>
  <c r="BA39" i="5" s="1"/>
  <c r="BB39" i="5" s="1"/>
  <c r="BC39" i="5" s="1"/>
  <c r="BD39" i="5" s="1"/>
  <c r="BE39" i="5" s="1"/>
  <c r="BF39" i="5" s="1"/>
  <c r="BG39" i="5" s="1"/>
  <c r="BH39" i="5" s="1"/>
  <c r="BI39" i="5" s="1"/>
  <c r="BJ39" i="5" s="1"/>
  <c r="BK39" i="5" s="1"/>
  <c r="BL39" i="5" s="1"/>
  <c r="BM39" i="5" s="1"/>
  <c r="BN39" i="5" s="1"/>
  <c r="BO39" i="5" s="1"/>
  <c r="BP39" i="5" s="1"/>
  <c r="BQ39" i="5" s="1"/>
  <c r="BR39" i="5" s="1"/>
  <c r="BS39" i="5" s="1"/>
  <c r="BT39" i="5" s="1"/>
  <c r="BU39" i="5" s="1"/>
  <c r="BV39" i="5" s="1"/>
  <c r="W31" i="5"/>
  <c r="AZ32" i="5"/>
  <c r="BA32" i="5" s="1"/>
  <c r="BB32" i="5" s="1"/>
  <c r="BC32" i="5" s="1"/>
  <c r="BD32" i="5" s="1"/>
  <c r="BE32" i="5" s="1"/>
  <c r="BF32" i="5" s="1"/>
  <c r="BG32" i="5" s="1"/>
  <c r="BH32" i="5" s="1"/>
  <c r="BI32" i="5" s="1"/>
  <c r="BJ32" i="5" s="1"/>
  <c r="BK32" i="5" s="1"/>
  <c r="BL32" i="5" s="1"/>
  <c r="BM32" i="5" s="1"/>
  <c r="BN32" i="5" s="1"/>
  <c r="BO32" i="5" s="1"/>
  <c r="BP32" i="5" s="1"/>
  <c r="BQ32" i="5" s="1"/>
  <c r="BR32" i="5" s="1"/>
  <c r="BS32" i="5" s="1"/>
  <c r="BT32" i="5" s="1"/>
  <c r="BU32" i="5" s="1"/>
  <c r="BV32" i="5" s="1"/>
  <c r="AB38" i="5"/>
  <c r="AC38" i="5" s="1"/>
  <c r="AV35" i="5"/>
  <c r="AW35" i="5" s="1"/>
  <c r="AX35" i="5" s="1"/>
  <c r="AY35" i="5" s="1"/>
  <c r="AZ35" i="5" s="1"/>
  <c r="BA35" i="5" s="1"/>
  <c r="BB35" i="5" s="1"/>
  <c r="AZ37" i="5"/>
  <c r="BA37" i="5" s="1"/>
  <c r="BB37" i="5" s="1"/>
  <c r="BC37" i="5" s="1"/>
  <c r="BD37" i="5" s="1"/>
  <c r="BE37" i="5" s="1"/>
  <c r="BF37" i="5" s="1"/>
  <c r="BG37" i="5" s="1"/>
  <c r="BH37" i="5" s="1"/>
  <c r="BI37" i="5" s="1"/>
  <c r="BJ37" i="5" s="1"/>
  <c r="BK37" i="5" s="1"/>
  <c r="BL37" i="5" s="1"/>
  <c r="BM37" i="5" s="1"/>
  <c r="BN37" i="5" s="1"/>
  <c r="BO37" i="5" s="1"/>
  <c r="BP37" i="5" s="1"/>
  <c r="BQ37" i="5" s="1"/>
  <c r="BR37" i="5" s="1"/>
  <c r="BS37" i="5" s="1"/>
  <c r="BT37" i="5" s="1"/>
  <c r="BU37" i="5" s="1"/>
  <c r="BV37" i="5" s="1"/>
  <c r="BE45" i="5"/>
  <c r="BF45" i="5" s="1"/>
  <c r="BG45" i="5" s="1"/>
  <c r="BH45" i="5" s="1"/>
  <c r="BI45" i="5" s="1"/>
  <c r="BJ45" i="5" s="1"/>
  <c r="BK45" i="5" s="1"/>
  <c r="BL45" i="5" s="1"/>
  <c r="BM45" i="5" s="1"/>
  <c r="BN45" i="5" s="1"/>
  <c r="BO45" i="5" s="1"/>
  <c r="BP45" i="5" s="1"/>
  <c r="BQ45" i="5" s="1"/>
  <c r="BR45" i="5" s="1"/>
  <c r="BS45" i="5" s="1"/>
  <c r="BT45" i="5" s="1"/>
  <c r="BU45" i="5" s="1"/>
  <c r="BV45" i="5" s="1"/>
  <c r="BA43" i="5"/>
  <c r="BB43" i="5" s="1"/>
  <c r="BC43" i="5" s="1"/>
  <c r="BD43" i="5" s="1"/>
  <c r="Y41" i="5"/>
  <c r="Z41" i="5" s="1"/>
  <c r="AA41" i="5" s="1"/>
  <c r="AE44" i="5"/>
  <c r="AY47" i="5"/>
  <c r="AZ47" i="5" s="1"/>
  <c r="BA47" i="5" s="1"/>
  <c r="AY46" i="5"/>
  <c r="AZ46" i="5" s="1"/>
  <c r="BA46" i="5" s="1"/>
  <c r="BB46" i="5" s="1"/>
  <c r="BC46" i="5" s="1"/>
  <c r="BD46" i="5" s="1"/>
  <c r="BE46" i="5" s="1"/>
  <c r="BF46" i="5" s="1"/>
  <c r="BG46" i="5" s="1"/>
  <c r="BH46" i="5" s="1"/>
  <c r="BI46" i="5" s="1"/>
  <c r="BJ46" i="5" s="1"/>
  <c r="BK46" i="5" s="1"/>
  <c r="BL46" i="5" s="1"/>
  <c r="BM46" i="5" s="1"/>
  <c r="BN46" i="5" s="1"/>
  <c r="BO46" i="5" s="1"/>
  <c r="BP46" i="5" s="1"/>
  <c r="BQ46" i="5" s="1"/>
  <c r="BR46" i="5" s="1"/>
  <c r="BS46" i="5" s="1"/>
  <c r="BT46" i="5" s="1"/>
  <c r="BU46" i="5" s="1"/>
  <c r="BV46" i="5" s="1"/>
  <c r="BB47" i="5"/>
  <c r="BC47" i="5" s="1"/>
  <c r="BD47" i="5" s="1"/>
  <c r="BE47" i="5" s="1"/>
  <c r="AT34" i="5"/>
  <c r="AU34" i="5" s="1"/>
  <c r="AV34" i="5" s="1"/>
  <c r="AW34" i="5" s="1"/>
  <c r="AX34" i="5" s="1"/>
  <c r="AY34" i="5" s="1"/>
  <c r="AZ34" i="5" s="1"/>
  <c r="BA34" i="5" s="1"/>
  <c r="BB34" i="5" s="1"/>
  <c r="AC18" i="5"/>
  <c r="AB13" i="5"/>
  <c r="AC13" i="5" s="1"/>
  <c r="AD18" i="5"/>
  <c r="Z36" i="5"/>
  <c r="AA36" i="5" s="1"/>
  <c r="AB36" i="5" s="1"/>
  <c r="AC36" i="5" s="1"/>
  <c r="AD36" i="5" s="1"/>
  <c r="AE36" i="5" s="1"/>
  <c r="AF36" i="5" s="1"/>
  <c r="AG36" i="5" s="1"/>
  <c r="AH36" i="5" s="1"/>
  <c r="AI36" i="5" s="1"/>
  <c r="AJ36" i="5" s="1"/>
  <c r="AK36" i="5" s="1"/>
  <c r="AL36" i="5" s="1"/>
  <c r="AM36" i="5" s="1"/>
  <c r="AN36" i="5" s="1"/>
  <c r="AO36" i="5" s="1"/>
  <c r="AP36" i="5" s="1"/>
  <c r="AQ36" i="5" s="1"/>
  <c r="AR36" i="5" s="1"/>
  <c r="AS36" i="5" s="1"/>
  <c r="AT36" i="5" s="1"/>
  <c r="AU36" i="5" s="1"/>
  <c r="AV36" i="5" s="1"/>
  <c r="Y11" i="5"/>
  <c r="E22" i="4"/>
  <c r="R21" i="4"/>
  <c r="AC5" i="5"/>
  <c r="AD5" i="5" s="1"/>
  <c r="AE5" i="5" s="1"/>
  <c r="AF5" i="5" s="1"/>
  <c r="AG5" i="5" s="1"/>
  <c r="AH5" i="5" s="1"/>
  <c r="AI5" i="5" s="1"/>
  <c r="AJ5" i="5" s="1"/>
  <c r="AK5" i="5" s="1"/>
  <c r="AL5" i="5" s="1"/>
  <c r="AM5" i="5" s="1"/>
  <c r="AN5" i="5" s="1"/>
  <c r="AO5" i="5" s="1"/>
  <c r="AP5" i="5" s="1"/>
  <c r="AQ5" i="5" s="1"/>
  <c r="AR5" i="5" s="1"/>
  <c r="AS5" i="5" s="1"/>
  <c r="AT5" i="5" s="1"/>
  <c r="AU5" i="5" s="1"/>
  <c r="AV5" i="5" s="1"/>
  <c r="AW5" i="5" s="1"/>
  <c r="AX5" i="5" s="1"/>
  <c r="AY5" i="5" s="1"/>
  <c r="AZ5" i="5" s="1"/>
  <c r="BA5" i="5" s="1"/>
  <c r="BB5" i="5" s="1"/>
  <c r="BC5" i="5" s="1"/>
  <c r="BD5" i="5" s="1"/>
  <c r="BE5" i="5" s="1"/>
  <c r="BF5" i="5" s="1"/>
  <c r="BG5" i="5" s="1"/>
  <c r="BH5" i="5" s="1"/>
  <c r="BI5" i="5" s="1"/>
  <c r="BJ5" i="5" s="1"/>
  <c r="BK5" i="5" s="1"/>
  <c r="BL5" i="5" s="1"/>
  <c r="BM5" i="5" s="1"/>
  <c r="BN5" i="5" s="1"/>
  <c r="BO5" i="5" s="1"/>
  <c r="BP5" i="5" s="1"/>
  <c r="BQ5" i="5" s="1"/>
  <c r="BR5" i="5" s="1"/>
  <c r="BS5" i="5" s="1"/>
  <c r="BT5" i="5" s="1"/>
  <c r="BU5" i="5" s="1"/>
  <c r="BV5" i="5" s="1"/>
  <c r="AB8" i="5"/>
  <c r="AC8" i="5" s="1"/>
  <c r="AD8" i="5" s="1"/>
  <c r="AB20" i="5"/>
  <c r="AC20" i="5" s="1"/>
  <c r="AD20" i="5" s="1"/>
  <c r="AE20" i="5" s="1"/>
  <c r="AF20" i="5" s="1"/>
  <c r="AG20" i="5" s="1"/>
  <c r="AH20" i="5" s="1"/>
  <c r="AI20" i="5" s="1"/>
  <c r="AJ20" i="5" s="1"/>
  <c r="AA15" i="5"/>
  <c r="AC28" i="5"/>
  <c r="AC8" i="7"/>
  <c r="J5" i="5" l="1"/>
  <c r="J9" i="7" s="1"/>
  <c r="J37" i="5"/>
  <c r="J41" i="7" s="1"/>
  <c r="J30" i="5"/>
  <c r="J34" i="7" s="1"/>
  <c r="J32" i="5"/>
  <c r="J36" i="7" s="1"/>
  <c r="J39" i="5"/>
  <c r="J43" i="7" s="1"/>
  <c r="AM49" i="5"/>
  <c r="AN49" i="5" s="1"/>
  <c r="AO49" i="5" s="1"/>
  <c r="AP49" i="5" s="1"/>
  <c r="AQ49" i="5" s="1"/>
  <c r="AR49" i="5" s="1"/>
  <c r="AS49" i="5" s="1"/>
  <c r="AT49" i="5" s="1"/>
  <c r="AU49" i="5" s="1"/>
  <c r="AV49" i="5" s="1"/>
  <c r="AW49" i="5" s="1"/>
  <c r="AX49" i="5" s="1"/>
  <c r="AY49" i="5" s="1"/>
  <c r="AZ49" i="5" s="1"/>
  <c r="BA49" i="5" s="1"/>
  <c r="BB49" i="5" s="1"/>
  <c r="BC49" i="5" s="1"/>
  <c r="BD49" i="5" s="1"/>
  <c r="BE49" i="5" s="1"/>
  <c r="BF49" i="5" s="1"/>
  <c r="BG49" i="5" s="1"/>
  <c r="BH49" i="5" s="1"/>
  <c r="BI49" i="5" s="1"/>
  <c r="BJ49" i="5" s="1"/>
  <c r="BK49" i="5" s="1"/>
  <c r="BL49" i="5" s="1"/>
  <c r="BM49" i="5" s="1"/>
  <c r="BN49" i="5" s="1"/>
  <c r="BO49" i="5" s="1"/>
  <c r="BP49" i="5" s="1"/>
  <c r="BQ49" i="5" s="1"/>
  <c r="BR49" i="5" s="1"/>
  <c r="BS49" i="5" s="1"/>
  <c r="BT49" i="5" s="1"/>
  <c r="BU49" i="5" s="1"/>
  <c r="BV49" i="5" s="1"/>
  <c r="BF47" i="5"/>
  <c r="AG40" i="5"/>
  <c r="AQ33" i="5"/>
  <c r="AR33" i="5" s="1"/>
  <c r="AS33" i="5" s="1"/>
  <c r="AT33" i="5" s="1"/>
  <c r="AU33" i="5" s="1"/>
  <c r="AV33" i="5" s="1"/>
  <c r="X31" i="5"/>
  <c r="AW29" i="5"/>
  <c r="AX29" i="5" s="1"/>
  <c r="AY29" i="5" s="1"/>
  <c r="AZ29" i="5" s="1"/>
  <c r="BA29" i="5" s="1"/>
  <c r="BB29" i="5" s="1"/>
  <c r="BC29" i="5" s="1"/>
  <c r="BD29" i="5" s="1"/>
  <c r="BE29" i="5" s="1"/>
  <c r="BF29" i="5" s="1"/>
  <c r="BG29" i="5" s="1"/>
  <c r="BH29" i="5" s="1"/>
  <c r="BI29" i="5" s="1"/>
  <c r="BJ29" i="5" s="1"/>
  <c r="BK29" i="5" s="1"/>
  <c r="BL29" i="5" s="1"/>
  <c r="BM29" i="5" s="1"/>
  <c r="BN29" i="5" s="1"/>
  <c r="BO29" i="5" s="1"/>
  <c r="BP29" i="5" s="1"/>
  <c r="BQ29" i="5" s="1"/>
  <c r="BR29" i="5" s="1"/>
  <c r="BS29" i="5" s="1"/>
  <c r="BT29" i="5" s="1"/>
  <c r="BU29" i="5" s="1"/>
  <c r="BV29" i="5" s="1"/>
  <c r="AD38" i="5"/>
  <c r="AE38" i="5" s="1"/>
  <c r="AF38" i="5" s="1"/>
  <c r="AW36" i="5"/>
  <c r="AX36" i="5" s="1"/>
  <c r="AY36" i="5" s="1"/>
  <c r="AZ36" i="5" s="1"/>
  <c r="BA36" i="5" s="1"/>
  <c r="BB36" i="5" s="1"/>
  <c r="BC36" i="5" s="1"/>
  <c r="BD36" i="5" s="1"/>
  <c r="BE36" i="5" s="1"/>
  <c r="BF36" i="5" s="1"/>
  <c r="BG36" i="5" s="1"/>
  <c r="BH36" i="5" s="1"/>
  <c r="BI36" i="5" s="1"/>
  <c r="BJ36" i="5" s="1"/>
  <c r="BK36" i="5" s="1"/>
  <c r="BL36" i="5" s="1"/>
  <c r="BM36" i="5" s="1"/>
  <c r="BN36" i="5" s="1"/>
  <c r="BO36" i="5" s="1"/>
  <c r="BP36" i="5" s="1"/>
  <c r="BQ36" i="5" s="1"/>
  <c r="BR36" i="5" s="1"/>
  <c r="BS36" i="5" s="1"/>
  <c r="BT36" i="5" s="1"/>
  <c r="BU36" i="5" s="1"/>
  <c r="BV36" i="5" s="1"/>
  <c r="AB41" i="5"/>
  <c r="AC41" i="5" s="1"/>
  <c r="AD41" i="5" s="1"/>
  <c r="AE41" i="5" s="1"/>
  <c r="AF41" i="5" s="1"/>
  <c r="AG41" i="5" s="1"/>
  <c r="AH41" i="5" s="1"/>
  <c r="AI41" i="5" s="1"/>
  <c r="AJ41" i="5" s="1"/>
  <c r="AK41" i="5" s="1"/>
  <c r="BC35" i="5"/>
  <c r="BD35" i="5" s="1"/>
  <c r="BE35" i="5" s="1"/>
  <c r="BF35" i="5" s="1"/>
  <c r="BG35" i="5" s="1"/>
  <c r="BH35" i="5" s="1"/>
  <c r="AF44" i="5"/>
  <c r="AG44" i="5" s="1"/>
  <c r="AH44" i="5" s="1"/>
  <c r="AI44" i="5" s="1"/>
  <c r="AJ44" i="5" s="1"/>
  <c r="AK44" i="5" s="1"/>
  <c r="AL44" i="5" s="1"/>
  <c r="AM44" i="5" s="1"/>
  <c r="AN44" i="5" s="1"/>
  <c r="AO44" i="5" s="1"/>
  <c r="AP44" i="5" s="1"/>
  <c r="BG47" i="5"/>
  <c r="BH47" i="5" s="1"/>
  <c r="BI47" i="5" s="1"/>
  <c r="BJ47" i="5" s="1"/>
  <c r="BK47" i="5" s="1"/>
  <c r="BL47" i="5" s="1"/>
  <c r="BM47" i="5" s="1"/>
  <c r="BN47" i="5" s="1"/>
  <c r="BO47" i="5" s="1"/>
  <c r="BP47" i="5" s="1"/>
  <c r="BQ47" i="5" s="1"/>
  <c r="BR47" i="5" s="1"/>
  <c r="BS47" i="5" s="1"/>
  <c r="BT47" i="5" s="1"/>
  <c r="BU47" i="5" s="1"/>
  <c r="BV47" i="5" s="1"/>
  <c r="BE43" i="5"/>
  <c r="BC34" i="5"/>
  <c r="BD34" i="5" s="1"/>
  <c r="BE34" i="5" s="1"/>
  <c r="BF34" i="5" s="1"/>
  <c r="BG34" i="5" s="1"/>
  <c r="BH34" i="5" s="1"/>
  <c r="BI34" i="5" s="1"/>
  <c r="BJ34" i="5" s="1"/>
  <c r="BK34" i="5" s="1"/>
  <c r="BL34" i="5" s="1"/>
  <c r="BM34" i="5" s="1"/>
  <c r="BN34" i="5" s="1"/>
  <c r="BO34" i="5" s="1"/>
  <c r="BP34" i="5" s="1"/>
  <c r="BQ34" i="5" s="1"/>
  <c r="BR34" i="5" s="1"/>
  <c r="BS34" i="5" s="1"/>
  <c r="AE18" i="5"/>
  <c r="AF18" i="5" s="1"/>
  <c r="AG18" i="5" s="1"/>
  <c r="AH18" i="5" s="1"/>
  <c r="AD13" i="5"/>
  <c r="AE13" i="5" s="1"/>
  <c r="AF13" i="5" s="1"/>
  <c r="AG13" i="5" s="1"/>
  <c r="AH13" i="5" s="1"/>
  <c r="AI13" i="5" s="1"/>
  <c r="AJ13" i="5" s="1"/>
  <c r="AK13" i="5" s="1"/>
  <c r="AL13" i="5" s="1"/>
  <c r="AM13" i="5" s="1"/>
  <c r="AN13" i="5" s="1"/>
  <c r="AO13" i="5" s="1"/>
  <c r="AP13" i="5" s="1"/>
  <c r="AQ13" i="5" s="1"/>
  <c r="AR13" i="5" s="1"/>
  <c r="AS13" i="5" s="1"/>
  <c r="AT13" i="5" s="1"/>
  <c r="AU13" i="5" s="1"/>
  <c r="AV13" i="5" s="1"/>
  <c r="AW13" i="5" s="1"/>
  <c r="AX13" i="5" s="1"/>
  <c r="AY13" i="5" s="1"/>
  <c r="AZ13" i="5" s="1"/>
  <c r="BA13" i="5" s="1"/>
  <c r="BB13" i="5" s="1"/>
  <c r="BC13" i="5" s="1"/>
  <c r="BD13" i="5" s="1"/>
  <c r="BE13" i="5" s="1"/>
  <c r="BF13" i="5" s="1"/>
  <c r="BG13" i="5" s="1"/>
  <c r="BH13" i="5" s="1"/>
  <c r="BI13" i="5" s="1"/>
  <c r="BJ13" i="5" s="1"/>
  <c r="BK13" i="5" s="1"/>
  <c r="BL13" i="5" s="1"/>
  <c r="BM13" i="5" s="1"/>
  <c r="BN13" i="5" s="1"/>
  <c r="BO13" i="5" s="1"/>
  <c r="BP13" i="5" s="1"/>
  <c r="BQ13" i="5" s="1"/>
  <c r="BR13" i="5" s="1"/>
  <c r="BS13" i="5" s="1"/>
  <c r="BT13" i="5" s="1"/>
  <c r="BU13" i="5" s="1"/>
  <c r="BV13" i="5" s="1"/>
  <c r="Z11" i="5"/>
  <c r="AA11" i="5" s="1"/>
  <c r="AE8" i="5"/>
  <c r="AF8" i="5" s="1"/>
  <c r="AG8" i="5" s="1"/>
  <c r="AD28" i="5"/>
  <c r="AB15" i="5"/>
  <c r="E23" i="4"/>
  <c r="R22" i="4"/>
  <c r="AK20" i="5"/>
  <c r="AL20" i="5" s="1"/>
  <c r="AM20" i="5" s="1"/>
  <c r="AN20" i="5" s="1"/>
  <c r="AO20" i="5" s="1"/>
  <c r="AP20" i="5" s="1"/>
  <c r="AQ20" i="5" s="1"/>
  <c r="AR20" i="5" s="1"/>
  <c r="AS20" i="5" s="1"/>
  <c r="AT20" i="5" s="1"/>
  <c r="AU20" i="5" s="1"/>
  <c r="AV20" i="5" s="1"/>
  <c r="AW20" i="5" s="1"/>
  <c r="AX20" i="5" s="1"/>
  <c r="AY20" i="5" s="1"/>
  <c r="AZ20" i="5" s="1"/>
  <c r="BA20" i="5" s="1"/>
  <c r="BB20" i="5" s="1"/>
  <c r="BC20" i="5" s="1"/>
  <c r="BD20" i="5" s="1"/>
  <c r="BE20" i="5" s="1"/>
  <c r="BF20" i="5" s="1"/>
  <c r="BG20" i="5" s="1"/>
  <c r="BH20" i="5" s="1"/>
  <c r="BI20" i="5" s="1"/>
  <c r="BJ20" i="5" s="1"/>
  <c r="BK20" i="5" s="1"/>
  <c r="BL20" i="5" s="1"/>
  <c r="BM20" i="5" s="1"/>
  <c r="BN20" i="5" s="1"/>
  <c r="BO20" i="5" s="1"/>
  <c r="BP20" i="5" s="1"/>
  <c r="BQ20" i="5" s="1"/>
  <c r="BR20" i="5" s="1"/>
  <c r="BS20" i="5" s="1"/>
  <c r="BT20" i="5" s="1"/>
  <c r="BU20" i="5" s="1"/>
  <c r="BV20" i="5" s="1"/>
  <c r="AD8" i="7"/>
  <c r="J36" i="5" l="1"/>
  <c r="J40" i="7" s="1"/>
  <c r="J20" i="5"/>
  <c r="J24" i="7" s="1"/>
  <c r="J13" i="5"/>
  <c r="J17" i="7" s="1"/>
  <c r="J29" i="5"/>
  <c r="J33" i="7" s="1"/>
  <c r="AH40" i="5"/>
  <c r="AW33" i="5"/>
  <c r="AX33" i="5" s="1"/>
  <c r="AY33" i="5" s="1"/>
  <c r="AZ33" i="5" s="1"/>
  <c r="BA33" i="5" s="1"/>
  <c r="BB33" i="5" s="1"/>
  <c r="BC33" i="5" s="1"/>
  <c r="BD33" i="5" s="1"/>
  <c r="BE33" i="5" s="1"/>
  <c r="BF33" i="5" s="1"/>
  <c r="BG33" i="5" s="1"/>
  <c r="BH33" i="5" s="1"/>
  <c r="BI33" i="5" s="1"/>
  <c r="BJ33" i="5" s="1"/>
  <c r="BK33" i="5" s="1"/>
  <c r="BL33" i="5" s="1"/>
  <c r="BM33" i="5" s="1"/>
  <c r="BN33" i="5" s="1"/>
  <c r="BO33" i="5" s="1"/>
  <c r="BP33" i="5" s="1"/>
  <c r="BQ33" i="5" s="1"/>
  <c r="BR33" i="5" s="1"/>
  <c r="BS33" i="5" s="1"/>
  <c r="BT33" i="5" s="1"/>
  <c r="BU33" i="5" s="1"/>
  <c r="BV33" i="5" s="1"/>
  <c r="Y31" i="5"/>
  <c r="AL41" i="5"/>
  <c r="AM41" i="5" s="1"/>
  <c r="AN41" i="5" s="1"/>
  <c r="AO41" i="5" s="1"/>
  <c r="AP41" i="5" s="1"/>
  <c r="BI35" i="5"/>
  <c r="BJ35" i="5" s="1"/>
  <c r="BK35" i="5" s="1"/>
  <c r="BL35" i="5" s="1"/>
  <c r="BM35" i="5" s="1"/>
  <c r="BN35" i="5" s="1"/>
  <c r="BO35" i="5" s="1"/>
  <c r="BP35" i="5" s="1"/>
  <c r="BQ35" i="5" s="1"/>
  <c r="BR35" i="5" s="1"/>
  <c r="BS35" i="5" s="1"/>
  <c r="BT35" i="5" s="1"/>
  <c r="BU35" i="5" s="1"/>
  <c r="BV35" i="5" s="1"/>
  <c r="AG38" i="5"/>
  <c r="AH38" i="5" s="1"/>
  <c r="AI38" i="5" s="1"/>
  <c r="AJ38" i="5" s="1"/>
  <c r="AK38" i="5" s="1"/>
  <c r="AL38" i="5" s="1"/>
  <c r="AM38" i="5" s="1"/>
  <c r="AN38" i="5" s="1"/>
  <c r="AO38" i="5" s="1"/>
  <c r="AP38" i="5" s="1"/>
  <c r="AQ38" i="5" s="1"/>
  <c r="AR38" i="5" s="1"/>
  <c r="AS38" i="5" s="1"/>
  <c r="AT38" i="5" s="1"/>
  <c r="AU38" i="5" s="1"/>
  <c r="AV38" i="5" s="1"/>
  <c r="AW38" i="5" s="1"/>
  <c r="AX38" i="5" s="1"/>
  <c r="AY38" i="5" s="1"/>
  <c r="AZ38" i="5" s="1"/>
  <c r="BA38" i="5" s="1"/>
  <c r="BB38" i="5" s="1"/>
  <c r="BC38" i="5" s="1"/>
  <c r="BD38" i="5" s="1"/>
  <c r="BE38" i="5" s="1"/>
  <c r="BF38" i="5" s="1"/>
  <c r="BG38" i="5" s="1"/>
  <c r="BH38" i="5" s="1"/>
  <c r="BI38" i="5" s="1"/>
  <c r="BJ38" i="5" s="1"/>
  <c r="BK38" i="5" s="1"/>
  <c r="BL38" i="5" s="1"/>
  <c r="BM38" i="5" s="1"/>
  <c r="BN38" i="5" s="1"/>
  <c r="BO38" i="5" s="1"/>
  <c r="BP38" i="5" s="1"/>
  <c r="BQ38" i="5" s="1"/>
  <c r="BR38" i="5" s="1"/>
  <c r="BS38" i="5" s="1"/>
  <c r="BT38" i="5" s="1"/>
  <c r="BU38" i="5" s="1"/>
  <c r="BV38" i="5" s="1"/>
  <c r="BF43" i="5"/>
  <c r="BG43" i="5" s="1"/>
  <c r="BH43" i="5" s="1"/>
  <c r="BI43" i="5" s="1"/>
  <c r="BJ43" i="5" s="1"/>
  <c r="AQ44" i="5"/>
  <c r="AR44" i="5" s="1"/>
  <c r="AS44" i="5" s="1"/>
  <c r="AT44" i="5" s="1"/>
  <c r="AU44" i="5" s="1"/>
  <c r="AV44" i="5" s="1"/>
  <c r="AW44" i="5" s="1"/>
  <c r="AX44" i="5" s="1"/>
  <c r="BT34" i="5"/>
  <c r="BU34" i="5" s="1"/>
  <c r="BV34" i="5" s="1"/>
  <c r="AI18" i="5"/>
  <c r="AJ18" i="5" s="1"/>
  <c r="AK18" i="5" s="1"/>
  <c r="AL18" i="5" s="1"/>
  <c r="AM18" i="5" s="1"/>
  <c r="AN18" i="5" s="1"/>
  <c r="AO18" i="5" s="1"/>
  <c r="AP18" i="5" s="1"/>
  <c r="AQ18" i="5" s="1"/>
  <c r="AR18" i="5" s="1"/>
  <c r="AS18" i="5" s="1"/>
  <c r="AT18" i="5" s="1"/>
  <c r="AU18" i="5" s="1"/>
  <c r="AV18" i="5" s="1"/>
  <c r="AW18" i="5" s="1"/>
  <c r="AX18" i="5" s="1"/>
  <c r="AY18" i="5" s="1"/>
  <c r="AZ18" i="5" s="1"/>
  <c r="BA18" i="5" s="1"/>
  <c r="BB18" i="5" s="1"/>
  <c r="BC18" i="5" s="1"/>
  <c r="BD18" i="5" s="1"/>
  <c r="BE18" i="5" s="1"/>
  <c r="BF18" i="5" s="1"/>
  <c r="BG18" i="5" s="1"/>
  <c r="BH18" i="5" s="1"/>
  <c r="BI18" i="5" s="1"/>
  <c r="BJ18" i="5" s="1"/>
  <c r="BK18" i="5" s="1"/>
  <c r="BL18" i="5" s="1"/>
  <c r="BM18" i="5" s="1"/>
  <c r="BN18" i="5" s="1"/>
  <c r="BO18" i="5" s="1"/>
  <c r="BP18" i="5" s="1"/>
  <c r="BQ18" i="5" s="1"/>
  <c r="BR18" i="5" s="1"/>
  <c r="BS18" i="5" s="1"/>
  <c r="BT18" i="5" s="1"/>
  <c r="BU18" i="5" s="1"/>
  <c r="BV18" i="5" s="1"/>
  <c r="AB11" i="5"/>
  <c r="AC11" i="5" s="1"/>
  <c r="AE28" i="5"/>
  <c r="AH8" i="5"/>
  <c r="AI8" i="5" s="1"/>
  <c r="AJ8" i="5" s="1"/>
  <c r="AK8" i="5" s="1"/>
  <c r="AL8" i="5" s="1"/>
  <c r="AM8" i="5" s="1"/>
  <c r="AN8" i="5" s="1"/>
  <c r="AO8" i="5" s="1"/>
  <c r="AP8" i="5" s="1"/>
  <c r="AQ8" i="5" s="1"/>
  <c r="AR8" i="5" s="1"/>
  <c r="AS8" i="5" s="1"/>
  <c r="AT8" i="5" s="1"/>
  <c r="AU8" i="5" s="1"/>
  <c r="AV8" i="5" s="1"/>
  <c r="AW8" i="5" s="1"/>
  <c r="AX8" i="5" s="1"/>
  <c r="AY8" i="5" s="1"/>
  <c r="AZ8" i="5" s="1"/>
  <c r="BA8" i="5" s="1"/>
  <c r="BB8" i="5" s="1"/>
  <c r="BC8" i="5" s="1"/>
  <c r="BD8" i="5" s="1"/>
  <c r="BE8" i="5" s="1"/>
  <c r="BF8" i="5" s="1"/>
  <c r="BG8" i="5" s="1"/>
  <c r="BH8" i="5" s="1"/>
  <c r="BI8" i="5" s="1"/>
  <c r="BJ8" i="5" s="1"/>
  <c r="BK8" i="5" s="1"/>
  <c r="BL8" i="5" s="1"/>
  <c r="BM8" i="5" s="1"/>
  <c r="BN8" i="5" s="1"/>
  <c r="BO8" i="5" s="1"/>
  <c r="BP8" i="5" s="1"/>
  <c r="BQ8" i="5" s="1"/>
  <c r="BR8" i="5" s="1"/>
  <c r="BS8" i="5" s="1"/>
  <c r="BT8" i="5" s="1"/>
  <c r="BU8" i="5" s="1"/>
  <c r="BV8" i="5" s="1"/>
  <c r="E6" i="4"/>
  <c r="R23" i="4"/>
  <c r="AC15" i="5"/>
  <c r="AE8" i="7"/>
  <c r="J38" i="5" l="1"/>
  <c r="J42" i="7" s="1"/>
  <c r="J8" i="5"/>
  <c r="J12" i="7" s="1"/>
  <c r="J34" i="5"/>
  <c r="J38" i="7" s="1"/>
  <c r="J35" i="5"/>
  <c r="J39" i="7" s="1"/>
  <c r="J18" i="5"/>
  <c r="J22" i="7" s="1"/>
  <c r="J33" i="5"/>
  <c r="J37" i="7" s="1"/>
  <c r="R6" i="4"/>
  <c r="E39" i="4"/>
  <c r="BK43" i="5"/>
  <c r="BL43" i="5" s="1"/>
  <c r="BM43" i="5" s="1"/>
  <c r="BN43" i="5" s="1"/>
  <c r="BO43" i="5" s="1"/>
  <c r="BP43" i="5" s="1"/>
  <c r="BQ43" i="5" s="1"/>
  <c r="BR43" i="5" s="1"/>
  <c r="BS43" i="5" s="1"/>
  <c r="BT43" i="5" s="1"/>
  <c r="BU43" i="5" s="1"/>
  <c r="BV43" i="5" s="1"/>
  <c r="AQ41" i="5"/>
  <c r="AR41" i="5" s="1"/>
  <c r="AS41" i="5" s="1"/>
  <c r="AT41" i="5" s="1"/>
  <c r="AU41" i="5" s="1"/>
  <c r="AV41" i="5" s="1"/>
  <c r="AI40" i="5"/>
  <c r="Z31" i="5"/>
  <c r="AY44" i="5"/>
  <c r="AZ44" i="5" s="1"/>
  <c r="BA44" i="5" s="1"/>
  <c r="BB44" i="5" s="1"/>
  <c r="BC44" i="5" s="1"/>
  <c r="BD44" i="5" s="1"/>
  <c r="BE44" i="5" s="1"/>
  <c r="BF44" i="5" s="1"/>
  <c r="BG44" i="5" s="1"/>
  <c r="BH44" i="5" s="1"/>
  <c r="BI44" i="5" s="1"/>
  <c r="BJ44" i="5" s="1"/>
  <c r="BK44" i="5" s="1"/>
  <c r="BL44" i="5" s="1"/>
  <c r="BM44" i="5" s="1"/>
  <c r="BN44" i="5" s="1"/>
  <c r="BO44" i="5" s="1"/>
  <c r="BP44" i="5" s="1"/>
  <c r="BQ44" i="5" s="1"/>
  <c r="BR44" i="5" s="1"/>
  <c r="BS44" i="5" s="1"/>
  <c r="BT44" i="5" s="1"/>
  <c r="BU44" i="5" s="1"/>
  <c r="BV44" i="5" s="1"/>
  <c r="AW41" i="5"/>
  <c r="AX41" i="5"/>
  <c r="AY41" i="5" s="1"/>
  <c r="AZ41" i="5" s="1"/>
  <c r="BA41" i="5" s="1"/>
  <c r="BB41" i="5" s="1"/>
  <c r="AF28" i="5"/>
  <c r="AG28" i="5" s="1"/>
  <c r="AH28" i="5" s="1"/>
  <c r="AI28" i="5" s="1"/>
  <c r="AJ28" i="5" s="1"/>
  <c r="AD11" i="5"/>
  <c r="AE11" i="5" s="1"/>
  <c r="AF11" i="5" s="1"/>
  <c r="AG11" i="5" s="1"/>
  <c r="AH11" i="5" s="1"/>
  <c r="AI11" i="5" s="1"/>
  <c r="AJ11" i="5" s="1"/>
  <c r="AK11" i="5" s="1"/>
  <c r="AL11" i="5" s="1"/>
  <c r="AM11" i="5" s="1"/>
  <c r="AN11" i="5" s="1"/>
  <c r="AO11" i="5" s="1"/>
  <c r="AP11" i="5" s="1"/>
  <c r="AQ11" i="5" s="1"/>
  <c r="AR11" i="5" s="1"/>
  <c r="AS11" i="5" s="1"/>
  <c r="AT11" i="5" s="1"/>
  <c r="AU11" i="5" s="1"/>
  <c r="AV11" i="5" s="1"/>
  <c r="AW11" i="5" s="1"/>
  <c r="AX11" i="5" s="1"/>
  <c r="AY11" i="5" s="1"/>
  <c r="AZ11" i="5" s="1"/>
  <c r="BA11" i="5" s="1"/>
  <c r="BB11" i="5" s="1"/>
  <c r="BC11" i="5" s="1"/>
  <c r="BD11" i="5" s="1"/>
  <c r="BE11" i="5" s="1"/>
  <c r="BF11" i="5" s="1"/>
  <c r="BG11" i="5" s="1"/>
  <c r="BH11" i="5" s="1"/>
  <c r="BI11" i="5" s="1"/>
  <c r="BJ11" i="5" s="1"/>
  <c r="BK11" i="5" s="1"/>
  <c r="BL11" i="5" s="1"/>
  <c r="BM11" i="5" s="1"/>
  <c r="BN11" i="5" s="1"/>
  <c r="BO11" i="5" s="1"/>
  <c r="BP11" i="5" s="1"/>
  <c r="BQ11" i="5" s="1"/>
  <c r="BR11" i="5" s="1"/>
  <c r="BS11" i="5" s="1"/>
  <c r="BT11" i="5" s="1"/>
  <c r="BU11" i="5" s="1"/>
  <c r="BV11" i="5" s="1"/>
  <c r="AD15" i="5"/>
  <c r="AE15" i="5" s="1"/>
  <c r="AF15" i="5" s="1"/>
  <c r="AF8" i="7"/>
  <c r="Q42" i="7" l="1"/>
  <c r="J11" i="5"/>
  <c r="J15" i="7" s="1"/>
  <c r="R39" i="4"/>
  <c r="E40" i="4"/>
  <c r="AJ40" i="5"/>
  <c r="AA31" i="5"/>
  <c r="AB31" i="5" s="1"/>
  <c r="AC31" i="5" s="1"/>
  <c r="AD31" i="5" s="1"/>
  <c r="AE31" i="5" s="1"/>
  <c r="AF31" i="5" s="1"/>
  <c r="BC41" i="5"/>
  <c r="BD41" i="5" s="1"/>
  <c r="BE41" i="5" s="1"/>
  <c r="BF41" i="5" s="1"/>
  <c r="BG41" i="5" s="1"/>
  <c r="BH41" i="5" s="1"/>
  <c r="BI41" i="5" s="1"/>
  <c r="BJ41" i="5" s="1"/>
  <c r="BK41" i="5" s="1"/>
  <c r="BL41" i="5" s="1"/>
  <c r="BM41" i="5" s="1"/>
  <c r="BN41" i="5" s="1"/>
  <c r="BO41" i="5" s="1"/>
  <c r="BP41" i="5" s="1"/>
  <c r="BQ41" i="5" s="1"/>
  <c r="BR41" i="5" s="1"/>
  <c r="BS41" i="5" s="1"/>
  <c r="BT41" i="5" s="1"/>
  <c r="BU41" i="5" s="1"/>
  <c r="BV41" i="5" s="1"/>
  <c r="AK28" i="5"/>
  <c r="AL28" i="5" s="1"/>
  <c r="AM28" i="5" s="1"/>
  <c r="AN28" i="5" s="1"/>
  <c r="AO28" i="5" s="1"/>
  <c r="AP28" i="5" s="1"/>
  <c r="AQ28" i="5" s="1"/>
  <c r="AR28" i="5" s="1"/>
  <c r="AS28" i="5" s="1"/>
  <c r="AT28" i="5" s="1"/>
  <c r="AU28" i="5" s="1"/>
  <c r="AV28" i="5" s="1"/>
  <c r="AW28" i="5" s="1"/>
  <c r="AX28" i="5" s="1"/>
  <c r="AY28" i="5" s="1"/>
  <c r="AZ28" i="5" s="1"/>
  <c r="BA28" i="5" s="1"/>
  <c r="BB28" i="5" s="1"/>
  <c r="BC28" i="5" s="1"/>
  <c r="BD28" i="5" s="1"/>
  <c r="BE28" i="5" s="1"/>
  <c r="BF28" i="5" s="1"/>
  <c r="BG28" i="5" s="1"/>
  <c r="BH28" i="5" s="1"/>
  <c r="BI28" i="5" s="1"/>
  <c r="BJ28" i="5" s="1"/>
  <c r="BK28" i="5" s="1"/>
  <c r="BL28" i="5" s="1"/>
  <c r="BM28" i="5" s="1"/>
  <c r="BN28" i="5" s="1"/>
  <c r="BO28" i="5" s="1"/>
  <c r="BP28" i="5" s="1"/>
  <c r="BQ28" i="5" s="1"/>
  <c r="BR28" i="5" s="1"/>
  <c r="BS28" i="5" s="1"/>
  <c r="BT28" i="5" s="1"/>
  <c r="BU28" i="5" s="1"/>
  <c r="BV28" i="5" s="1"/>
  <c r="AG15" i="5"/>
  <c r="AH15" i="5" s="1"/>
  <c r="AI15" i="5" s="1"/>
  <c r="AG8" i="7"/>
  <c r="Q43" i="7" l="1"/>
  <c r="J28" i="5"/>
  <c r="J32" i="7" s="1"/>
  <c r="R40" i="4"/>
  <c r="E41" i="4"/>
  <c r="AK40" i="5"/>
  <c r="AG31" i="5"/>
  <c r="AH31" i="5" s="1"/>
  <c r="AI31" i="5" s="1"/>
  <c r="AJ31" i="5" s="1"/>
  <c r="AK31" i="5" s="1"/>
  <c r="AL31" i="5" s="1"/>
  <c r="AM31" i="5" s="1"/>
  <c r="AN31" i="5" s="1"/>
  <c r="AO31" i="5" s="1"/>
  <c r="AP31" i="5" s="1"/>
  <c r="AQ31" i="5" s="1"/>
  <c r="AR31" i="5" s="1"/>
  <c r="AS31" i="5" s="1"/>
  <c r="AT31" i="5" s="1"/>
  <c r="AU31" i="5" s="1"/>
  <c r="AV31" i="5" s="1"/>
  <c r="AW31" i="5" s="1"/>
  <c r="AX31" i="5" s="1"/>
  <c r="AY31" i="5" s="1"/>
  <c r="AZ31" i="5" s="1"/>
  <c r="BA31" i="5" s="1"/>
  <c r="BB31" i="5" s="1"/>
  <c r="BC31" i="5" s="1"/>
  <c r="BD31" i="5" s="1"/>
  <c r="BE31" i="5" s="1"/>
  <c r="BF31" i="5" s="1"/>
  <c r="BG31" i="5" s="1"/>
  <c r="BH31" i="5" s="1"/>
  <c r="BI31" i="5" s="1"/>
  <c r="BJ31" i="5" s="1"/>
  <c r="BK31" i="5" s="1"/>
  <c r="BL31" i="5" s="1"/>
  <c r="BM31" i="5" s="1"/>
  <c r="BN31" i="5" s="1"/>
  <c r="BO31" i="5" s="1"/>
  <c r="BP31" i="5" s="1"/>
  <c r="BQ31" i="5" s="1"/>
  <c r="BR31" i="5" s="1"/>
  <c r="BS31" i="5" s="1"/>
  <c r="BT31" i="5" s="1"/>
  <c r="BU31" i="5" s="1"/>
  <c r="BV31" i="5" s="1"/>
  <c r="AJ15" i="5"/>
  <c r="AK15" i="5" s="1"/>
  <c r="AH8" i="7"/>
  <c r="J31" i="5" l="1"/>
  <c r="J35" i="7" s="1"/>
  <c r="E42" i="4"/>
  <c r="R41" i="4"/>
  <c r="AL40" i="5"/>
  <c r="AL15" i="5"/>
  <c r="AM15" i="5" s="1"/>
  <c r="AN15" i="5" s="1"/>
  <c r="AO15" i="5" s="1"/>
  <c r="AP15" i="5" s="1"/>
  <c r="AQ15" i="5" s="1"/>
  <c r="AR15" i="5" s="1"/>
  <c r="AS15" i="5" s="1"/>
  <c r="AT15" i="5" s="1"/>
  <c r="AU15" i="5" s="1"/>
  <c r="AV15" i="5" s="1"/>
  <c r="AW15" i="5" s="1"/>
  <c r="AX15" i="5" s="1"/>
  <c r="AY15" i="5" s="1"/>
  <c r="AZ15" i="5" s="1"/>
  <c r="BA15" i="5" s="1"/>
  <c r="BB15" i="5" s="1"/>
  <c r="BC15" i="5" s="1"/>
  <c r="BD15" i="5" s="1"/>
  <c r="BE15" i="5" s="1"/>
  <c r="BF15" i="5" s="1"/>
  <c r="BG15" i="5" s="1"/>
  <c r="BH15" i="5" s="1"/>
  <c r="BI15" i="5" s="1"/>
  <c r="BJ15" i="5" s="1"/>
  <c r="BK15" i="5" s="1"/>
  <c r="BL15" i="5" s="1"/>
  <c r="BM15" i="5" s="1"/>
  <c r="BN15" i="5" s="1"/>
  <c r="BO15" i="5" s="1"/>
  <c r="BP15" i="5" s="1"/>
  <c r="BQ15" i="5" s="1"/>
  <c r="BR15" i="5" s="1"/>
  <c r="BS15" i="5" s="1"/>
  <c r="BT15" i="5" s="1"/>
  <c r="BU15" i="5" s="1"/>
  <c r="BV15" i="5" s="1"/>
  <c r="AI8" i="7"/>
  <c r="J15" i="5" l="1"/>
  <c r="J19" i="7" s="1"/>
  <c r="R42" i="4"/>
  <c r="E43" i="4"/>
  <c r="AM40" i="5"/>
  <c r="AN40" i="5" s="1"/>
  <c r="AO40" i="5" s="1"/>
  <c r="AP40" i="5" s="1"/>
  <c r="AQ40" i="5" s="1"/>
  <c r="AR40" i="5" s="1"/>
  <c r="AS40" i="5" s="1"/>
  <c r="AJ8" i="7"/>
  <c r="E44" i="4" l="1"/>
  <c r="R43" i="4"/>
  <c r="AT40" i="5"/>
  <c r="AU40" i="5" s="1"/>
  <c r="AV40" i="5" s="1"/>
  <c r="AW40" i="5" s="1"/>
  <c r="AX40" i="5" s="1"/>
  <c r="AY40" i="5" s="1"/>
  <c r="AZ40" i="5" s="1"/>
  <c r="BA40" i="5" s="1"/>
  <c r="BB40" i="5" s="1"/>
  <c r="BC40" i="5" s="1"/>
  <c r="BD40" i="5" s="1"/>
  <c r="BE40" i="5" s="1"/>
  <c r="BF40" i="5" s="1"/>
  <c r="BG40" i="5" s="1"/>
  <c r="BH40" i="5" s="1"/>
  <c r="BI40" i="5" s="1"/>
  <c r="BJ40" i="5" s="1"/>
  <c r="BK40" i="5" s="1"/>
  <c r="BL40" i="5" s="1"/>
  <c r="BM40" i="5" s="1"/>
  <c r="BN40" i="5" s="1"/>
  <c r="BO40" i="5" s="1"/>
  <c r="BP40" i="5" s="1"/>
  <c r="BQ40" i="5" s="1"/>
  <c r="BR40" i="5" s="1"/>
  <c r="BS40" i="5" s="1"/>
  <c r="BT40" i="5" s="1"/>
  <c r="BU40" i="5" s="1"/>
  <c r="BV40" i="5" s="1"/>
  <c r="AK8" i="7"/>
  <c r="J40" i="5" l="1"/>
  <c r="J44" i="7" s="1"/>
  <c r="E45" i="4"/>
  <c r="R45" i="4" s="1"/>
  <c r="R44" i="4"/>
  <c r="AL8" i="7"/>
  <c r="AM8" i="7" l="1"/>
  <c r="AN8" i="7" l="1"/>
  <c r="AO8" i="7" l="1"/>
  <c r="AP8" i="7" l="1"/>
  <c r="AQ8" i="7" l="1"/>
  <c r="AR8" i="7" l="1"/>
  <c r="AS8" i="7" l="1"/>
  <c r="AT8" i="7" l="1"/>
  <c r="AU8" i="7" l="1"/>
  <c r="AV8" i="7" l="1"/>
  <c r="AW8" i="7" l="1"/>
  <c r="AX8" i="7" l="1"/>
  <c r="AY8" i="7" l="1"/>
  <c r="AZ8" i="7" l="1"/>
  <c r="BA8" i="7" l="1"/>
  <c r="BB8" i="7" l="1"/>
  <c r="BC8" i="7" l="1"/>
  <c r="BD8" i="7" l="1"/>
  <c r="BE8" i="7" l="1"/>
  <c r="BF8" i="7" l="1"/>
  <c r="BG8" i="7" l="1"/>
  <c r="BH8" i="7" l="1"/>
  <c r="BI8" i="7" l="1"/>
  <c r="BJ8" i="7" l="1"/>
  <c r="BK8" i="7" l="1"/>
  <c r="BL8" i="7" l="1"/>
  <c r="BM8" i="7" l="1"/>
  <c r="BN8" i="7" l="1"/>
  <c r="BO8" i="7" l="1"/>
  <c r="BP8" i="7" l="1"/>
  <c r="BQ8" i="7" l="1"/>
  <c r="BR8" i="7" l="1"/>
  <c r="BS8" i="7" l="1"/>
  <c r="BT8" i="7" l="1"/>
  <c r="BU8" i="7" l="1"/>
  <c r="BV8" i="7" l="1"/>
  <c r="BW8" i="7" l="1"/>
  <c r="BX8" i="7" l="1"/>
  <c r="BY8" i="7" l="1"/>
  <c r="BZ8" i="7" l="1"/>
  <c r="CA8" i="7" l="1"/>
  <c r="CB8" i="7" l="1"/>
  <c r="CC8" i="7" l="1"/>
  <c r="CD8" i="7" l="1"/>
  <c r="CE8" i="7" l="1"/>
  <c r="CF8" i="7" l="1"/>
  <c r="CG8" i="7" l="1"/>
  <c r="CH8" i="7" l="1"/>
  <c r="CI8" i="7" l="1"/>
  <c r="CJ8" i="7" l="1"/>
  <c r="P9" i="7" l="1"/>
  <c r="Q9" i="7" l="1"/>
  <c r="R9" i="7" l="1"/>
  <c r="S9" i="7"/>
  <c r="T9" i="7"/>
  <c r="U9" i="7" s="1"/>
  <c r="V9" i="7" l="1"/>
  <c r="W9" i="7" l="1"/>
  <c r="X9" i="7" s="1"/>
  <c r="Y9" i="7" s="1"/>
  <c r="Z9" i="7" l="1"/>
  <c r="AA9" i="7" s="1"/>
  <c r="AB9" i="7" l="1"/>
  <c r="AC9" i="7" s="1"/>
  <c r="AD9" i="7" l="1"/>
  <c r="AE9" i="7" s="1"/>
  <c r="AF9" i="7" l="1"/>
  <c r="AG9" i="7" l="1"/>
  <c r="AH9" i="7" s="1"/>
  <c r="AI9" i="7" l="1"/>
  <c r="AJ9" i="7" s="1"/>
  <c r="AK9" i="7" l="1"/>
  <c r="AL9" i="7" s="1"/>
  <c r="AM9" i="7" l="1"/>
  <c r="AN9" i="7" s="1"/>
  <c r="AO9" i="7" s="1"/>
  <c r="AP9" i="7" l="1"/>
  <c r="AQ9" i="7" s="1"/>
  <c r="AR9" i="7" l="1"/>
  <c r="AS9" i="7" l="1"/>
  <c r="AT9" i="7" l="1"/>
  <c r="AU9" i="7" l="1"/>
  <c r="AV9" i="7" l="1"/>
  <c r="AW9" i="7" l="1"/>
  <c r="AX9" i="7" l="1"/>
  <c r="AY9" i="7" l="1"/>
  <c r="AZ9" i="7" l="1"/>
  <c r="BA9" i="7" l="1"/>
  <c r="BB9" i="7" l="1"/>
  <c r="BC9" i="7" l="1"/>
  <c r="BD9" i="7" l="1"/>
  <c r="BE9" i="7" l="1"/>
  <c r="BF9" i="7" l="1"/>
  <c r="BG9" i="7" l="1"/>
  <c r="BH9" i="7" l="1"/>
  <c r="BI9" i="7" l="1"/>
  <c r="BJ9" i="7" l="1"/>
  <c r="BK9" i="7" l="1"/>
  <c r="BL9" i="7" l="1"/>
  <c r="BM9" i="7" l="1"/>
  <c r="BN9" i="7" l="1"/>
  <c r="BO9" i="7" l="1"/>
  <c r="BP9" i="7" l="1"/>
  <c r="BQ9" i="7" l="1"/>
  <c r="BR9" i="7" l="1"/>
  <c r="BS9" i="7" l="1"/>
  <c r="BT9" i="7" l="1"/>
  <c r="BU9" i="7" l="1"/>
  <c r="BV9" i="7" l="1"/>
  <c r="BW9" i="7" l="1"/>
  <c r="BX9" i="7" l="1"/>
  <c r="BY9" i="7" l="1"/>
  <c r="BZ9" i="7" l="1"/>
  <c r="CA9" i="7" l="1"/>
  <c r="CB9" i="7" l="1"/>
  <c r="CC9" i="7" l="1"/>
  <c r="CD9" i="7" l="1"/>
  <c r="CE9" i="7" l="1"/>
  <c r="CF9" i="7" l="1"/>
  <c r="CG9" i="7" l="1"/>
  <c r="CH9" i="7" l="1"/>
  <c r="CI9" i="7" l="1"/>
  <c r="CJ9" i="7" l="1"/>
  <c r="CK9" i="7" l="1"/>
  <c r="CL9" i="7" s="1"/>
  <c r="CM9" i="7" s="1"/>
  <c r="CN9" i="7" s="1"/>
  <c r="CO9" i="7" s="1"/>
  <c r="CP9" i="7" s="1"/>
  <c r="CQ9" i="7" s="1"/>
  <c r="CR9" i="7" s="1"/>
  <c r="CS9" i="7" s="1"/>
  <c r="CT9" i="7" s="1"/>
  <c r="CU9" i="7" s="1"/>
  <c r="CV9" i="7" s="1"/>
  <c r="CW9" i="7" s="1"/>
  <c r="CX9" i="7" s="1"/>
  <c r="CY9" i="7" s="1"/>
  <c r="CZ9" i="7" s="1"/>
  <c r="DA9" i="7" s="1"/>
  <c r="DB9" i="7" s="1"/>
  <c r="DC9" i="7" s="1"/>
  <c r="DD9" i="7" s="1"/>
  <c r="DE9" i="7" s="1"/>
  <c r="DF9" i="7" s="1"/>
  <c r="DG9" i="7" s="1"/>
  <c r="DH9" i="7" s="1"/>
  <c r="DI9" i="7" s="1"/>
  <c r="DJ9" i="7" s="1"/>
  <c r="DK9" i="7" s="1"/>
  <c r="DL9" i="7" s="1"/>
  <c r="DM9" i="7" s="1"/>
  <c r="DN9" i="7" s="1"/>
  <c r="DO9" i="7" s="1"/>
  <c r="DP9" i="7" s="1"/>
  <c r="DQ9" i="7" s="1"/>
  <c r="DR9" i="7" s="1"/>
  <c r="DS9" i="7" s="1"/>
  <c r="DT9" i="7" s="1"/>
  <c r="DU9" i="7" s="1"/>
  <c r="DV9" i="7" s="1"/>
  <c r="DW9" i="7" s="1"/>
  <c r="DX9" i="7" s="1"/>
  <c r="DY9" i="7" s="1"/>
  <c r="DZ9" i="7" s="1"/>
  <c r="EA9" i="7" s="1"/>
  <c r="A3" i="5"/>
  <c r="A2" i="3"/>
  <c r="R30" i="4"/>
  <c r="P17" i="7"/>
  <c r="C62" i="3"/>
  <c r="P11" i="7" l="1"/>
  <c r="P18" i="7"/>
  <c r="P10" i="7"/>
  <c r="P22" i="7"/>
  <c r="P23" i="7"/>
  <c r="R31" i="4"/>
  <c r="J69" i="3"/>
  <c r="J93" i="3"/>
  <c r="J96" i="3"/>
  <c r="J19" i="3"/>
  <c r="J26" i="3"/>
  <c r="J20" i="3"/>
  <c r="J59" i="3"/>
  <c r="J30" i="3"/>
  <c r="J13" i="3"/>
  <c r="J44" i="3"/>
  <c r="J16" i="3"/>
  <c r="J102" i="3"/>
  <c r="J24" i="3"/>
  <c r="J33" i="3"/>
  <c r="J54" i="3"/>
  <c r="J12" i="3"/>
  <c r="J48" i="3"/>
  <c r="J90" i="3"/>
  <c r="J15" i="3"/>
  <c r="J65" i="3"/>
  <c r="J62" i="3"/>
  <c r="J63" i="3"/>
  <c r="J17" i="3"/>
  <c r="J77" i="3"/>
  <c r="J58" i="3"/>
  <c r="J89" i="3"/>
  <c r="J4" i="3"/>
  <c r="J92" i="3"/>
  <c r="J22" i="3"/>
  <c r="J83" i="3"/>
  <c r="J94" i="3"/>
  <c r="J75" i="3"/>
  <c r="J42" i="3"/>
  <c r="J72" i="3"/>
  <c r="J100" i="3"/>
  <c r="J46" i="3"/>
  <c r="J10" i="3"/>
  <c r="J43" i="3"/>
  <c r="J11" i="3"/>
  <c r="J37" i="3"/>
  <c r="J82" i="3"/>
  <c r="J87" i="3"/>
  <c r="J51" i="3"/>
  <c r="J5" i="3"/>
  <c r="J31" i="3"/>
  <c r="J56" i="3"/>
  <c r="J50" i="3"/>
  <c r="J25" i="3"/>
  <c r="J45" i="3"/>
  <c r="J70" i="3"/>
  <c r="J7" i="3"/>
  <c r="J88" i="3"/>
  <c r="J76" i="3"/>
  <c r="J97" i="3"/>
  <c r="J14" i="3"/>
  <c r="J73" i="3"/>
  <c r="C79" i="3"/>
  <c r="C33" i="3"/>
  <c r="C59" i="3"/>
  <c r="C32" i="3"/>
  <c r="C37" i="3"/>
  <c r="C61" i="3"/>
  <c r="C3" i="3"/>
  <c r="C42" i="3"/>
  <c r="C93" i="3"/>
  <c r="C35" i="3"/>
  <c r="C81" i="3"/>
  <c r="C51" i="3"/>
  <c r="C8" i="3"/>
  <c r="C84" i="3"/>
  <c r="C14" i="3"/>
  <c r="C65" i="3"/>
  <c r="C19" i="3"/>
  <c r="C77" i="3"/>
  <c r="C80" i="3"/>
  <c r="C10" i="3"/>
  <c r="C86" i="3"/>
  <c r="C31" i="3"/>
  <c r="C89" i="3"/>
  <c r="C30" i="3"/>
  <c r="J32" i="3"/>
  <c r="J61" i="3"/>
  <c r="J39" i="3"/>
  <c r="J34" i="3"/>
  <c r="J66" i="3"/>
  <c r="J9" i="3"/>
  <c r="J40" i="3"/>
  <c r="J98" i="3"/>
  <c r="J21" i="3"/>
  <c r="J68" i="3"/>
  <c r="J49" i="3"/>
  <c r="J36" i="3"/>
  <c r="J80" i="3"/>
  <c r="J29" i="3"/>
  <c r="J47" i="3"/>
  <c r="J53" i="3"/>
  <c r="J71" i="3"/>
  <c r="J41" i="3"/>
  <c r="J52" i="3"/>
  <c r="J60" i="3"/>
  <c r="J79" i="3"/>
  <c r="J81" i="3"/>
  <c r="J99" i="3"/>
  <c r="J3" i="3"/>
  <c r="J57" i="3"/>
  <c r="J85" i="3"/>
  <c r="J78" i="3"/>
  <c r="J28" i="3"/>
  <c r="J67" i="3"/>
  <c r="J27" i="3"/>
  <c r="J101" i="3"/>
  <c r="J74" i="3"/>
  <c r="J64" i="3"/>
  <c r="J91" i="3"/>
  <c r="J55" i="3"/>
  <c r="J38" i="3"/>
  <c r="J23" i="3"/>
  <c r="J18" i="3"/>
  <c r="J84" i="3"/>
  <c r="J6" i="3"/>
  <c r="K6" i="3" s="1"/>
  <c r="J35" i="3"/>
  <c r="J86" i="3"/>
  <c r="J95" i="3"/>
  <c r="C73" i="3"/>
  <c r="C15" i="3"/>
  <c r="C97" i="3"/>
  <c r="C70" i="3"/>
  <c r="C23" i="3"/>
  <c r="C26" i="3"/>
  <c r="C69" i="3"/>
  <c r="C96" i="3"/>
  <c r="C91" i="3"/>
  <c r="C101" i="3"/>
  <c r="C24" i="3"/>
  <c r="C98" i="3"/>
  <c r="C67" i="3"/>
  <c r="C48" i="3"/>
  <c r="C21" i="3"/>
  <c r="C75" i="3"/>
  <c r="C56" i="3"/>
  <c r="C29" i="3"/>
  <c r="C99" i="3"/>
  <c r="C71" i="3"/>
  <c r="C17" i="3"/>
  <c r="C44" i="3"/>
  <c r="C18" i="3"/>
  <c r="C45" i="3"/>
  <c r="C72" i="3"/>
  <c r="C64" i="3"/>
  <c r="C20" i="3"/>
  <c r="C78" i="3"/>
  <c r="C47" i="3"/>
  <c r="C28" i="3"/>
  <c r="C102" i="3"/>
  <c r="C55" i="3"/>
  <c r="C83" i="3"/>
  <c r="C13" i="3"/>
  <c r="C40" i="3"/>
  <c r="C4" i="3"/>
  <c r="C5" i="3"/>
  <c r="C16" i="3"/>
  <c r="C74" i="3"/>
  <c r="C43" i="3"/>
  <c r="C22" i="3"/>
  <c r="C49" i="3"/>
  <c r="C76" i="3"/>
  <c r="C95" i="3"/>
  <c r="C25" i="3"/>
  <c r="C68" i="3"/>
  <c r="C63" i="3"/>
  <c r="C94" i="3"/>
  <c r="C36" i="3"/>
  <c r="C52" i="3"/>
  <c r="J8" i="3"/>
  <c r="C39" i="3"/>
  <c r="C6" i="3"/>
  <c r="C38" i="3"/>
  <c r="C41" i="3"/>
  <c r="C82" i="3"/>
  <c r="C54" i="3"/>
  <c r="C11" i="3"/>
  <c r="C34" i="3"/>
  <c r="C27" i="3"/>
  <c r="C87" i="3"/>
  <c r="C46" i="3"/>
  <c r="C57" i="3"/>
  <c r="C100" i="3"/>
  <c r="C12" i="3"/>
  <c r="C53" i="3"/>
  <c r="C50" i="3"/>
  <c r="C92" i="3"/>
  <c r="C58" i="3"/>
  <c r="C7" i="3"/>
  <c r="C66" i="3"/>
  <c r="C85" i="3"/>
  <c r="C88" i="3"/>
  <c r="C90" i="3"/>
  <c r="C60" i="3"/>
  <c r="C9" i="3"/>
  <c r="P32" i="7"/>
  <c r="R3" i="4"/>
  <c r="R2" i="4"/>
  <c r="P15" i="7"/>
  <c r="P16" i="7"/>
  <c r="R7" i="4"/>
  <c r="R35" i="4"/>
  <c r="P26" i="7"/>
  <c r="K10" i="3" l="1"/>
  <c r="Q10" i="7"/>
  <c r="Q11" i="7" s="1"/>
  <c r="K4" i="3"/>
  <c r="K7" i="3"/>
  <c r="K9" i="3"/>
  <c r="K5" i="3"/>
  <c r="R32" i="4"/>
  <c r="K8" i="3"/>
  <c r="P36" i="7" s="1"/>
  <c r="R4" i="4"/>
  <c r="R5" i="4"/>
  <c r="R36" i="4"/>
  <c r="R8" i="4"/>
  <c r="K3" i="3"/>
  <c r="P31" i="7" l="1"/>
  <c r="R10" i="7"/>
  <c r="R11" i="7" s="1"/>
  <c r="P40" i="7"/>
  <c r="P24" i="7"/>
  <c r="P33" i="7"/>
  <c r="P35" i="7"/>
  <c r="P30" i="7"/>
  <c r="P25" i="7"/>
  <c r="P13" i="7"/>
  <c r="P27" i="7"/>
  <c r="P19" i="7"/>
  <c r="P12" i="7"/>
  <c r="P29" i="7"/>
  <c r="P14" i="7"/>
  <c r="P21" i="7"/>
  <c r="P20" i="7"/>
  <c r="P28" i="7"/>
  <c r="Q34" i="4"/>
  <c r="R34" i="4" s="1"/>
  <c r="L3" i="3"/>
  <c r="M3" i="3" s="1"/>
  <c r="R9" i="4"/>
  <c r="R38" i="4"/>
  <c r="R37" i="4"/>
  <c r="S10" i="7" l="1"/>
  <c r="S11" i="7" s="1"/>
  <c r="P4" i="7"/>
  <c r="P2" i="7"/>
  <c r="P3" i="7"/>
  <c r="R33" i="4"/>
  <c r="N3" i="3"/>
  <c r="L4" i="3"/>
  <c r="M4" i="3" s="1"/>
  <c r="R10" i="4"/>
  <c r="T10" i="7" l="1"/>
  <c r="U10" i="7" s="1"/>
  <c r="V10" i="7" s="1"/>
  <c r="N4" i="3"/>
  <c r="O3" i="3"/>
  <c r="P3" i="3" s="1"/>
  <c r="L5" i="3"/>
  <c r="M5" i="3" s="1"/>
  <c r="R11" i="4"/>
  <c r="R12" i="4"/>
  <c r="T11" i="7" l="1"/>
  <c r="U11" i="7" s="1"/>
  <c r="O4" i="3"/>
  <c r="P4" i="3" s="1"/>
  <c r="Q3" i="3"/>
  <c r="N5" i="3"/>
  <c r="L6" i="3"/>
  <c r="W10" i="7"/>
  <c r="O5" i="3" l="1"/>
  <c r="X10" i="7"/>
  <c r="Y10" i="7" s="1"/>
  <c r="Q4" i="3"/>
  <c r="Q5" i="3" s="1"/>
  <c r="R3" i="3"/>
  <c r="S3" i="3" s="1"/>
  <c r="P5" i="3"/>
  <c r="M6" i="3"/>
  <c r="N6" i="3" s="1"/>
  <c r="Q12" i="7"/>
  <c r="L7" i="3"/>
  <c r="L8" i="3" s="1"/>
  <c r="V11" i="7"/>
  <c r="O6" i="3" l="1"/>
  <c r="P6" i="3" s="1"/>
  <c r="Q6" i="3" s="1"/>
  <c r="R4" i="3"/>
  <c r="R5" i="3" s="1"/>
  <c r="T3" i="3"/>
  <c r="U3" i="3" s="1"/>
  <c r="V3" i="3" s="1"/>
  <c r="M7" i="3"/>
  <c r="N7" i="3" s="1"/>
  <c r="R12" i="7"/>
  <c r="L9" i="3"/>
  <c r="Z10" i="7"/>
  <c r="W11" i="7"/>
  <c r="O7" i="3" l="1"/>
  <c r="S12" i="7"/>
  <c r="T12" i="7" s="1"/>
  <c r="Q13" i="7"/>
  <c r="S4" i="3"/>
  <c r="T4" i="3" s="1"/>
  <c r="U4" i="3" s="1"/>
  <c r="V4" i="3" s="1"/>
  <c r="W3" i="3"/>
  <c r="X3" i="3" s="1"/>
  <c r="Y3" i="3" s="1"/>
  <c r="Q14" i="7"/>
  <c r="P7" i="3"/>
  <c r="Q7" i="3" s="1"/>
  <c r="M8" i="3"/>
  <c r="N8" i="3" s="1"/>
  <c r="R6" i="3"/>
  <c r="L10" i="3"/>
  <c r="AA10" i="7"/>
  <c r="X11" i="7"/>
  <c r="O8" i="3" l="1"/>
  <c r="U12" i="7"/>
  <c r="V12" i="7" s="1"/>
  <c r="R13" i="7"/>
  <c r="S5" i="3"/>
  <c r="S6" i="3" s="1"/>
  <c r="W4" i="3"/>
  <c r="X4" i="3" s="1"/>
  <c r="R14" i="7"/>
  <c r="Q15" i="7"/>
  <c r="Q16" i="7" s="1"/>
  <c r="M9" i="3"/>
  <c r="M10" i="3" s="1"/>
  <c r="R7" i="3"/>
  <c r="P8" i="3"/>
  <c r="Z3" i="3"/>
  <c r="AA3" i="3" s="1"/>
  <c r="L11" i="3"/>
  <c r="Y11" i="7"/>
  <c r="AB10" i="7"/>
  <c r="S13" i="7" l="1"/>
  <c r="T13" i="7" s="1"/>
  <c r="U13" i="7" s="1"/>
  <c r="W12" i="7"/>
  <c r="S14" i="7"/>
  <c r="T5" i="3"/>
  <c r="U5" i="3" s="1"/>
  <c r="S7" i="3"/>
  <c r="R15" i="7"/>
  <c r="R16" i="7" s="1"/>
  <c r="Q17" i="7"/>
  <c r="N9" i="3"/>
  <c r="O9" i="3" s="1"/>
  <c r="M11" i="3"/>
  <c r="Q8" i="3"/>
  <c r="Y4" i="3"/>
  <c r="AB3" i="3"/>
  <c r="AC3" i="3" s="1"/>
  <c r="L12" i="3"/>
  <c r="AC10" i="7"/>
  <c r="Z11" i="7"/>
  <c r="T14" i="7" l="1"/>
  <c r="AA11" i="7"/>
  <c r="AB11" i="7" s="1"/>
  <c r="X12" i="7"/>
  <c r="V13" i="7"/>
  <c r="U14" i="7"/>
  <c r="V5" i="3"/>
  <c r="W5" i="3" s="1"/>
  <c r="T6" i="3"/>
  <c r="U6" i="3" s="1"/>
  <c r="S15" i="7"/>
  <c r="T7" i="3"/>
  <c r="Q18" i="7"/>
  <c r="R17" i="7"/>
  <c r="M12" i="3"/>
  <c r="P9" i="3"/>
  <c r="Q9" i="3" s="1"/>
  <c r="N10" i="3"/>
  <c r="O10" i="3" s="1"/>
  <c r="R8" i="3"/>
  <c r="S8" i="3" s="1"/>
  <c r="Z4" i="3"/>
  <c r="AD3" i="3"/>
  <c r="L13" i="3"/>
  <c r="AD10" i="7"/>
  <c r="T15" i="7" l="1"/>
  <c r="U15" i="7" s="1"/>
  <c r="AC11" i="7"/>
  <c r="V14" i="7"/>
  <c r="Y12" i="7"/>
  <c r="V6" i="3"/>
  <c r="W6" i="3" s="1"/>
  <c r="W13" i="7"/>
  <c r="X5" i="3"/>
  <c r="Y5" i="3" s="1"/>
  <c r="S16" i="7"/>
  <c r="U7" i="3"/>
  <c r="Q19" i="7"/>
  <c r="R18" i="7"/>
  <c r="M13" i="3"/>
  <c r="P10" i="3"/>
  <c r="Q10" i="3" s="1"/>
  <c r="N11" i="3"/>
  <c r="T8" i="3"/>
  <c r="AA4" i="3"/>
  <c r="AB4" i="3" s="1"/>
  <c r="R9" i="3"/>
  <c r="AD11" i="7"/>
  <c r="L14" i="3"/>
  <c r="AE3" i="3"/>
  <c r="AE10" i="7"/>
  <c r="T16" i="7" l="1"/>
  <c r="U16" i="7" s="1"/>
  <c r="V15" i="7"/>
  <c r="Z12" i="7"/>
  <c r="Z5" i="3"/>
  <c r="AA5" i="3" s="1"/>
  <c r="W14" i="7"/>
  <c r="S17" i="7"/>
  <c r="V7" i="3"/>
  <c r="W7" i="3" s="1"/>
  <c r="X13" i="7"/>
  <c r="U8" i="3"/>
  <c r="Q20" i="7"/>
  <c r="R19" i="7"/>
  <c r="M14" i="3"/>
  <c r="R10" i="3"/>
  <c r="X6" i="3"/>
  <c r="N12" i="3"/>
  <c r="N13" i="3" s="1"/>
  <c r="O11" i="3"/>
  <c r="S9" i="3"/>
  <c r="AC4" i="3"/>
  <c r="L15" i="3"/>
  <c r="AF3" i="3"/>
  <c r="AG3" i="3" s="1"/>
  <c r="AF10" i="7"/>
  <c r="AE11" i="7"/>
  <c r="V16" i="7" l="1"/>
  <c r="T17" i="7"/>
  <c r="W15" i="7"/>
  <c r="W16" i="7" s="1"/>
  <c r="Y13" i="7"/>
  <c r="Z13" i="7" s="1"/>
  <c r="AA13" i="7" s="1"/>
  <c r="AA12" i="7"/>
  <c r="S18" i="7"/>
  <c r="T18" i="7" s="1"/>
  <c r="V8" i="3"/>
  <c r="W8" i="3" s="1"/>
  <c r="X14" i="7"/>
  <c r="Y14" i="7" s="1"/>
  <c r="X7" i="3"/>
  <c r="U17" i="7"/>
  <c r="Y6" i="3"/>
  <c r="N14" i="3"/>
  <c r="R20" i="7"/>
  <c r="Q21" i="7"/>
  <c r="O12" i="3"/>
  <c r="O13" i="3" s="1"/>
  <c r="S10" i="3"/>
  <c r="P11" i="3"/>
  <c r="P12" i="3" s="1"/>
  <c r="P13" i="3" s="1"/>
  <c r="T9" i="3"/>
  <c r="U9" i="3" s="1"/>
  <c r="M15" i="3"/>
  <c r="AB5" i="3"/>
  <c r="AD4" i="3"/>
  <c r="AH3" i="3"/>
  <c r="L16" i="3"/>
  <c r="AF11" i="7"/>
  <c r="AG10" i="7"/>
  <c r="V17" i="7" l="1"/>
  <c r="W17" i="7" s="1"/>
  <c r="X15" i="7"/>
  <c r="X16" i="7" s="1"/>
  <c r="AB12" i="7"/>
  <c r="AC12" i="7" s="1"/>
  <c r="U18" i="7"/>
  <c r="S19" i="7"/>
  <c r="S20" i="7" s="1"/>
  <c r="Z14" i="7"/>
  <c r="AA14" i="7" s="1"/>
  <c r="AB13" i="7"/>
  <c r="Y7" i="3"/>
  <c r="R21" i="7"/>
  <c r="N15" i="3"/>
  <c r="Z6" i="3"/>
  <c r="O14" i="3"/>
  <c r="P14" i="3" s="1"/>
  <c r="AA6" i="3"/>
  <c r="Q22" i="7"/>
  <c r="Q11" i="3"/>
  <c r="Q12" i="3" s="1"/>
  <c r="Q13" i="3" s="1"/>
  <c r="V9" i="3"/>
  <c r="W9" i="3" s="1"/>
  <c r="T10" i="3"/>
  <c r="M16" i="3"/>
  <c r="AC5" i="3"/>
  <c r="AE4" i="3"/>
  <c r="X8" i="3"/>
  <c r="AG11" i="7"/>
  <c r="AI3" i="3"/>
  <c r="L17" i="3"/>
  <c r="AH10" i="7"/>
  <c r="Z7" i="3" l="1"/>
  <c r="AA7" i="3" s="1"/>
  <c r="Y15" i="7"/>
  <c r="Z15" i="7" s="1"/>
  <c r="AA15" i="7" s="1"/>
  <c r="V18" i="7"/>
  <c r="W18" i="7" s="1"/>
  <c r="X17" i="7"/>
  <c r="AD12" i="7"/>
  <c r="T19" i="7"/>
  <c r="T20" i="7" s="1"/>
  <c r="S21" i="7"/>
  <c r="AB14" i="7"/>
  <c r="R22" i="7"/>
  <c r="S22" i="7" s="1"/>
  <c r="AC13" i="7"/>
  <c r="N16" i="3"/>
  <c r="AB6" i="3"/>
  <c r="O15" i="3"/>
  <c r="P15" i="3" s="1"/>
  <c r="Q23" i="7"/>
  <c r="Q14" i="3"/>
  <c r="R11" i="3"/>
  <c r="U10" i="3"/>
  <c r="V10" i="3" s="1"/>
  <c r="X9" i="3"/>
  <c r="AH11" i="7"/>
  <c r="AD5" i="3"/>
  <c r="M17" i="3"/>
  <c r="Y8" i="3"/>
  <c r="AF4" i="3"/>
  <c r="AG4" i="3" s="1"/>
  <c r="AJ3" i="3"/>
  <c r="AK3" i="3" s="1"/>
  <c r="L18" i="3"/>
  <c r="AI10" i="7"/>
  <c r="Y16" i="7" l="1"/>
  <c r="Y17" i="7" s="1"/>
  <c r="R23" i="7"/>
  <c r="U19" i="7"/>
  <c r="V19" i="7" s="1"/>
  <c r="X18" i="7"/>
  <c r="AB7" i="3"/>
  <c r="AC14" i="7"/>
  <c r="AE12" i="7"/>
  <c r="T21" i="7"/>
  <c r="T22" i="7" s="1"/>
  <c r="N17" i="3"/>
  <c r="U20" i="7"/>
  <c r="AD13" i="7"/>
  <c r="AB15" i="7"/>
  <c r="O16" i="3"/>
  <c r="P16" i="3" s="1"/>
  <c r="AC6" i="3"/>
  <c r="Q24" i="7"/>
  <c r="R24" i="7" s="1"/>
  <c r="S23" i="7"/>
  <c r="Q15" i="3"/>
  <c r="AI11" i="7"/>
  <c r="M18" i="3"/>
  <c r="AE5" i="3"/>
  <c r="R12" i="3"/>
  <c r="S11" i="3"/>
  <c r="T11" i="3" s="1"/>
  <c r="W10" i="3"/>
  <c r="X10" i="3" s="1"/>
  <c r="AF5" i="3"/>
  <c r="AH4" i="3"/>
  <c r="Y9" i="3"/>
  <c r="Z8" i="3"/>
  <c r="AL3" i="3"/>
  <c r="L19" i="3"/>
  <c r="AJ10" i="7"/>
  <c r="Z16" i="7" l="1"/>
  <c r="Z17" i="7" s="1"/>
  <c r="V20" i="7"/>
  <c r="Y18" i="7"/>
  <c r="AD14" i="7"/>
  <c r="W19" i="7"/>
  <c r="X19" i="7" s="1"/>
  <c r="Y19" i="7" s="1"/>
  <c r="T23" i="7"/>
  <c r="AC7" i="3"/>
  <c r="U21" i="7"/>
  <c r="V21" i="7" s="1"/>
  <c r="AF12" i="7"/>
  <c r="U22" i="7"/>
  <c r="N18" i="3"/>
  <c r="W20" i="7"/>
  <c r="AE13" i="7"/>
  <c r="AC15" i="7"/>
  <c r="O17" i="3"/>
  <c r="Q16" i="3"/>
  <c r="AD6" i="3"/>
  <c r="Q25" i="7"/>
  <c r="S24" i="7"/>
  <c r="AJ11" i="7"/>
  <c r="U11" i="3"/>
  <c r="V11" i="3" s="1"/>
  <c r="S12" i="3"/>
  <c r="T12" i="3" s="1"/>
  <c r="R13" i="3"/>
  <c r="Y10" i="3"/>
  <c r="AG5" i="3"/>
  <c r="AI4" i="3"/>
  <c r="M19" i="3"/>
  <c r="Z9" i="3"/>
  <c r="AA8" i="3"/>
  <c r="L20" i="3"/>
  <c r="AM3" i="3"/>
  <c r="AK10" i="7"/>
  <c r="Z18" i="7" l="1"/>
  <c r="AE14" i="7"/>
  <c r="AA16" i="7"/>
  <c r="AB16" i="7" s="1"/>
  <c r="X20" i="7"/>
  <c r="Y20" i="7" s="1"/>
  <c r="AA17" i="7"/>
  <c r="AA18" i="7" s="1"/>
  <c r="U23" i="7"/>
  <c r="AC16" i="7"/>
  <c r="AD7" i="3"/>
  <c r="R25" i="7"/>
  <c r="S25" i="7" s="1"/>
  <c r="W21" i="7"/>
  <c r="AG12" i="7"/>
  <c r="AH12" i="7" s="1"/>
  <c r="V22" i="7"/>
  <c r="V23" i="7" s="1"/>
  <c r="Z19" i="7"/>
  <c r="AA19" i="7" s="1"/>
  <c r="N19" i="3"/>
  <c r="O18" i="3"/>
  <c r="X21" i="7"/>
  <c r="AB17" i="7"/>
  <c r="AC17" i="7" s="1"/>
  <c r="AF13" i="7"/>
  <c r="AD15" i="7"/>
  <c r="P17" i="3"/>
  <c r="Q17" i="3" s="1"/>
  <c r="AE6" i="3"/>
  <c r="Q26" i="7"/>
  <c r="AH5" i="3"/>
  <c r="T24" i="7"/>
  <c r="U24" i="7" s="1"/>
  <c r="AK11" i="7"/>
  <c r="M20" i="3"/>
  <c r="U12" i="3"/>
  <c r="V12" i="3" s="1"/>
  <c r="S13" i="3"/>
  <c r="T13" i="3" s="1"/>
  <c r="R14" i="3"/>
  <c r="W11" i="3"/>
  <c r="X11" i="3" s="1"/>
  <c r="Z10" i="3"/>
  <c r="AJ4" i="3"/>
  <c r="AK4" i="3" s="1"/>
  <c r="AA9" i="3"/>
  <c r="AB8" i="3"/>
  <c r="AC8" i="3" s="1"/>
  <c r="AN3" i="3"/>
  <c r="L21" i="3"/>
  <c r="AL10" i="7"/>
  <c r="Q44" i="7"/>
  <c r="AE7" i="3" l="1"/>
  <c r="AB18" i="7"/>
  <c r="AC18" i="7" s="1"/>
  <c r="N20" i="3"/>
  <c r="W22" i="7"/>
  <c r="X22" i="7" s="1"/>
  <c r="R26" i="7"/>
  <c r="S26" i="7" s="1"/>
  <c r="AI12" i="7"/>
  <c r="AB19" i="7"/>
  <c r="O19" i="3"/>
  <c r="Y21" i="7"/>
  <c r="Z20" i="7"/>
  <c r="AA20" i="7" s="1"/>
  <c r="AF14" i="7"/>
  <c r="AD16" i="7"/>
  <c r="AE15" i="7"/>
  <c r="AG13" i="7"/>
  <c r="AH13" i="7" s="1"/>
  <c r="P18" i="3"/>
  <c r="Q18" i="3" s="1"/>
  <c r="AF6" i="3"/>
  <c r="AF7" i="3" s="1"/>
  <c r="AI5" i="3"/>
  <c r="AL11" i="7"/>
  <c r="Q27" i="7"/>
  <c r="Q28" i="7" s="1"/>
  <c r="Q29" i="7" s="1"/>
  <c r="Q30" i="7" s="1"/>
  <c r="Q31" i="7" s="1"/>
  <c r="Q32" i="7" s="1"/>
  <c r="Q33" i="7" s="1"/>
  <c r="Q34" i="7" s="1"/>
  <c r="Q35" i="7" s="1"/>
  <c r="T25" i="7"/>
  <c r="V24" i="7"/>
  <c r="W23" i="7"/>
  <c r="M21" i="3"/>
  <c r="AA10" i="3"/>
  <c r="R15" i="3"/>
  <c r="S14" i="3"/>
  <c r="U13" i="3"/>
  <c r="V13" i="3" s="1"/>
  <c r="W12" i="3"/>
  <c r="Y11" i="3"/>
  <c r="Z11" i="3" s="1"/>
  <c r="AB9" i="3"/>
  <c r="AD8" i="3"/>
  <c r="AL4" i="3"/>
  <c r="L22" i="3"/>
  <c r="AO3" i="3"/>
  <c r="Q45" i="7"/>
  <c r="AM10" i="7"/>
  <c r="O20" i="3" l="1"/>
  <c r="AE8" i="3"/>
  <c r="AF8" i="3" s="1"/>
  <c r="N21" i="3"/>
  <c r="Q36" i="7"/>
  <c r="Z21" i="7"/>
  <c r="AA21" i="7" s="1"/>
  <c r="AC19" i="7"/>
  <c r="AJ12" i="7"/>
  <c r="X23" i="7"/>
  <c r="Y22" i="7"/>
  <c r="Z22" i="7" s="1"/>
  <c r="P19" i="3"/>
  <c r="Q19" i="3" s="1"/>
  <c r="AB20" i="7"/>
  <c r="AG14" i="7"/>
  <c r="AI13" i="7"/>
  <c r="AH14" i="7"/>
  <c r="AE16" i="7"/>
  <c r="AF15" i="7"/>
  <c r="AD17" i="7"/>
  <c r="M22" i="3"/>
  <c r="AG6" i="3"/>
  <c r="AG7" i="3" s="1"/>
  <c r="AJ5" i="3"/>
  <c r="AK5" i="3" s="1"/>
  <c r="AB10" i="3"/>
  <c r="U25" i="7"/>
  <c r="V25" i="7" s="1"/>
  <c r="W24" i="7"/>
  <c r="R27" i="7"/>
  <c r="S27" i="7" s="1"/>
  <c r="T26" i="7"/>
  <c r="AA11" i="3"/>
  <c r="R16" i="3"/>
  <c r="T14" i="3"/>
  <c r="S15" i="3"/>
  <c r="W13" i="3"/>
  <c r="X12" i="3"/>
  <c r="AC9" i="3"/>
  <c r="O21" i="3"/>
  <c r="AM4" i="3"/>
  <c r="L23" i="3"/>
  <c r="AP3" i="3"/>
  <c r="AQ3" i="3" s="1"/>
  <c r="AN10" i="7"/>
  <c r="Q46" i="7"/>
  <c r="AM11" i="7"/>
  <c r="N22" i="3" l="1"/>
  <c r="O22" i="3" s="1"/>
  <c r="U26" i="7"/>
  <c r="V26" i="7" s="1"/>
  <c r="P20" i="3"/>
  <c r="Q20" i="3" s="1"/>
  <c r="AC20" i="7"/>
  <c r="Q37" i="7"/>
  <c r="AB21" i="7"/>
  <c r="AK12" i="7"/>
  <c r="X24" i="7"/>
  <c r="Y23" i="7"/>
  <c r="Z23" i="7" s="1"/>
  <c r="AC21" i="7"/>
  <c r="AD18" i="7"/>
  <c r="AI14" i="7"/>
  <c r="AA22" i="7"/>
  <c r="AJ13" i="7"/>
  <c r="AF16" i="7"/>
  <c r="AG15" i="7"/>
  <c r="AE17" i="7"/>
  <c r="AB11" i="3"/>
  <c r="R28" i="7"/>
  <c r="S28" i="7" s="1"/>
  <c r="M23" i="3"/>
  <c r="AC10" i="3"/>
  <c r="AG8" i="3"/>
  <c r="AH6" i="3"/>
  <c r="AH7" i="3" s="1"/>
  <c r="T27" i="7"/>
  <c r="U27" i="7" s="1"/>
  <c r="W25" i="7"/>
  <c r="AD9" i="3"/>
  <c r="AL5" i="3"/>
  <c r="S16" i="3"/>
  <c r="T15" i="3"/>
  <c r="U14" i="3"/>
  <c r="R17" i="3"/>
  <c r="X13" i="3"/>
  <c r="Y12" i="3"/>
  <c r="AN4" i="3"/>
  <c r="AR3" i="3"/>
  <c r="Q47" i="7"/>
  <c r="AO10" i="7"/>
  <c r="AN11" i="7"/>
  <c r="Q38" i="7" l="1"/>
  <c r="P21" i="3"/>
  <c r="Q21" i="3" s="1"/>
  <c r="N23" i="3"/>
  <c r="AJ14" i="7"/>
  <c r="AK13" i="7"/>
  <c r="AL12" i="7"/>
  <c r="AA23" i="7"/>
  <c r="X25" i="7"/>
  <c r="AB22" i="7"/>
  <c r="Y24" i="7"/>
  <c r="Z24" i="7" s="1"/>
  <c r="AC22" i="7"/>
  <c r="AE18" i="7"/>
  <c r="AD19" i="7"/>
  <c r="AG16" i="7"/>
  <c r="AF17" i="7"/>
  <c r="AH15" i="7"/>
  <c r="AI15" i="7" s="1"/>
  <c r="AJ15" i="7" s="1"/>
  <c r="AH8" i="3"/>
  <c r="AC11" i="3"/>
  <c r="R29" i="7"/>
  <c r="S29" i="7" s="1"/>
  <c r="AD10" i="3"/>
  <c r="AI6" i="3"/>
  <c r="AI7" i="3" s="1"/>
  <c r="W26" i="7"/>
  <c r="AJ6" i="3"/>
  <c r="AJ7" i="3" s="1"/>
  <c r="AM5" i="3"/>
  <c r="T28" i="7"/>
  <c r="AK14" i="7"/>
  <c r="AE9" i="3"/>
  <c r="S17" i="3"/>
  <c r="T16" i="3"/>
  <c r="R18" i="3"/>
  <c r="R19" i="3" s="1"/>
  <c r="V14" i="3"/>
  <c r="U15" i="3"/>
  <c r="Y13" i="3"/>
  <c r="Z12" i="3"/>
  <c r="O23" i="3"/>
  <c r="AO4" i="3"/>
  <c r="AS3" i="3"/>
  <c r="AP10" i="7"/>
  <c r="Q48" i="7"/>
  <c r="AO11" i="7"/>
  <c r="Q39" i="7" l="1"/>
  <c r="P22" i="3"/>
  <c r="Q22" i="3" s="1"/>
  <c r="AL13" i="7"/>
  <c r="AB23" i="7"/>
  <c r="AM12" i="7"/>
  <c r="AA24" i="7"/>
  <c r="AB24" i="7" s="1"/>
  <c r="X26" i="7"/>
  <c r="T29" i="7"/>
  <c r="R30" i="7"/>
  <c r="S30" i="7" s="1"/>
  <c r="AC23" i="7"/>
  <c r="Y25" i="7"/>
  <c r="Z25" i="7" s="1"/>
  <c r="AD20" i="7"/>
  <c r="AF18" i="7"/>
  <c r="AE19" i="7"/>
  <c r="AI8" i="3"/>
  <c r="AJ8" i="3" s="1"/>
  <c r="AD11" i="3"/>
  <c r="AG17" i="7"/>
  <c r="AH16" i="7"/>
  <c r="AI16" i="7" s="1"/>
  <c r="AK15" i="7"/>
  <c r="AE10" i="3"/>
  <c r="AK6" i="3"/>
  <c r="AK7" i="3" s="1"/>
  <c r="AC24" i="7"/>
  <c r="AN5" i="3"/>
  <c r="AO5" i="3" s="1"/>
  <c r="U28" i="7"/>
  <c r="U29" i="7" s="1"/>
  <c r="V27" i="7"/>
  <c r="AL14" i="7"/>
  <c r="AF9" i="3"/>
  <c r="AG9" i="3" s="1"/>
  <c r="S18" i="3"/>
  <c r="S19" i="3" s="1"/>
  <c r="T17" i="3"/>
  <c r="W14" i="3"/>
  <c r="X14" i="3" s="1"/>
  <c r="Y14" i="3" s="1"/>
  <c r="U16" i="3"/>
  <c r="U17" i="3" s="1"/>
  <c r="V15" i="3"/>
  <c r="R20" i="3"/>
  <c r="R21" i="3" s="1"/>
  <c r="Z13" i="3"/>
  <c r="AA12" i="3"/>
  <c r="AP4" i="3"/>
  <c r="AQ4" i="3" s="1"/>
  <c r="AT3" i="3"/>
  <c r="AP11" i="7"/>
  <c r="Q49" i="7"/>
  <c r="AQ10" i="7"/>
  <c r="Q40" i="7" l="1"/>
  <c r="R22" i="3"/>
  <c r="P23" i="3"/>
  <c r="Q23" i="3" s="1"/>
  <c r="T18" i="3"/>
  <c r="T19" i="3" s="1"/>
  <c r="W15" i="3"/>
  <c r="X15" i="3" s="1"/>
  <c r="Y15" i="3" s="1"/>
  <c r="AM13" i="7"/>
  <c r="AM14" i="7" s="1"/>
  <c r="AD21" i="7"/>
  <c r="R31" i="7"/>
  <c r="S31" i="7" s="1"/>
  <c r="AN12" i="7"/>
  <c r="AA25" i="7"/>
  <c r="AB25" i="7" s="1"/>
  <c r="T30" i="7"/>
  <c r="Y26" i="7"/>
  <c r="Z26" i="7" s="1"/>
  <c r="AE11" i="3"/>
  <c r="AG18" i="7"/>
  <c r="AH17" i="7"/>
  <c r="AF19" i="7"/>
  <c r="AG19" i="7" s="1"/>
  <c r="AE20" i="7"/>
  <c r="AF10" i="3"/>
  <c r="AG10" i="3" s="1"/>
  <c r="AI17" i="7"/>
  <c r="AJ16" i="7"/>
  <c r="AK16" i="7" s="1"/>
  <c r="V28" i="7"/>
  <c r="V29" i="7" s="1"/>
  <c r="AK8" i="3"/>
  <c r="U30" i="7"/>
  <c r="AL15" i="7"/>
  <c r="AM15" i="7" s="1"/>
  <c r="AL6" i="3"/>
  <c r="AH9" i="3"/>
  <c r="W27" i="7"/>
  <c r="Z14" i="3"/>
  <c r="S20" i="3"/>
  <c r="S21" i="3" s="1"/>
  <c r="V16" i="3"/>
  <c r="AB12" i="3"/>
  <c r="AA13" i="3"/>
  <c r="AR4" i="3"/>
  <c r="AS4" i="3" s="1"/>
  <c r="AP5" i="3"/>
  <c r="AQ11" i="7"/>
  <c r="AU3" i="3"/>
  <c r="AV3" i="3" s="1"/>
  <c r="AR10" i="7"/>
  <c r="Q50" i="7"/>
  <c r="R23" i="3" l="1"/>
  <c r="Q41" i="7"/>
  <c r="AC25" i="7"/>
  <c r="U18" i="3"/>
  <c r="S22" i="3"/>
  <c r="S23" i="3" s="1"/>
  <c r="R32" i="7"/>
  <c r="R33" i="7" s="1"/>
  <c r="R34" i="7" s="1"/>
  <c r="R35" i="7" s="1"/>
  <c r="R36" i="7" s="1"/>
  <c r="AN13" i="7"/>
  <c r="AN14" i="7" s="1"/>
  <c r="AN15" i="7" s="1"/>
  <c r="AE21" i="7"/>
  <c r="AD22" i="7"/>
  <c r="T31" i="7"/>
  <c r="AO12" i="7"/>
  <c r="AA26" i="7"/>
  <c r="AB26" i="7" s="1"/>
  <c r="AF11" i="3"/>
  <c r="AG11" i="3" s="1"/>
  <c r="AH18" i="7"/>
  <c r="AH19" i="7" s="1"/>
  <c r="AF20" i="7"/>
  <c r="AL16" i="7"/>
  <c r="AM16" i="7" s="1"/>
  <c r="AH10" i="3"/>
  <c r="AJ17" i="7"/>
  <c r="W28" i="7"/>
  <c r="W29" i="7" s="1"/>
  <c r="V30" i="7"/>
  <c r="AI9" i="3"/>
  <c r="S32" i="7"/>
  <c r="AL7" i="3"/>
  <c r="AL8" i="3" s="1"/>
  <c r="AM6" i="3"/>
  <c r="X27" i="7"/>
  <c r="U31" i="7"/>
  <c r="AQ5" i="3"/>
  <c r="T20" i="3"/>
  <c r="T21" i="3" s="1"/>
  <c r="Z15" i="3"/>
  <c r="W16" i="3"/>
  <c r="U19" i="3"/>
  <c r="V17" i="3"/>
  <c r="AB13" i="3"/>
  <c r="AA14" i="3"/>
  <c r="AC12" i="3"/>
  <c r="AT4" i="3"/>
  <c r="AU4" i="3" s="1"/>
  <c r="AV4" i="3" s="1"/>
  <c r="AR11" i="7"/>
  <c r="AW3" i="3"/>
  <c r="Q51" i="7"/>
  <c r="AS10" i="7"/>
  <c r="T22" i="3" l="1"/>
  <c r="T23" i="3" s="1"/>
  <c r="AO14" i="7"/>
  <c r="AO15" i="7" s="1"/>
  <c r="AO13" i="7"/>
  <c r="AD23" i="7"/>
  <c r="AE22" i="7"/>
  <c r="R37" i="7"/>
  <c r="R38" i="7" s="1"/>
  <c r="R39" i="7" s="1"/>
  <c r="R40" i="7" s="1"/>
  <c r="R41" i="7" s="1"/>
  <c r="R42" i="7" s="1"/>
  <c r="R43" i="7" s="1"/>
  <c r="AP12" i="7"/>
  <c r="Q2" i="7"/>
  <c r="Q3" i="7"/>
  <c r="Q4" i="7"/>
  <c r="AC26" i="7"/>
  <c r="AD26" i="7" s="1"/>
  <c r="AI18" i="7"/>
  <c r="AJ18" i="7" s="1"/>
  <c r="AF21" i="7"/>
  <c r="AG20" i="7"/>
  <c r="AH11" i="3"/>
  <c r="AN16" i="7"/>
  <c r="AI10" i="3"/>
  <c r="AI11" i="3" s="1"/>
  <c r="AK17" i="7"/>
  <c r="X28" i="7"/>
  <c r="X29" i="7" s="1"/>
  <c r="T32" i="7"/>
  <c r="AJ9" i="3"/>
  <c r="V31" i="7"/>
  <c r="Y27" i="7"/>
  <c r="Z27" i="7" s="1"/>
  <c r="S33" i="7"/>
  <c r="S34" i="7" s="1"/>
  <c r="AM7" i="3"/>
  <c r="AM8" i="3" s="1"/>
  <c r="AN6" i="3"/>
  <c r="AO6" i="3" s="1"/>
  <c r="AR5" i="3"/>
  <c r="W30" i="7"/>
  <c r="AA15" i="3"/>
  <c r="X16" i="3"/>
  <c r="Y16" i="3" s="1"/>
  <c r="Z16" i="3" s="1"/>
  <c r="W17" i="3"/>
  <c r="V18" i="3"/>
  <c r="U20" i="3"/>
  <c r="AB14" i="3"/>
  <c r="AC13" i="3"/>
  <c r="AD12" i="3"/>
  <c r="AS11" i="7"/>
  <c r="AW4" i="3"/>
  <c r="AX3" i="3"/>
  <c r="AT10" i="7"/>
  <c r="R44" i="7" l="1"/>
  <c r="R45" i="7" s="1"/>
  <c r="R46" i="7" s="1"/>
  <c r="R47" i="7" s="1"/>
  <c r="R48" i="7" s="1"/>
  <c r="R49" i="7" s="1"/>
  <c r="R50" i="7" s="1"/>
  <c r="AG21" i="7"/>
  <c r="AP13" i="7"/>
  <c r="AE23" i="7"/>
  <c r="AD24" i="7"/>
  <c r="AD25" i="7" s="1"/>
  <c r="AE26" i="7" s="1"/>
  <c r="AQ12" i="7"/>
  <c r="AI19" i="7"/>
  <c r="AJ19" i="7" s="1"/>
  <c r="AK18" i="7"/>
  <c r="AH20" i="7"/>
  <c r="AF22" i="7"/>
  <c r="AJ10" i="3"/>
  <c r="AJ11" i="3" s="1"/>
  <c r="AO16" i="7"/>
  <c r="AK9" i="3"/>
  <c r="U32" i="7"/>
  <c r="AL17" i="7"/>
  <c r="AM17" i="7" s="1"/>
  <c r="AN17" i="7" s="1"/>
  <c r="W31" i="7"/>
  <c r="Y28" i="7"/>
  <c r="Z28" i="7" s="1"/>
  <c r="AA27" i="7"/>
  <c r="AB27" i="7" s="1"/>
  <c r="T33" i="7"/>
  <c r="AN7" i="3"/>
  <c r="AP6" i="3"/>
  <c r="AQ6" i="3" s="1"/>
  <c r="AS5" i="3"/>
  <c r="AB15" i="3"/>
  <c r="S35" i="7"/>
  <c r="X30" i="7"/>
  <c r="W18" i="3"/>
  <c r="V19" i="3"/>
  <c r="V20" i="3" s="1"/>
  <c r="AC14" i="3"/>
  <c r="AA16" i="3"/>
  <c r="U21" i="3"/>
  <c r="U22" i="3" s="1"/>
  <c r="U23" i="3" s="1"/>
  <c r="AD13" i="3"/>
  <c r="X17" i="3"/>
  <c r="AE12" i="3"/>
  <c r="AT11" i="7"/>
  <c r="AX4" i="3"/>
  <c r="AY3" i="3"/>
  <c r="AU10" i="7"/>
  <c r="R4" i="7" l="1"/>
  <c r="R3" i="7"/>
  <c r="R2" i="7"/>
  <c r="AD14" i="3"/>
  <c r="AQ13" i="7"/>
  <c r="AP14" i="7"/>
  <c r="AP15" i="7" s="1"/>
  <c r="AF23" i="7"/>
  <c r="AE24" i="7"/>
  <c r="AE25" i="7" s="1"/>
  <c r="AF26" i="7" s="1"/>
  <c r="AR12" i="7"/>
  <c r="AI20" i="7"/>
  <c r="AJ20" i="7" s="1"/>
  <c r="AK19" i="7"/>
  <c r="AO17" i="7"/>
  <c r="AH21" i="7"/>
  <c r="AL18" i="7"/>
  <c r="AM18" i="7" s="1"/>
  <c r="AG22" i="7"/>
  <c r="AG23" i="7" s="1"/>
  <c r="U33" i="7"/>
  <c r="AK10" i="3"/>
  <c r="AK11" i="3" s="1"/>
  <c r="AP16" i="7"/>
  <c r="Y29" i="7"/>
  <c r="Z29" i="7" s="1"/>
  <c r="V32" i="7"/>
  <c r="AL9" i="3"/>
  <c r="AL10" i="3" s="1"/>
  <c r="T34" i="7"/>
  <c r="T35" i="7" s="1"/>
  <c r="AO7" i="3"/>
  <c r="AR6" i="3"/>
  <c r="AS6" i="3" s="1"/>
  <c r="AP7" i="3"/>
  <c r="AN8" i="3"/>
  <c r="AT5" i="3"/>
  <c r="AC15" i="3"/>
  <c r="AD15" i="3" s="1"/>
  <c r="AA28" i="7"/>
  <c r="AB28" i="7" s="1"/>
  <c r="S36" i="7"/>
  <c r="X31" i="7"/>
  <c r="AC27" i="7"/>
  <c r="W19" i="3"/>
  <c r="W20" i="3" s="1"/>
  <c r="Y17" i="3"/>
  <c r="V21" i="3"/>
  <c r="V22" i="3" s="1"/>
  <c r="V23" i="3" s="1"/>
  <c r="Z17" i="3"/>
  <c r="AB16" i="3"/>
  <c r="AA17" i="3"/>
  <c r="X18" i="3"/>
  <c r="AF12" i="3"/>
  <c r="AG12" i="3" s="1"/>
  <c r="AH12" i="3" s="1"/>
  <c r="AE13" i="3"/>
  <c r="AY4" i="3"/>
  <c r="AZ3" i="3"/>
  <c r="AV10" i="7"/>
  <c r="AU11" i="7"/>
  <c r="AQ14" i="7" l="1"/>
  <c r="AQ15" i="7" s="1"/>
  <c r="AR13" i="7"/>
  <c r="AF24" i="7"/>
  <c r="AF25" i="7" s="1"/>
  <c r="AS12" i="7"/>
  <c r="AQ16" i="7"/>
  <c r="AP17" i="7"/>
  <c r="W32" i="7"/>
  <c r="X32" i="7" s="1"/>
  <c r="AL19" i="7"/>
  <c r="AH22" i="7"/>
  <c r="AH23" i="7" s="1"/>
  <c r="AK20" i="7"/>
  <c r="AL20" i="7" s="1"/>
  <c r="AG24" i="7"/>
  <c r="AM19" i="7"/>
  <c r="AI21" i="7"/>
  <c r="AJ21" i="7" s="1"/>
  <c r="AL11" i="3"/>
  <c r="AM9" i="3"/>
  <c r="AM10" i="3" s="1"/>
  <c r="V33" i="7"/>
  <c r="Y30" i="7"/>
  <c r="Z30" i="7" s="1"/>
  <c r="AN18" i="7"/>
  <c r="AO18" i="7" s="1"/>
  <c r="AA29" i="7"/>
  <c r="AB29" i="7" s="1"/>
  <c r="U34" i="7"/>
  <c r="T36" i="7"/>
  <c r="U35" i="7"/>
  <c r="AC28" i="7"/>
  <c r="AQ7" i="3"/>
  <c r="AR7" i="3" s="1"/>
  <c r="AO8" i="3"/>
  <c r="AT6" i="3"/>
  <c r="AU5" i="3"/>
  <c r="AV5" i="3" s="1"/>
  <c r="AC16" i="3"/>
  <c r="AD16" i="3" s="1"/>
  <c r="AD27" i="7"/>
  <c r="S37" i="7"/>
  <c r="AB17" i="3"/>
  <c r="X19" i="3"/>
  <c r="Y18" i="3"/>
  <c r="Z18" i="3" s="1"/>
  <c r="AA18" i="3" s="1"/>
  <c r="W21" i="3"/>
  <c r="AI12" i="3"/>
  <c r="AJ12" i="3" s="1"/>
  <c r="AF13" i="3"/>
  <c r="AE14" i="3"/>
  <c r="AE15" i="3" s="1"/>
  <c r="AG13" i="3"/>
  <c r="AZ4" i="3"/>
  <c r="BA3" i="3"/>
  <c r="AW10" i="7"/>
  <c r="AV11" i="7"/>
  <c r="S38" i="7" l="1"/>
  <c r="AG25" i="7"/>
  <c r="AG26" i="7" s="1"/>
  <c r="AS13" i="7"/>
  <c r="AR14" i="7"/>
  <c r="T37" i="7"/>
  <c r="W33" i="7"/>
  <c r="X33" i="7" s="1"/>
  <c r="AT12" i="7"/>
  <c r="AT13" i="7" s="1"/>
  <c r="AQ17" i="7"/>
  <c r="AN9" i="3"/>
  <c r="AN10" i="3" s="1"/>
  <c r="AH24" i="7"/>
  <c r="AI22" i="7"/>
  <c r="AI23" i="7" s="1"/>
  <c r="AN19" i="7"/>
  <c r="AO19" i="7" s="1"/>
  <c r="AK21" i="7"/>
  <c r="AL21" i="7" s="1"/>
  <c r="AM20" i="7"/>
  <c r="AN20" i="7" s="1"/>
  <c r="AM11" i="3"/>
  <c r="V34" i="7"/>
  <c r="U36" i="7"/>
  <c r="Y31" i="7"/>
  <c r="Y32" i="7" s="1"/>
  <c r="AC29" i="7"/>
  <c r="AP18" i="7"/>
  <c r="AD28" i="7"/>
  <c r="AE27" i="7"/>
  <c r="AF27" i="7" s="1"/>
  <c r="AP8" i="3"/>
  <c r="AS7" i="3"/>
  <c r="AU6" i="3"/>
  <c r="AC17" i="3"/>
  <c r="AD17" i="3" s="1"/>
  <c r="AA30" i="7"/>
  <c r="X20" i="3"/>
  <c r="AB18" i="3"/>
  <c r="AF14" i="3"/>
  <c r="AF15" i="3" s="1"/>
  <c r="AH13" i="3"/>
  <c r="AI13" i="3" s="1"/>
  <c r="Y19" i="3"/>
  <c r="W22" i="3"/>
  <c r="AE16" i="3"/>
  <c r="AK12" i="3"/>
  <c r="AW5" i="3"/>
  <c r="BA4" i="3"/>
  <c r="BB3" i="3"/>
  <c r="AX10" i="7"/>
  <c r="AW11" i="7"/>
  <c r="S39" i="7" l="1"/>
  <c r="T38" i="7"/>
  <c r="T39" i="7" s="1"/>
  <c r="AJ22" i="7"/>
  <c r="AJ23" i="7" s="1"/>
  <c r="AS14" i="7"/>
  <c r="AR15" i="7"/>
  <c r="AR16" i="7" s="1"/>
  <c r="AR17" i="7" s="1"/>
  <c r="AT14" i="7"/>
  <c r="W34" i="7"/>
  <c r="X34" i="7" s="1"/>
  <c r="AH25" i="7"/>
  <c r="AH26" i="7" s="1"/>
  <c r="AQ18" i="7"/>
  <c r="U37" i="7"/>
  <c r="V35" i="7"/>
  <c r="V36" i="7" s="1"/>
  <c r="AN11" i="3"/>
  <c r="AU12" i="7"/>
  <c r="AU13" i="7" s="1"/>
  <c r="AO9" i="3"/>
  <c r="AO10" i="3" s="1"/>
  <c r="AO11" i="3" s="1"/>
  <c r="Z31" i="7"/>
  <c r="AA31" i="7" s="1"/>
  <c r="AE28" i="7"/>
  <c r="AF28" i="7" s="1"/>
  <c r="AK22" i="7"/>
  <c r="AL22" i="7" s="1"/>
  <c r="AI24" i="7"/>
  <c r="AI25" i="7" s="1"/>
  <c r="AI26" i="7" s="1"/>
  <c r="AO20" i="7"/>
  <c r="AM21" i="7"/>
  <c r="AN21" i="7" s="1"/>
  <c r="AP19" i="7"/>
  <c r="AD29" i="7"/>
  <c r="Y33" i="7"/>
  <c r="AQ8" i="3"/>
  <c r="AT7" i="3"/>
  <c r="AV6" i="3"/>
  <c r="AB30" i="7"/>
  <c r="AC30" i="7" s="1"/>
  <c r="AG27" i="7"/>
  <c r="AE17" i="3"/>
  <c r="AG14" i="3"/>
  <c r="AG15" i="3" s="1"/>
  <c r="X21" i="3"/>
  <c r="AC18" i="3"/>
  <c r="W23" i="3"/>
  <c r="Z19" i="3"/>
  <c r="Y20" i="3"/>
  <c r="AJ13" i="3"/>
  <c r="AK13" i="3" s="1"/>
  <c r="AL12" i="3"/>
  <c r="AF16" i="3"/>
  <c r="AX5" i="3"/>
  <c r="BB4" i="3"/>
  <c r="BC3" i="3"/>
  <c r="AY10" i="7"/>
  <c r="AX11" i="7"/>
  <c r="U38" i="7" l="1"/>
  <c r="S40" i="7"/>
  <c r="U39" i="7"/>
  <c r="AU14" i="7"/>
  <c r="AV14" i="7" s="1"/>
  <c r="Z32" i="7"/>
  <c r="AA32" i="7" s="1"/>
  <c r="AP20" i="7"/>
  <c r="W35" i="7"/>
  <c r="X35" i="7" s="1"/>
  <c r="AS15" i="7"/>
  <c r="AO21" i="7"/>
  <c r="AR18" i="7"/>
  <c r="AK23" i="7"/>
  <c r="AL23" i="7" s="1"/>
  <c r="AV12" i="7"/>
  <c r="AV13" i="7" s="1"/>
  <c r="Y34" i="7"/>
  <c r="AP9" i="3"/>
  <c r="AP10" i="3" s="1"/>
  <c r="AP11" i="3" s="1"/>
  <c r="V37" i="7"/>
  <c r="AE29" i="7"/>
  <c r="AF29" i="7" s="1"/>
  <c r="AQ19" i="7"/>
  <c r="AJ24" i="7"/>
  <c r="AJ25" i="7" s="1"/>
  <c r="AJ26" i="7" s="1"/>
  <c r="AM22" i="7"/>
  <c r="AN22" i="7" s="1"/>
  <c r="AG28" i="7"/>
  <c r="AR8" i="3"/>
  <c r="AU7" i="3"/>
  <c r="AW6" i="3"/>
  <c r="AX6" i="3" s="1"/>
  <c r="Z33" i="7"/>
  <c r="AH27" i="7"/>
  <c r="AB31" i="7"/>
  <c r="AC31" i="7" s="1"/>
  <c r="AD30" i="7"/>
  <c r="Z20" i="3"/>
  <c r="AH14" i="3"/>
  <c r="AA19" i="3"/>
  <c r="AA20" i="3" s="1"/>
  <c r="AD18" i="3"/>
  <c r="Y21" i="3"/>
  <c r="X22" i="3"/>
  <c r="AB19" i="3"/>
  <c r="AC19" i="3" s="1"/>
  <c r="AL13" i="3"/>
  <c r="AG16" i="3"/>
  <c r="AF17" i="3"/>
  <c r="AM12" i="3"/>
  <c r="AN12" i="3" s="1"/>
  <c r="AY5" i="3"/>
  <c r="BC4" i="3"/>
  <c r="BD3" i="3"/>
  <c r="AZ10" i="7"/>
  <c r="AY11" i="7"/>
  <c r="S41" i="7" l="1"/>
  <c r="V38" i="7"/>
  <c r="V39" i="7" s="1"/>
  <c r="T40" i="7"/>
  <c r="AQ20" i="7"/>
  <c r="AR20" i="7" s="1"/>
  <c r="W36" i="7"/>
  <c r="X36" i="7" s="1"/>
  <c r="AP21" i="7"/>
  <c r="AQ21" i="7" s="1"/>
  <c r="AT15" i="7"/>
  <c r="AU15" i="7" s="1"/>
  <c r="AS16" i="7"/>
  <c r="AR19" i="7"/>
  <c r="AS19" i="7" s="1"/>
  <c r="AM23" i="7"/>
  <c r="AN23" i="7" s="1"/>
  <c r="Z34" i="7"/>
  <c r="Y35" i="7"/>
  <c r="AW13" i="7"/>
  <c r="AW14" i="7" s="1"/>
  <c r="AW12" i="7"/>
  <c r="W37" i="7"/>
  <c r="AQ9" i="3"/>
  <c r="AQ10" i="3" s="1"/>
  <c r="AQ11" i="3" s="1"/>
  <c r="AH28" i="7"/>
  <c r="AO22" i="7"/>
  <c r="AK24" i="7"/>
  <c r="AL24" i="7" s="1"/>
  <c r="AM24" i="7" s="1"/>
  <c r="AG29" i="7"/>
  <c r="AB32" i="7"/>
  <c r="AV7" i="3"/>
  <c r="AS8" i="3"/>
  <c r="AI27" i="7"/>
  <c r="AD31" i="7"/>
  <c r="AA33" i="7"/>
  <c r="AE30" i="7"/>
  <c r="AH15" i="3"/>
  <c r="AH16" i="3" s="1"/>
  <c r="AI14" i="3"/>
  <c r="AD19" i="3"/>
  <c r="Z21" i="3"/>
  <c r="AA21" i="3" s="1"/>
  <c r="Y22" i="3"/>
  <c r="X23" i="3"/>
  <c r="AE18" i="3"/>
  <c r="AE19" i="3" s="1"/>
  <c r="AB20" i="3"/>
  <c r="AG17" i="3"/>
  <c r="AM13" i="3"/>
  <c r="AO12" i="3"/>
  <c r="AY6" i="3"/>
  <c r="AZ5" i="3"/>
  <c r="BD4" i="3"/>
  <c r="BE3" i="3"/>
  <c r="AZ11" i="7"/>
  <c r="BA10" i="7"/>
  <c r="U40" i="7" l="1"/>
  <c r="T41" i="7"/>
  <c r="S42" i="7"/>
  <c r="T42" i="7"/>
  <c r="U42" i="7" s="1"/>
  <c r="V40" i="7"/>
  <c r="U41" i="7"/>
  <c r="W38" i="7"/>
  <c r="W39" i="7" s="1"/>
  <c r="AH17" i="3"/>
  <c r="AP22" i="7"/>
  <c r="AQ22" i="7" s="1"/>
  <c r="AR21" i="7"/>
  <c r="AO23" i="7"/>
  <c r="AP23" i="7" s="1"/>
  <c r="AV15" i="7"/>
  <c r="AW15" i="7" s="1"/>
  <c r="Z35" i="7"/>
  <c r="AT16" i="7"/>
  <c r="AS17" i="7"/>
  <c r="X37" i="7"/>
  <c r="AH29" i="7"/>
  <c r="AK25" i="7"/>
  <c r="Y36" i="7"/>
  <c r="Z36" i="7" s="1"/>
  <c r="AX12" i="7"/>
  <c r="AX13" i="7" s="1"/>
  <c r="AI28" i="7"/>
  <c r="AR9" i="3"/>
  <c r="AR10" i="3" s="1"/>
  <c r="AR11" i="3" s="1"/>
  <c r="AS20" i="7"/>
  <c r="AS21" i="7" s="1"/>
  <c r="AN24" i="7"/>
  <c r="AO24" i="7" s="1"/>
  <c r="AK26" i="7"/>
  <c r="AL25" i="7"/>
  <c r="AM25" i="7" s="1"/>
  <c r="AN25" i="7" s="1"/>
  <c r="AB33" i="7"/>
  <c r="AC32" i="7"/>
  <c r="AT8" i="3"/>
  <c r="AU8" i="3" s="1"/>
  <c r="AW7" i="3"/>
  <c r="AX7" i="3" s="1"/>
  <c r="AA34" i="7"/>
  <c r="AJ27" i="7"/>
  <c r="Y37" i="7"/>
  <c r="AF30" i="7"/>
  <c r="AJ14" i="3"/>
  <c r="AK14" i="3" s="1"/>
  <c r="AI15" i="3"/>
  <c r="Y23" i="3"/>
  <c r="AC20" i="3"/>
  <c r="AB21" i="3"/>
  <c r="Z22" i="3"/>
  <c r="AA22" i="3" s="1"/>
  <c r="AF18" i="3"/>
  <c r="AG18" i="3" s="1"/>
  <c r="AH18" i="3" s="1"/>
  <c r="AN13" i="3"/>
  <c r="AP12" i="3"/>
  <c r="AZ6" i="3"/>
  <c r="BA5" i="3"/>
  <c r="AX14" i="7"/>
  <c r="AX15" i="7" s="1"/>
  <c r="BE4" i="3"/>
  <c r="BF3" i="3"/>
  <c r="BB10" i="7"/>
  <c r="BA11" i="7"/>
  <c r="V42" i="7" l="1"/>
  <c r="W40" i="7"/>
  <c r="S43" i="7"/>
  <c r="T43" i="7" s="1"/>
  <c r="X38" i="7"/>
  <c r="X39" i="7" s="1"/>
  <c r="V41" i="7"/>
  <c r="W42" i="7"/>
  <c r="AR22" i="7"/>
  <c r="AS22" i="7" s="1"/>
  <c r="AU16" i="7"/>
  <c r="AV16" i="7" s="1"/>
  <c r="AW16" i="7" s="1"/>
  <c r="AS18" i="7"/>
  <c r="AT19" i="7" s="1"/>
  <c r="AT17" i="7"/>
  <c r="AJ28" i="7"/>
  <c r="AI29" i="7"/>
  <c r="AB34" i="7"/>
  <c r="AY12" i="7"/>
  <c r="AT20" i="7"/>
  <c r="AS9" i="3"/>
  <c r="AS10" i="3" s="1"/>
  <c r="AS11" i="3" s="1"/>
  <c r="AQ23" i="7"/>
  <c r="AR23" i="7" s="1"/>
  <c r="AP24" i="7"/>
  <c r="AO25" i="7"/>
  <c r="AL26" i="7"/>
  <c r="AM26" i="7" s="1"/>
  <c r="AN26" i="7" s="1"/>
  <c r="AC33" i="7"/>
  <c r="AD32" i="7"/>
  <c r="AV8" i="3"/>
  <c r="AW8" i="3" s="1"/>
  <c r="AX8" i="3" s="1"/>
  <c r="AT21" i="7"/>
  <c r="AY7" i="3"/>
  <c r="AA35" i="7"/>
  <c r="AA36" i="7" s="1"/>
  <c r="AG30" i="7"/>
  <c r="AF31" i="7"/>
  <c r="Z37" i="7"/>
  <c r="AK27" i="7"/>
  <c r="Z23" i="3"/>
  <c r="AA23" i="3" s="1"/>
  <c r="AF19" i="3"/>
  <c r="AG19" i="3" s="1"/>
  <c r="AL14" i="3"/>
  <c r="AM14" i="3" s="1"/>
  <c r="AC21" i="3"/>
  <c r="AJ15" i="3"/>
  <c r="AK15" i="3" s="1"/>
  <c r="AI16" i="3"/>
  <c r="AO13" i="3"/>
  <c r="AB22" i="3"/>
  <c r="AD20" i="3"/>
  <c r="AE20" i="3" s="1"/>
  <c r="AQ12" i="3"/>
  <c r="AR12" i="3" s="1"/>
  <c r="BA6" i="3"/>
  <c r="BB5" i="3"/>
  <c r="BF4" i="3"/>
  <c r="BG3" i="3"/>
  <c r="BH3" i="3" s="1"/>
  <c r="BC10" i="7"/>
  <c r="BB11" i="7"/>
  <c r="X40" i="7" l="1"/>
  <c r="Y38" i="7"/>
  <c r="Z38" i="7" s="1"/>
  <c r="U43" i="7"/>
  <c r="W41" i="7"/>
  <c r="AK28" i="7"/>
  <c r="AT9" i="3"/>
  <c r="AT10" i="3" s="1"/>
  <c r="AX16" i="7"/>
  <c r="AT18" i="7"/>
  <c r="AU19" i="7" s="1"/>
  <c r="AJ29" i="7"/>
  <c r="AK29" i="7" s="1"/>
  <c r="AU17" i="7"/>
  <c r="AY13" i="7"/>
  <c r="AC34" i="7"/>
  <c r="AZ12" i="7"/>
  <c r="AT11" i="3"/>
  <c r="AP25" i="7"/>
  <c r="AO26" i="7"/>
  <c r="AQ24" i="7"/>
  <c r="AR24" i="7" s="1"/>
  <c r="AD33" i="7"/>
  <c r="AE32" i="7"/>
  <c r="AS23" i="7"/>
  <c r="AT22" i="7"/>
  <c r="AU9" i="3"/>
  <c r="AU10" i="3" s="1"/>
  <c r="AY8" i="3"/>
  <c r="AZ7" i="3"/>
  <c r="BA7" i="3" s="1"/>
  <c r="AB35" i="7"/>
  <c r="AB36" i="7" s="1"/>
  <c r="AL27" i="7"/>
  <c r="AD34" i="7"/>
  <c r="S44" i="7"/>
  <c r="AA37" i="7"/>
  <c r="AH30" i="7"/>
  <c r="AG31" i="7"/>
  <c r="AB23" i="3"/>
  <c r="AN14" i="3"/>
  <c r="AO14" i="3" s="1"/>
  <c r="AL15" i="3"/>
  <c r="AM15" i="3" s="1"/>
  <c r="AP13" i="3"/>
  <c r="AQ13" i="3" s="1"/>
  <c r="AR13" i="3" s="1"/>
  <c r="AJ16" i="3"/>
  <c r="AI17" i="3"/>
  <c r="AI18" i="3" s="1"/>
  <c r="AK16" i="3"/>
  <c r="AF20" i="3"/>
  <c r="AG20" i="3" s="1"/>
  <c r="AD21" i="3"/>
  <c r="AC22" i="3"/>
  <c r="AH19" i="3"/>
  <c r="AS12" i="3"/>
  <c r="BB6" i="3"/>
  <c r="BC5" i="3"/>
  <c r="BD5" i="3" s="1"/>
  <c r="AU20" i="7"/>
  <c r="AU21" i="7" s="1"/>
  <c r="BG4" i="3"/>
  <c r="BH4" i="3" s="1"/>
  <c r="BI3" i="3"/>
  <c r="BC11" i="7"/>
  <c r="BD10" i="7"/>
  <c r="V43" i="7" l="1"/>
  <c r="W43" i="7"/>
  <c r="X41" i="7"/>
  <c r="Y39" i="7"/>
  <c r="Z39" i="7" s="1"/>
  <c r="AL28" i="7"/>
  <c r="AA38" i="7"/>
  <c r="X42" i="7"/>
  <c r="AU11" i="3"/>
  <c r="AV17" i="7"/>
  <c r="AU18" i="7"/>
  <c r="AV19" i="7" s="1"/>
  <c r="AQ25" i="7"/>
  <c r="AR25" i="7" s="1"/>
  <c r="AZ13" i="7"/>
  <c r="AY14" i="7"/>
  <c r="AY15" i="7" s="1"/>
  <c r="AY16" i="7" s="1"/>
  <c r="AE33" i="7"/>
  <c r="AE34" i="7" s="1"/>
  <c r="BA12" i="7"/>
  <c r="AP26" i="7"/>
  <c r="AQ26" i="7" s="1"/>
  <c r="AL29" i="7"/>
  <c r="AS24" i="7"/>
  <c r="AF32" i="7"/>
  <c r="AU22" i="7"/>
  <c r="AM27" i="7"/>
  <c r="AM28" i="7" s="1"/>
  <c r="AM29" i="7" s="1"/>
  <c r="AT23" i="7"/>
  <c r="AU23" i="7" s="1"/>
  <c r="AC35" i="7"/>
  <c r="AD35" i="7" s="1"/>
  <c r="T44" i="7"/>
  <c r="AV9" i="3"/>
  <c r="AV10" i="3" s="1"/>
  <c r="AV11" i="3" s="1"/>
  <c r="BB7" i="3"/>
  <c r="AZ8" i="3"/>
  <c r="BA8" i="3" s="1"/>
  <c r="AH31" i="7"/>
  <c r="AB37" i="7"/>
  <c r="AI30" i="7"/>
  <c r="S45" i="7"/>
  <c r="AG32" i="7"/>
  <c r="AC23" i="3"/>
  <c r="AI19" i="3"/>
  <c r="AP14" i="3"/>
  <c r="AQ14" i="3" s="1"/>
  <c r="AR14" i="3" s="1"/>
  <c r="AJ17" i="3"/>
  <c r="AK17" i="3" s="1"/>
  <c r="AN15" i="3"/>
  <c r="AL16" i="3"/>
  <c r="AM16" i="3" s="1"/>
  <c r="AD22" i="3"/>
  <c r="AE21" i="3"/>
  <c r="AS13" i="3"/>
  <c r="AT12" i="3"/>
  <c r="AH20" i="3"/>
  <c r="BC6" i="3"/>
  <c r="BE5" i="3"/>
  <c r="AV20" i="7"/>
  <c r="AV21" i="7" s="1"/>
  <c r="BI4" i="3"/>
  <c r="BJ3" i="3"/>
  <c r="BE10" i="7"/>
  <c r="BD11" i="7"/>
  <c r="AB38" i="7" l="1"/>
  <c r="AA39" i="7"/>
  <c r="AB39" i="7" s="1"/>
  <c r="Y42" i="7"/>
  <c r="Y40" i="7"/>
  <c r="Y41" i="7" s="1"/>
  <c r="Z42" i="7" s="1"/>
  <c r="X43" i="7"/>
  <c r="Y43" i="7" s="1"/>
  <c r="Z43" i="7" s="1"/>
  <c r="BA13" i="7"/>
  <c r="N57" i="7"/>
  <c r="AW17" i="7"/>
  <c r="AV18" i="7"/>
  <c r="AW19" i="7" s="1"/>
  <c r="AZ14" i="7"/>
  <c r="BA14" i="7" s="1"/>
  <c r="AN27" i="7"/>
  <c r="AO27" i="7" s="1"/>
  <c r="AC36" i="7"/>
  <c r="AD36" i="7" s="1"/>
  <c r="T45" i="7"/>
  <c r="BB12" i="7"/>
  <c r="AS25" i="7"/>
  <c r="AT24" i="7"/>
  <c r="AU24" i="7" s="1"/>
  <c r="AF33" i="7"/>
  <c r="AG33" i="7" s="1"/>
  <c r="BC7" i="3"/>
  <c r="U44" i="7"/>
  <c r="AI31" i="7"/>
  <c r="AW9" i="3"/>
  <c r="BB8" i="3"/>
  <c r="BC8" i="3" s="1"/>
  <c r="AI20" i="3"/>
  <c r="AJ18" i="3"/>
  <c r="AJ19" i="3" s="1"/>
  <c r="AP27" i="7"/>
  <c r="AQ27" i="7" s="1"/>
  <c r="AE35" i="7"/>
  <c r="S46" i="7"/>
  <c r="AC37" i="7"/>
  <c r="AJ30" i="7"/>
  <c r="AH32" i="7"/>
  <c r="AN28" i="7"/>
  <c r="AN29" i="7" s="1"/>
  <c r="AT13" i="3"/>
  <c r="AS14" i="3"/>
  <c r="AN16" i="3"/>
  <c r="AU12" i="3"/>
  <c r="AL17" i="3"/>
  <c r="AM17" i="3" s="1"/>
  <c r="AO15" i="3"/>
  <c r="AP15" i="3" s="1"/>
  <c r="AD23" i="3"/>
  <c r="AF21" i="3"/>
  <c r="AE22" i="3"/>
  <c r="AE23" i="3" s="1"/>
  <c r="BD6" i="3"/>
  <c r="AR26" i="7"/>
  <c r="BF5" i="3"/>
  <c r="AW20" i="7"/>
  <c r="AW21" i="7" s="1"/>
  <c r="AV22" i="7"/>
  <c r="BJ4" i="3"/>
  <c r="BK3" i="3"/>
  <c r="BE11" i="7"/>
  <c r="BF10" i="7"/>
  <c r="Z40" i="7" l="1"/>
  <c r="Z41" i="7" s="1"/>
  <c r="BB13" i="7"/>
  <c r="AW18" i="7"/>
  <c r="AX19" i="7" s="1"/>
  <c r="AX17" i="7"/>
  <c r="AY17" i="7" s="1"/>
  <c r="AZ15" i="7"/>
  <c r="AZ16" i="7" s="1"/>
  <c r="BB14" i="7"/>
  <c r="U45" i="7"/>
  <c r="AF34" i="7"/>
  <c r="AF35" i="7" s="1"/>
  <c r="BC12" i="7"/>
  <c r="AS26" i="7"/>
  <c r="AT25" i="7"/>
  <c r="AU25" i="7" s="1"/>
  <c r="V44" i="7"/>
  <c r="AJ31" i="7"/>
  <c r="AI32" i="7"/>
  <c r="BD7" i="3"/>
  <c r="BD8" i="3" s="1"/>
  <c r="AX9" i="3"/>
  <c r="AW10" i="3"/>
  <c r="AW11" i="3" s="1"/>
  <c r="AK18" i="3"/>
  <c r="AL18" i="3" s="1"/>
  <c r="AJ20" i="3"/>
  <c r="AE36" i="7"/>
  <c r="AO28" i="7"/>
  <c r="AP28" i="7" s="1"/>
  <c r="AK30" i="7"/>
  <c r="AL30" i="7" s="1"/>
  <c r="S47" i="7"/>
  <c r="AD37" i="7"/>
  <c r="AC38" i="7"/>
  <c r="AU13" i="3"/>
  <c r="AT14" i="3"/>
  <c r="AH33" i="7"/>
  <c r="T46" i="7"/>
  <c r="AV12" i="3"/>
  <c r="AN17" i="3"/>
  <c r="AQ15" i="3"/>
  <c r="AR15" i="3" s="1"/>
  <c r="AS15" i="3" s="1"/>
  <c r="AO16" i="3"/>
  <c r="AG21" i="3"/>
  <c r="AF22" i="3"/>
  <c r="AF23" i="3" s="1"/>
  <c r="BE6" i="3"/>
  <c r="BG5" i="3"/>
  <c r="BH5" i="3" s="1"/>
  <c r="BI5" i="3" s="1"/>
  <c r="AR27" i="7"/>
  <c r="AW22" i="7"/>
  <c r="AV23" i="7"/>
  <c r="AX20" i="7"/>
  <c r="BC14" i="7"/>
  <c r="BK4" i="3"/>
  <c r="BL3" i="3"/>
  <c r="BF11" i="7"/>
  <c r="BG10" i="7"/>
  <c r="AA42" i="7" l="1"/>
  <c r="AA40" i="7"/>
  <c r="BC13" i="7"/>
  <c r="BD14" i="7" s="1"/>
  <c r="AZ17" i="7"/>
  <c r="AX18" i="7"/>
  <c r="AY19" i="7" s="1"/>
  <c r="BA15" i="7"/>
  <c r="BA16" i="7" s="1"/>
  <c r="AG34" i="7"/>
  <c r="AH34" i="7" s="1"/>
  <c r="V45" i="7"/>
  <c r="BD12" i="7"/>
  <c r="BD13" i="7" s="1"/>
  <c r="W44" i="7"/>
  <c r="AT26" i="7"/>
  <c r="AU26" i="7" s="1"/>
  <c r="AJ32" i="7"/>
  <c r="BE7" i="3"/>
  <c r="AO29" i="7"/>
  <c r="AP29" i="7" s="1"/>
  <c r="AY9" i="3"/>
  <c r="AX10" i="3"/>
  <c r="AX11" i="3" s="1"/>
  <c r="AM18" i="3"/>
  <c r="AN18" i="3" s="1"/>
  <c r="AK19" i="3"/>
  <c r="AL19" i="3" s="1"/>
  <c r="BE8" i="3"/>
  <c r="AK31" i="7"/>
  <c r="AL31" i="7" s="1"/>
  <c r="T47" i="7"/>
  <c r="AU14" i="3"/>
  <c r="AF36" i="7"/>
  <c r="AV13" i="3"/>
  <c r="AC39" i="7"/>
  <c r="AQ28" i="7"/>
  <c r="AR28" i="7" s="1"/>
  <c r="AT15" i="3"/>
  <c r="AD38" i="7"/>
  <c r="AG35" i="7"/>
  <c r="AW12" i="3"/>
  <c r="AM30" i="7"/>
  <c r="S48" i="7"/>
  <c r="AE37" i="7"/>
  <c r="U46" i="7"/>
  <c r="AI33" i="7"/>
  <c r="AX21" i="7"/>
  <c r="AO17" i="3"/>
  <c r="AP16" i="3"/>
  <c r="AH21" i="3"/>
  <c r="AI21" i="3" s="1"/>
  <c r="AG22" i="3"/>
  <c r="AG23" i="3" s="1"/>
  <c r="BF6" i="3"/>
  <c r="AS27" i="7"/>
  <c r="BJ5" i="3"/>
  <c r="AV24" i="7"/>
  <c r="AV25" i="7" s="1"/>
  <c r="AY20" i="7"/>
  <c r="AW23" i="7"/>
  <c r="BG11" i="7"/>
  <c r="BL4" i="3"/>
  <c r="BM3" i="3"/>
  <c r="BH10" i="7"/>
  <c r="AB40" i="7" l="1"/>
  <c r="AC40" i="7" s="1"/>
  <c r="AA43" i="7"/>
  <c r="AA41" i="7"/>
  <c r="AB42" i="7" s="1"/>
  <c r="AB43" i="7" s="1"/>
  <c r="BA17" i="7"/>
  <c r="BB15" i="7"/>
  <c r="BB16" i="7" s="1"/>
  <c r="AY18" i="7"/>
  <c r="AZ18" i="7" s="1"/>
  <c r="W45" i="7"/>
  <c r="X44" i="7"/>
  <c r="BE12" i="7"/>
  <c r="BE13" i="7" s="1"/>
  <c r="AV26" i="7"/>
  <c r="BF7" i="3"/>
  <c r="AK20" i="3"/>
  <c r="AL20" i="3" s="1"/>
  <c r="AK32" i="7"/>
  <c r="AS28" i="7"/>
  <c r="AY10" i="3"/>
  <c r="AY11" i="3" s="1"/>
  <c r="AZ9" i="3"/>
  <c r="AD39" i="7"/>
  <c r="AU15" i="3"/>
  <c r="AM19" i="3"/>
  <c r="AN19" i="3" s="1"/>
  <c r="AE38" i="7"/>
  <c r="U47" i="7"/>
  <c r="BF8" i="3"/>
  <c r="AM31" i="7"/>
  <c r="AY21" i="7"/>
  <c r="AV14" i="3"/>
  <c r="AW13" i="3"/>
  <c r="AP17" i="3"/>
  <c r="AI34" i="7"/>
  <c r="AX12" i="3"/>
  <c r="AF37" i="7"/>
  <c r="AH35" i="7"/>
  <c r="V46" i="7"/>
  <c r="T48" i="7"/>
  <c r="S49" i="7"/>
  <c r="AN30" i="7"/>
  <c r="AO30" i="7" s="1"/>
  <c r="AG36" i="7"/>
  <c r="AJ33" i="7"/>
  <c r="AQ29" i="7"/>
  <c r="AX22" i="7"/>
  <c r="AT27" i="7"/>
  <c r="AO18" i="3"/>
  <c r="AH22" i="3"/>
  <c r="AH23" i="3" s="1"/>
  <c r="AQ16" i="3"/>
  <c r="AJ21" i="3"/>
  <c r="BG6" i="3"/>
  <c r="BK5" i="3"/>
  <c r="BL5" i="3" s="1"/>
  <c r="AW24" i="7"/>
  <c r="AW25" i="7" s="1"/>
  <c r="AW26" i="7" s="1"/>
  <c r="BE14" i="7"/>
  <c r="BH11" i="7"/>
  <c r="BM4" i="3"/>
  <c r="BN3" i="3"/>
  <c r="BO3" i="3" s="1"/>
  <c r="BI10" i="7"/>
  <c r="AD40" i="7" l="1"/>
  <c r="AB41" i="7"/>
  <c r="AC41" i="7" s="1"/>
  <c r="W46" i="7"/>
  <c r="X45" i="7"/>
  <c r="BC15" i="7"/>
  <c r="BC16" i="7" s="1"/>
  <c r="BB17" i="7"/>
  <c r="BA18" i="7"/>
  <c r="AZ19" i="7"/>
  <c r="BD15" i="7"/>
  <c r="BD16" i="7" s="1"/>
  <c r="BG7" i="3"/>
  <c r="BG8" i="3" s="1"/>
  <c r="Y44" i="7"/>
  <c r="BF12" i="7"/>
  <c r="BF13" i="7" s="1"/>
  <c r="BF14" i="7" s="1"/>
  <c r="AL32" i="7"/>
  <c r="AM32" i="7" s="1"/>
  <c r="AT28" i="7"/>
  <c r="AV15" i="3"/>
  <c r="BA9" i="3"/>
  <c r="AZ10" i="3"/>
  <c r="AZ11" i="3" s="1"/>
  <c r="AM20" i="3"/>
  <c r="AN20" i="3" s="1"/>
  <c r="AY22" i="7"/>
  <c r="AE39" i="7"/>
  <c r="AF38" i="7"/>
  <c r="AQ17" i="3"/>
  <c r="U48" i="7"/>
  <c r="AX13" i="3"/>
  <c r="AN31" i="7"/>
  <c r="AO31" i="7" s="1"/>
  <c r="AW14" i="3"/>
  <c r="AJ34" i="7"/>
  <c r="AX23" i="7"/>
  <c r="AO19" i="3"/>
  <c r="AC42" i="7"/>
  <c r="V47" i="7"/>
  <c r="AP18" i="3"/>
  <c r="AD41" i="7"/>
  <c r="AY12" i="3"/>
  <c r="AP30" i="7"/>
  <c r="AQ30" i="7" s="1"/>
  <c r="T49" i="7"/>
  <c r="S50" i="7"/>
  <c r="AH36" i="7"/>
  <c r="AI35" i="7"/>
  <c r="AR29" i="7"/>
  <c r="AG37" i="7"/>
  <c r="AK33" i="7"/>
  <c r="AU27" i="7"/>
  <c r="AR16" i="3"/>
  <c r="AI22" i="3"/>
  <c r="AI23" i="3" s="1"/>
  <c r="AK21" i="3"/>
  <c r="AL21" i="3" s="1"/>
  <c r="BH6" i="3"/>
  <c r="BM5" i="3"/>
  <c r="BP3" i="3"/>
  <c r="BN4" i="3"/>
  <c r="BJ10" i="7"/>
  <c r="BI11" i="7"/>
  <c r="AE40" i="7" l="1"/>
  <c r="BE15" i="7"/>
  <c r="BF15" i="7" s="1"/>
  <c r="X46" i="7"/>
  <c r="BH7" i="3"/>
  <c r="BH8" i="3" s="1"/>
  <c r="AU28" i="7"/>
  <c r="AK34" i="7"/>
  <c r="Y45" i="7"/>
  <c r="BC17" i="7"/>
  <c r="BD17" i="7" s="1"/>
  <c r="BB18" i="7"/>
  <c r="BA19" i="7"/>
  <c r="BB19" i="7" s="1"/>
  <c r="AZ20" i="7"/>
  <c r="BG12" i="7"/>
  <c r="BG13" i="7" s="1"/>
  <c r="BG14" i="7" s="1"/>
  <c r="AF39" i="7"/>
  <c r="AF40" i="7" s="1"/>
  <c r="Z44" i="7"/>
  <c r="AN32" i="7"/>
  <c r="AO32" i="7" s="1"/>
  <c r="BI6" i="3"/>
  <c r="AM21" i="3"/>
  <c r="AN21" i="3" s="1"/>
  <c r="AY13" i="3"/>
  <c r="AY23" i="7"/>
  <c r="AH37" i="7"/>
  <c r="BA10" i="3"/>
  <c r="BA11" i="3" s="1"/>
  <c r="BB9" i="3"/>
  <c r="AO20" i="3"/>
  <c r="V48" i="7"/>
  <c r="AX14" i="3"/>
  <c r="AR17" i="3"/>
  <c r="AQ18" i="3"/>
  <c r="AW15" i="3"/>
  <c r="AX24" i="7"/>
  <c r="AX25" i="7" s="1"/>
  <c r="AX26" i="7" s="1"/>
  <c r="AD42" i="7"/>
  <c r="AP19" i="3"/>
  <c r="AJ35" i="7"/>
  <c r="AK35" i="7" s="1"/>
  <c r="AE41" i="7"/>
  <c r="W47" i="7"/>
  <c r="AJ22" i="3"/>
  <c r="AJ23" i="3" s="1"/>
  <c r="AZ12" i="3"/>
  <c r="AS29" i="7"/>
  <c r="AT29" i="7" s="1"/>
  <c r="AP31" i="7"/>
  <c r="U49" i="7"/>
  <c r="AL33" i="7"/>
  <c r="AL34" i="7" s="1"/>
  <c r="AG38" i="7"/>
  <c r="T50" i="7"/>
  <c r="S51" i="7"/>
  <c r="AR30" i="7"/>
  <c r="AI36" i="7"/>
  <c r="AC43" i="7"/>
  <c r="AV27" i="7"/>
  <c r="AV28" i="7" s="1"/>
  <c r="AS16" i="3"/>
  <c r="BN5" i="3"/>
  <c r="BO4" i="3"/>
  <c r="BQ3" i="3"/>
  <c r="BK10" i="7"/>
  <c r="BJ11" i="7"/>
  <c r="BE16" i="7" l="1"/>
  <c r="BF16" i="7" s="1"/>
  <c r="X47" i="7"/>
  <c r="Y46" i="7"/>
  <c r="BI7" i="3"/>
  <c r="Z45" i="7"/>
  <c r="BC18" i="7"/>
  <c r="BD18" i="7" s="1"/>
  <c r="AZ13" i="3"/>
  <c r="BA20" i="7"/>
  <c r="BB20" i="7" s="1"/>
  <c r="AZ21" i="7"/>
  <c r="BI8" i="3"/>
  <c r="S4" i="7"/>
  <c r="S2" i="7"/>
  <c r="S3" i="7"/>
  <c r="BH12" i="7"/>
  <c r="BH13" i="7" s="1"/>
  <c r="AF41" i="7"/>
  <c r="BJ6" i="3"/>
  <c r="BK6" i="3" s="1"/>
  <c r="BL6" i="3" s="1"/>
  <c r="AY14" i="3"/>
  <c r="AZ14" i="3" s="1"/>
  <c r="AA44" i="7"/>
  <c r="AB44" i="7" s="1"/>
  <c r="Z46" i="7"/>
  <c r="AO21" i="3"/>
  <c r="V49" i="7"/>
  <c r="AP32" i="7"/>
  <c r="BC9" i="3"/>
  <c r="BB10" i="3"/>
  <c r="BB11" i="3" s="1"/>
  <c r="BD9" i="3"/>
  <c r="AR18" i="3"/>
  <c r="AL35" i="7"/>
  <c r="AQ19" i="3"/>
  <c r="AX15" i="3"/>
  <c r="AK22" i="3"/>
  <c r="AL22" i="3" s="1"/>
  <c r="AM22" i="3" s="1"/>
  <c r="AJ36" i="7"/>
  <c r="AK36" i="7" s="1"/>
  <c r="AY24" i="7"/>
  <c r="AP20" i="3"/>
  <c r="W48" i="7"/>
  <c r="X48" i="7" s="1"/>
  <c r="AE42" i="7"/>
  <c r="BO5" i="3"/>
  <c r="T51" i="7"/>
  <c r="BA12" i="3"/>
  <c r="BA13" i="3" s="1"/>
  <c r="AG39" i="7"/>
  <c r="U50" i="7"/>
  <c r="AQ31" i="7"/>
  <c r="AR31" i="7" s="1"/>
  <c r="AI37" i="7"/>
  <c r="AH38" i="7"/>
  <c r="AS30" i="7"/>
  <c r="AD43" i="7"/>
  <c r="AU29" i="7"/>
  <c r="AM33" i="7"/>
  <c r="AW27" i="7"/>
  <c r="AX27" i="7" s="1"/>
  <c r="AS17" i="3"/>
  <c r="AT16" i="3"/>
  <c r="BP4" i="3"/>
  <c r="BH14" i="7"/>
  <c r="BC19" i="7"/>
  <c r="BG15" i="7"/>
  <c r="BH15" i="7" s="1"/>
  <c r="BE17" i="7"/>
  <c r="BR3" i="3"/>
  <c r="BK11" i="7"/>
  <c r="BL10" i="7"/>
  <c r="Y47" i="7" l="1"/>
  <c r="Y48" i="7" s="1"/>
  <c r="BC20" i="7"/>
  <c r="AZ22" i="7"/>
  <c r="BA21" i="7"/>
  <c r="BB21" i="7" s="1"/>
  <c r="T3" i="7"/>
  <c r="T4" i="7"/>
  <c r="T2" i="7"/>
  <c r="BI12" i="7"/>
  <c r="BI13" i="7" s="1"/>
  <c r="BJ7" i="3"/>
  <c r="BJ8" i="3" s="1"/>
  <c r="AA45" i="7"/>
  <c r="AA46" i="7" s="1"/>
  <c r="AF42" i="7"/>
  <c r="AP21" i="3"/>
  <c r="AY15" i="3"/>
  <c r="AZ15" i="3" s="1"/>
  <c r="BE9" i="3"/>
  <c r="BF9" i="3" s="1"/>
  <c r="BG9" i="3" s="1"/>
  <c r="AS18" i="3"/>
  <c r="BA14" i="3"/>
  <c r="AW28" i="7"/>
  <c r="AX28" i="7" s="1"/>
  <c r="V50" i="7"/>
  <c r="AY25" i="7"/>
  <c r="AR19" i="3"/>
  <c r="AS19" i="3" s="1"/>
  <c r="AN22" i="3"/>
  <c r="AO22" i="3" s="1"/>
  <c r="AQ32" i="7"/>
  <c r="AR32" i="7" s="1"/>
  <c r="BC10" i="3"/>
  <c r="AQ20" i="3"/>
  <c r="W49" i="7"/>
  <c r="AS31" i="7"/>
  <c r="AK23" i="3"/>
  <c r="AL23" i="3" s="1"/>
  <c r="BP5" i="3"/>
  <c r="BB12" i="3"/>
  <c r="BB13" i="3" s="1"/>
  <c r="AJ37" i="7"/>
  <c r="AK37" i="7" s="1"/>
  <c r="AC44" i="7"/>
  <c r="U51" i="7"/>
  <c r="AT30" i="7"/>
  <c r="AL36" i="7"/>
  <c r="AN33" i="7"/>
  <c r="AV29" i="7"/>
  <c r="AH39" i="7"/>
  <c r="AG40" i="7"/>
  <c r="AG41" i="7" s="1"/>
  <c r="AM34" i="7"/>
  <c r="AI38" i="7"/>
  <c r="AE43" i="7"/>
  <c r="AY26" i="7"/>
  <c r="AY27" i="7" s="1"/>
  <c r="AT17" i="3"/>
  <c r="AU16" i="3"/>
  <c r="BQ4" i="3"/>
  <c r="BR4" i="3" s="1"/>
  <c r="BM6" i="3"/>
  <c r="BN6" i="3" s="1"/>
  <c r="BG16" i="7"/>
  <c r="BH16" i="7" s="1"/>
  <c r="BF17" i="7"/>
  <c r="BE18" i="7"/>
  <c r="BD19" i="7"/>
  <c r="BD20" i="7" s="1"/>
  <c r="BI14" i="7"/>
  <c r="BL11" i="7"/>
  <c r="BS3" i="3"/>
  <c r="BM10" i="7"/>
  <c r="Z47" i="7" l="1"/>
  <c r="Z48" i="7" s="1"/>
  <c r="BC21" i="7"/>
  <c r="BA15" i="3"/>
  <c r="AQ21" i="3"/>
  <c r="BA22" i="7"/>
  <c r="BB22" i="7" s="1"/>
  <c r="AZ23" i="7"/>
  <c r="AZ24" i="7" s="1"/>
  <c r="AZ25" i="7" s="1"/>
  <c r="AZ26" i="7" s="1"/>
  <c r="AZ27" i="7" s="1"/>
  <c r="BC22" i="7"/>
  <c r="BK7" i="3"/>
  <c r="BK8" i="3" s="1"/>
  <c r="AG42" i="7"/>
  <c r="AB45" i="7"/>
  <c r="AB46" i="7" s="1"/>
  <c r="AR20" i="3"/>
  <c r="BJ12" i="7"/>
  <c r="BJ13" i="7" s="1"/>
  <c r="U2" i="7"/>
  <c r="U4" i="7"/>
  <c r="U3" i="7"/>
  <c r="AW29" i="7"/>
  <c r="AX29" i="7" s="1"/>
  <c r="BB14" i="3"/>
  <c r="BB15" i="3" s="1"/>
  <c r="AT18" i="3"/>
  <c r="AT19" i="3" s="1"/>
  <c r="V51" i="7"/>
  <c r="AY28" i="7"/>
  <c r="AS32" i="7"/>
  <c r="W50" i="7"/>
  <c r="BD21" i="7"/>
  <c r="X49" i="7"/>
  <c r="Y49" i="7" s="1"/>
  <c r="AP22" i="3"/>
  <c r="BH9" i="3"/>
  <c r="BI9" i="3" s="1"/>
  <c r="BD10" i="3"/>
  <c r="BC11" i="3"/>
  <c r="BC12" i="3" s="1"/>
  <c r="BC13" i="3" s="1"/>
  <c r="AM23" i="3"/>
  <c r="AN23" i="3" s="1"/>
  <c r="AO23" i="3" s="1"/>
  <c r="AT31" i="7"/>
  <c r="BQ5" i="3"/>
  <c r="BR5" i="3" s="1"/>
  <c r="AI39" i="7"/>
  <c r="AL37" i="7"/>
  <c r="AM35" i="7"/>
  <c r="AM36" i="7" s="1"/>
  <c r="AD44" i="7"/>
  <c r="AE44" i="7" s="1"/>
  <c r="AH40" i="7"/>
  <c r="AJ38" i="7"/>
  <c r="AK38" i="7" s="1"/>
  <c r="AN34" i="7"/>
  <c r="AF43" i="7"/>
  <c r="AU30" i="7"/>
  <c r="AO33" i="7"/>
  <c r="AU17" i="3"/>
  <c r="AV16" i="3"/>
  <c r="AS20" i="3"/>
  <c r="BO6" i="3"/>
  <c r="BP6" i="3" s="1"/>
  <c r="BE19" i="7"/>
  <c r="BE20" i="7" s="1"/>
  <c r="BG17" i="7"/>
  <c r="BI15" i="7"/>
  <c r="BJ14" i="7"/>
  <c r="BF18" i="7"/>
  <c r="BS4" i="3"/>
  <c r="BT3" i="3"/>
  <c r="BN10" i="7"/>
  <c r="BM11" i="7"/>
  <c r="AA47" i="7" l="1"/>
  <c r="AB47" i="7" s="1"/>
  <c r="W51" i="7"/>
  <c r="AR21" i="3"/>
  <c r="AC45" i="7"/>
  <c r="AC46" i="7" s="1"/>
  <c r="BA23" i="7"/>
  <c r="BD22" i="7"/>
  <c r="BL7" i="3"/>
  <c r="BL8" i="3" s="1"/>
  <c r="W3" i="7"/>
  <c r="W2" i="7"/>
  <c r="W4" i="7"/>
  <c r="V3" i="7"/>
  <c r="V2" i="7"/>
  <c r="V4" i="7"/>
  <c r="BK12" i="7"/>
  <c r="BK13" i="7" s="1"/>
  <c r="BE21" i="7"/>
  <c r="BC14" i="3"/>
  <c r="BC15" i="3" s="1"/>
  <c r="AU18" i="3"/>
  <c r="AU19" i="3" s="1"/>
  <c r="AY29" i="7"/>
  <c r="AZ28" i="7"/>
  <c r="AT32" i="7"/>
  <c r="X50" i="7"/>
  <c r="Y50" i="7" s="1"/>
  <c r="Z49" i="7"/>
  <c r="AP23" i="3"/>
  <c r="AQ22" i="3"/>
  <c r="BE10" i="3"/>
  <c r="BF10" i="3" s="1"/>
  <c r="BG10" i="3" s="1"/>
  <c r="BD11" i="3"/>
  <c r="BD12" i="3" s="1"/>
  <c r="BD13" i="3" s="1"/>
  <c r="BJ9" i="3"/>
  <c r="BK9" i="3" s="1"/>
  <c r="AU31" i="7"/>
  <c r="BE22" i="7"/>
  <c r="BS5" i="3"/>
  <c r="AL38" i="7"/>
  <c r="AA48" i="7"/>
  <c r="AM37" i="7"/>
  <c r="AN35" i="7"/>
  <c r="AV17" i="3"/>
  <c r="AV30" i="7"/>
  <c r="AG43" i="7"/>
  <c r="AI40" i="7"/>
  <c r="AP33" i="7"/>
  <c r="AO34" i="7"/>
  <c r="AH41" i="7"/>
  <c r="AF44" i="7"/>
  <c r="AD45" i="7"/>
  <c r="AJ39" i="7"/>
  <c r="AW16" i="3"/>
  <c r="AX16" i="3" s="1"/>
  <c r="BK14" i="7"/>
  <c r="AS21" i="3"/>
  <c r="AT20" i="3"/>
  <c r="BQ6" i="3"/>
  <c r="BI16" i="7"/>
  <c r="BJ15" i="7"/>
  <c r="BH17" i="7"/>
  <c r="BF19" i="7"/>
  <c r="BF20" i="7" s="1"/>
  <c r="BG18" i="7"/>
  <c r="BT4" i="3"/>
  <c r="BU3" i="3"/>
  <c r="BV3" i="3" s="1"/>
  <c r="BN11" i="7"/>
  <c r="BO10" i="7"/>
  <c r="AC47" i="7" l="1"/>
  <c r="BA24" i="7"/>
  <c r="BA25" i="7" s="1"/>
  <c r="BA26" i="7" s="1"/>
  <c r="BA27" i="7" s="1"/>
  <c r="BB23" i="7"/>
  <c r="BC23" i="7" s="1"/>
  <c r="BF21" i="7"/>
  <c r="BF22" i="7" s="1"/>
  <c r="BM7" i="3"/>
  <c r="BM8" i="3" s="1"/>
  <c r="X51" i="7"/>
  <c r="X4" i="7" s="1"/>
  <c r="BL12" i="7"/>
  <c r="BL13" i="7" s="1"/>
  <c r="BA28" i="7"/>
  <c r="AV18" i="3"/>
  <c r="AV19" i="3" s="1"/>
  <c r="AZ29" i="7"/>
  <c r="BA29" i="7" s="1"/>
  <c r="BD14" i="3"/>
  <c r="BD15" i="3" s="1"/>
  <c r="AU20" i="3"/>
  <c r="AU32" i="7"/>
  <c r="BK15" i="7"/>
  <c r="AV31" i="7"/>
  <c r="BL14" i="7"/>
  <c r="BL15" i="7" s="1"/>
  <c r="Z50" i="7"/>
  <c r="AQ23" i="3"/>
  <c r="AR22" i="3"/>
  <c r="AS22" i="3" s="1"/>
  <c r="BL9" i="3"/>
  <c r="BM9" i="3" s="1"/>
  <c r="BH10" i="3"/>
  <c r="BI10" i="3" s="1"/>
  <c r="BE11" i="3"/>
  <c r="BF11" i="3" s="1"/>
  <c r="BT5" i="3"/>
  <c r="AD46" i="7"/>
  <c r="AH42" i="7"/>
  <c r="AH43" i="7" s="1"/>
  <c r="AO35" i="7"/>
  <c r="AI41" i="7"/>
  <c r="AM38" i="7"/>
  <c r="AB48" i="7"/>
  <c r="AC48" i="7" s="1"/>
  <c r="AA49" i="7"/>
  <c r="AK39" i="7"/>
  <c r="AL39" i="7" s="1"/>
  <c r="AE45" i="7"/>
  <c r="AP34" i="7"/>
  <c r="AQ33" i="7"/>
  <c r="AN36" i="7"/>
  <c r="AJ40" i="7"/>
  <c r="AW30" i="7"/>
  <c r="AG44" i="7"/>
  <c r="AW17" i="3"/>
  <c r="AY16" i="3"/>
  <c r="AZ16" i="3" s="1"/>
  <c r="BN7" i="3"/>
  <c r="BN8" i="3" s="1"/>
  <c r="AT21" i="3"/>
  <c r="BU4" i="3"/>
  <c r="BR6" i="3"/>
  <c r="BS6" i="3" s="1"/>
  <c r="BI17" i="7"/>
  <c r="BJ16" i="7"/>
  <c r="BH18" i="7"/>
  <c r="BG19" i="7"/>
  <c r="BG20" i="7" s="1"/>
  <c r="BW3" i="3"/>
  <c r="BP10" i="7"/>
  <c r="BO11" i="7"/>
  <c r="BD23" i="7" l="1"/>
  <c r="BE23" i="7" s="1"/>
  <c r="BB24" i="7"/>
  <c r="BG21" i="7"/>
  <c r="BG22" i="7" s="1"/>
  <c r="Y51" i="7"/>
  <c r="Y2" i="7" s="1"/>
  <c r="X2" i="7"/>
  <c r="X3" i="7"/>
  <c r="BF23" i="7"/>
  <c r="Y3" i="7"/>
  <c r="BM12" i="7"/>
  <c r="BM13" i="7" s="1"/>
  <c r="BB28" i="7"/>
  <c r="AV20" i="3"/>
  <c r="AW18" i="3"/>
  <c r="AW19" i="3" s="1"/>
  <c r="BM14" i="7"/>
  <c r="BM15" i="7" s="1"/>
  <c r="AU21" i="3"/>
  <c r="AV32" i="7"/>
  <c r="BB29" i="7"/>
  <c r="AW31" i="7"/>
  <c r="BE12" i="3"/>
  <c r="BE13" i="3" s="1"/>
  <c r="BE14" i="3" s="1"/>
  <c r="BE15" i="3" s="1"/>
  <c r="BK16" i="7"/>
  <c r="BL16" i="7" s="1"/>
  <c r="AR23" i="3"/>
  <c r="AS23" i="3" s="1"/>
  <c r="BG11" i="3"/>
  <c r="BH11" i="3" s="1"/>
  <c r="BN9" i="3"/>
  <c r="BJ10" i="3"/>
  <c r="BK10" i="3" s="1"/>
  <c r="BU5" i="3"/>
  <c r="AJ41" i="7"/>
  <c r="AB49" i="7"/>
  <c r="AC49" i="7" s="1"/>
  <c r="AA50" i="7"/>
  <c r="AM39" i="7"/>
  <c r="AD47" i="7"/>
  <c r="AP35" i="7"/>
  <c r="AI42" i="7"/>
  <c r="AI43" i="7" s="1"/>
  <c r="AH44" i="7"/>
  <c r="AX30" i="7"/>
  <c r="AN37" i="7"/>
  <c r="AO36" i="7"/>
  <c r="AR33" i="7"/>
  <c r="AS33" i="7" s="1"/>
  <c r="AT22" i="3"/>
  <c r="AX17" i="3"/>
  <c r="AQ34" i="7"/>
  <c r="AK40" i="7"/>
  <c r="AF45" i="7"/>
  <c r="AE46" i="7"/>
  <c r="BA16" i="3"/>
  <c r="BB16" i="3" s="1"/>
  <c r="BO7" i="3"/>
  <c r="BP7" i="3" s="1"/>
  <c r="BV4" i="3"/>
  <c r="BT6" i="3"/>
  <c r="BI18" i="7"/>
  <c r="BH19" i="7"/>
  <c r="BJ17" i="7"/>
  <c r="BX3" i="3"/>
  <c r="BQ10" i="7"/>
  <c r="BP11" i="7"/>
  <c r="BB25" i="7" l="1"/>
  <c r="BC24" i="7"/>
  <c r="BD24" i="7" s="1"/>
  <c r="Y4" i="7"/>
  <c r="Z51" i="7"/>
  <c r="Z4" i="7" s="1"/>
  <c r="AU22" i="3"/>
  <c r="BG23" i="7"/>
  <c r="BN12" i="7"/>
  <c r="BN13" i="7" s="1"/>
  <c r="AV21" i="3"/>
  <c r="BN14" i="7"/>
  <c r="BN15" i="7" s="1"/>
  <c r="AW20" i="3"/>
  <c r="AW21" i="3" s="1"/>
  <c r="AX18" i="3"/>
  <c r="AX19" i="3" s="1"/>
  <c r="BK17" i="7"/>
  <c r="BL17" i="7" s="1"/>
  <c r="AW32" i="7"/>
  <c r="BF12" i="3"/>
  <c r="BF13" i="3" s="1"/>
  <c r="BF14" i="3" s="1"/>
  <c r="BF15" i="3" s="1"/>
  <c r="BL10" i="3"/>
  <c r="BM10" i="3" s="1"/>
  <c r="BV5" i="3"/>
  <c r="AY17" i="3"/>
  <c r="AZ17" i="3" s="1"/>
  <c r="AX31" i="7"/>
  <c r="BO8" i="3"/>
  <c r="BO9" i="3" s="1"/>
  <c r="AJ42" i="7"/>
  <c r="AJ43" i="7" s="1"/>
  <c r="AT23" i="3"/>
  <c r="AU23" i="3" s="1"/>
  <c r="AO37" i="7"/>
  <c r="AT33" i="7"/>
  <c r="AU33" i="7" s="1"/>
  <c r="AY30" i="7"/>
  <c r="AN38" i="7"/>
  <c r="AQ35" i="7"/>
  <c r="AN39" i="7"/>
  <c r="AR34" i="7"/>
  <c r="AD48" i="7"/>
  <c r="AD49" i="7" s="1"/>
  <c r="AB50" i="7"/>
  <c r="AA51" i="7"/>
  <c r="AG45" i="7"/>
  <c r="AH45" i="7" s="1"/>
  <c r="AK41" i="7"/>
  <c r="AL40" i="7"/>
  <c r="AM40" i="7" s="1"/>
  <c r="AP36" i="7"/>
  <c r="AE47" i="7"/>
  <c r="AI44" i="7"/>
  <c r="AF46" i="7"/>
  <c r="BW4" i="3"/>
  <c r="BC16" i="3"/>
  <c r="BD16" i="3" s="1"/>
  <c r="BQ7" i="3"/>
  <c r="BU6" i="3"/>
  <c r="BI11" i="3"/>
  <c r="BI19" i="7"/>
  <c r="BH20" i="7"/>
  <c r="BH21" i="7" s="1"/>
  <c r="BH22" i="7" s="1"/>
  <c r="BH23" i="7" s="1"/>
  <c r="BJ18" i="7"/>
  <c r="BM16" i="7"/>
  <c r="BY3" i="3"/>
  <c r="BR10" i="7"/>
  <c r="BQ11" i="7"/>
  <c r="Z3" i="7" l="1"/>
  <c r="BB26" i="7"/>
  <c r="BB27" i="7" s="1"/>
  <c r="BC28" i="7" s="1"/>
  <c r="BC29" i="7" s="1"/>
  <c r="BC25" i="7"/>
  <c r="BD25" i="7" s="1"/>
  <c r="BC26" i="7"/>
  <c r="BC27" i="7" s="1"/>
  <c r="BE24" i="7"/>
  <c r="Z2" i="7"/>
  <c r="AV22" i="3"/>
  <c r="AO38" i="7"/>
  <c r="BV6" i="3"/>
  <c r="BW5" i="3"/>
  <c r="AA3" i="7"/>
  <c r="AA2" i="7"/>
  <c r="AA4" i="7"/>
  <c r="BO12" i="7"/>
  <c r="BO13" i="7" s="1"/>
  <c r="AX20" i="3"/>
  <c r="AX21" i="3" s="1"/>
  <c r="BO14" i="7"/>
  <c r="BO15" i="7" s="1"/>
  <c r="BG12" i="3"/>
  <c r="BG13" i="3" s="1"/>
  <c r="BG14" i="3" s="1"/>
  <c r="BG15" i="3" s="1"/>
  <c r="BA17" i="3"/>
  <c r="BB17" i="3" s="1"/>
  <c r="AX32" i="7"/>
  <c r="AY18" i="3"/>
  <c r="AY19" i="3" s="1"/>
  <c r="BP8" i="3"/>
  <c r="BP9" i="3" s="1"/>
  <c r="AY31" i="7"/>
  <c r="BX4" i="3"/>
  <c r="AV23" i="3"/>
  <c r="AN40" i="7"/>
  <c r="AQ36" i="7"/>
  <c r="AZ30" i="7"/>
  <c r="BA30" i="7" s="1"/>
  <c r="AW22" i="3"/>
  <c r="AW23" i="3" s="1"/>
  <c r="AB51" i="7"/>
  <c r="AV33" i="7"/>
  <c r="AW33" i="7" s="1"/>
  <c r="BE16" i="3"/>
  <c r="BF16" i="3" s="1"/>
  <c r="AJ44" i="7"/>
  <c r="AL41" i="7"/>
  <c r="AM41" i="7" s="1"/>
  <c r="AI45" i="7"/>
  <c r="AS34" i="7"/>
  <c r="BD27" i="7"/>
  <c r="AG46" i="7"/>
  <c r="AH46" i="7" s="1"/>
  <c r="AF47" i="7"/>
  <c r="AE48" i="7"/>
  <c r="AE49" i="7" s="1"/>
  <c r="AO39" i="7"/>
  <c r="AC50" i="7"/>
  <c r="AR35" i="7"/>
  <c r="AK42" i="7"/>
  <c r="AP37" i="7"/>
  <c r="AP38" i="7" s="1"/>
  <c r="BJ19" i="7"/>
  <c r="BR7" i="3"/>
  <c r="BJ11" i="3"/>
  <c r="BN10" i="3"/>
  <c r="BO10" i="3" s="1"/>
  <c r="BK18" i="7"/>
  <c r="BL18" i="7" s="1"/>
  <c r="BI20" i="7"/>
  <c r="BI21" i="7" s="1"/>
  <c r="BM17" i="7"/>
  <c r="BN16" i="7"/>
  <c r="BZ3" i="3"/>
  <c r="BS10" i="7"/>
  <c r="BR11" i="7"/>
  <c r="BF24" i="7" l="1"/>
  <c r="BG24" i="7" s="1"/>
  <c r="BD26" i="7"/>
  <c r="BE26" i="7" s="1"/>
  <c r="BE25" i="7"/>
  <c r="BF25" i="7" s="1"/>
  <c r="BX5" i="3"/>
  <c r="BW6" i="3"/>
  <c r="AB3" i="7"/>
  <c r="AB2" i="7"/>
  <c r="AB4" i="7"/>
  <c r="BP12" i="7"/>
  <c r="BP13" i="7" s="1"/>
  <c r="AY20" i="3"/>
  <c r="AY21" i="3" s="1"/>
  <c r="BP14" i="7"/>
  <c r="BP15" i="7" s="1"/>
  <c r="BH12" i="3"/>
  <c r="BH13" i="3" s="1"/>
  <c r="BH14" i="3" s="1"/>
  <c r="BH15" i="3" s="1"/>
  <c r="AX33" i="7"/>
  <c r="AJ45" i="7"/>
  <c r="AZ18" i="3"/>
  <c r="BA18" i="3" s="1"/>
  <c r="BB18" i="3" s="1"/>
  <c r="BD28" i="7"/>
  <c r="AY32" i="7"/>
  <c r="BQ8" i="3"/>
  <c r="BR8" i="3" s="1"/>
  <c r="AR36" i="7"/>
  <c r="BY4" i="3"/>
  <c r="AZ31" i="7"/>
  <c r="BA31" i="7" s="1"/>
  <c r="AX22" i="3"/>
  <c r="AX23" i="3" s="1"/>
  <c r="BE27" i="7"/>
  <c r="AC51" i="7"/>
  <c r="AD50" i="7"/>
  <c r="AE50" i="7" s="1"/>
  <c r="AQ37" i="7"/>
  <c r="AO40" i="7"/>
  <c r="AP39" i="7"/>
  <c r="BK19" i="7"/>
  <c r="BL19" i="7" s="1"/>
  <c r="AF48" i="7"/>
  <c r="AF49" i="7" s="1"/>
  <c r="AG47" i="7"/>
  <c r="AH47" i="7" s="1"/>
  <c r="AN41" i="7"/>
  <c r="BB30" i="7"/>
  <c r="AK43" i="7"/>
  <c r="AS35" i="7"/>
  <c r="AT34" i="7"/>
  <c r="AL42" i="7"/>
  <c r="AI46" i="7"/>
  <c r="BC17" i="3"/>
  <c r="BG16" i="3"/>
  <c r="BS7" i="3"/>
  <c r="BK11" i="3"/>
  <c r="BL11" i="3" s="1"/>
  <c r="BP10" i="3"/>
  <c r="BI22" i="7"/>
  <c r="BJ20" i="7"/>
  <c r="BJ21" i="7" s="1"/>
  <c r="BM18" i="7"/>
  <c r="BO16" i="7"/>
  <c r="BN17" i="7"/>
  <c r="CA3" i="3"/>
  <c r="BS11" i="7"/>
  <c r="BT10" i="7"/>
  <c r="BF26" i="7" l="1"/>
  <c r="BG26" i="7" s="1"/>
  <c r="BH24" i="7"/>
  <c r="BG25" i="7"/>
  <c r="BY5" i="3"/>
  <c r="BX6" i="3"/>
  <c r="AC4" i="7"/>
  <c r="AC2" i="7"/>
  <c r="AC3" i="7"/>
  <c r="BQ12" i="7"/>
  <c r="AZ19" i="3"/>
  <c r="AZ20" i="3" s="1"/>
  <c r="AZ21" i="3" s="1"/>
  <c r="BI12" i="3"/>
  <c r="BI13" i="3" s="1"/>
  <c r="BI14" i="3" s="1"/>
  <c r="BI15" i="3" s="1"/>
  <c r="AY33" i="7"/>
  <c r="BD29" i="7"/>
  <c r="AZ32" i="7"/>
  <c r="BE28" i="7"/>
  <c r="BQ9" i="3"/>
  <c r="BR9" i="3" s="1"/>
  <c r="BH26" i="7"/>
  <c r="BZ4" i="3"/>
  <c r="BO17" i="7"/>
  <c r="AY22" i="3"/>
  <c r="AY23" i="3" s="1"/>
  <c r="BJ12" i="3"/>
  <c r="BJ13" i="3" s="1"/>
  <c r="BF27" i="7"/>
  <c r="AD51" i="7"/>
  <c r="AP40" i="7"/>
  <c r="AI47" i="7"/>
  <c r="BB31" i="7"/>
  <c r="AR37" i="7"/>
  <c r="AJ46" i="7"/>
  <c r="AT35" i="7"/>
  <c r="AF50" i="7"/>
  <c r="AU34" i="7"/>
  <c r="AK44" i="7"/>
  <c r="AO41" i="7"/>
  <c r="AS36" i="7"/>
  <c r="AM42" i="7"/>
  <c r="AN42" i="7" s="1"/>
  <c r="AO42" i="7" s="1"/>
  <c r="AL43" i="7"/>
  <c r="AG48" i="7"/>
  <c r="AG49" i="7" s="1"/>
  <c r="BC30" i="7"/>
  <c r="AQ38" i="7"/>
  <c r="BC18" i="3"/>
  <c r="BD17" i="3"/>
  <c r="BA19" i="3"/>
  <c r="BA20" i="3" s="1"/>
  <c r="BH16" i="3"/>
  <c r="BS8" i="3"/>
  <c r="BT7" i="3"/>
  <c r="BM11" i="3"/>
  <c r="BJ22" i="7"/>
  <c r="BI23" i="7"/>
  <c r="BK20" i="7"/>
  <c r="BK21" i="7" s="1"/>
  <c r="BP16" i="7"/>
  <c r="BM19" i="7"/>
  <c r="BN18" i="7"/>
  <c r="CB3" i="3"/>
  <c r="BU10" i="7"/>
  <c r="BT11" i="7"/>
  <c r="BH25" i="7" l="1"/>
  <c r="BY6" i="3"/>
  <c r="BZ5" i="3"/>
  <c r="BQ13" i="7"/>
  <c r="BQ14" i="7" s="1"/>
  <c r="BQ15" i="7" s="1"/>
  <c r="AE51" i="7"/>
  <c r="AF51" i="7" s="1"/>
  <c r="AD2" i="7"/>
  <c r="AD3" i="7"/>
  <c r="AD4" i="7"/>
  <c r="BR12" i="7"/>
  <c r="BJ14" i="3"/>
  <c r="BJ15" i="3" s="1"/>
  <c r="BO18" i="7"/>
  <c r="BQ10" i="3"/>
  <c r="BR10" i="3" s="1"/>
  <c r="AZ33" i="7"/>
  <c r="CA4" i="3"/>
  <c r="AZ22" i="3"/>
  <c r="AZ23" i="3" s="1"/>
  <c r="BE29" i="7"/>
  <c r="BD30" i="7"/>
  <c r="BA32" i="7"/>
  <c r="BF28" i="7"/>
  <c r="BS9" i="3"/>
  <c r="BS10" i="3" s="1"/>
  <c r="AT36" i="7"/>
  <c r="AJ47" i="7"/>
  <c r="BK12" i="3"/>
  <c r="BK13" i="3" s="1"/>
  <c r="BG27" i="7"/>
  <c r="AL44" i="7"/>
  <c r="AQ39" i="7"/>
  <c r="AV34" i="7"/>
  <c r="AU35" i="7"/>
  <c r="AH48" i="7"/>
  <c r="AI48" i="7" s="1"/>
  <c r="AM43" i="7"/>
  <c r="AN43" i="7" s="1"/>
  <c r="AO43" i="7" s="1"/>
  <c r="AP41" i="7"/>
  <c r="BC31" i="7"/>
  <c r="AS37" i="7"/>
  <c r="AK45" i="7"/>
  <c r="AG50" i="7"/>
  <c r="AR38" i="7"/>
  <c r="BB19" i="3"/>
  <c r="BB20" i="3" s="1"/>
  <c r="BE17" i="3"/>
  <c r="BF17" i="3" s="1"/>
  <c r="BD18" i="3"/>
  <c r="BT8" i="3"/>
  <c r="BC19" i="3"/>
  <c r="BI16" i="3"/>
  <c r="BA21" i="3"/>
  <c r="BU7" i="3"/>
  <c r="BN11" i="3"/>
  <c r="BK22" i="7"/>
  <c r="BL20" i="7"/>
  <c r="BM20" i="7" s="1"/>
  <c r="BI24" i="7"/>
  <c r="BJ23" i="7"/>
  <c r="BQ16" i="7"/>
  <c r="BP17" i="7"/>
  <c r="BN19" i="7"/>
  <c r="CC3" i="3"/>
  <c r="BU11" i="7"/>
  <c r="BV10" i="7"/>
  <c r="BZ6" i="3" l="1"/>
  <c r="CA5" i="3"/>
  <c r="BR13" i="7"/>
  <c r="BR14" i="7" s="1"/>
  <c r="BR15" i="7" s="1"/>
  <c r="BR16" i="7" s="1"/>
  <c r="BK14" i="3"/>
  <c r="BF29" i="7"/>
  <c r="AF3" i="7"/>
  <c r="AF4" i="7"/>
  <c r="AF2" i="7"/>
  <c r="AE4" i="7"/>
  <c r="AE3" i="7"/>
  <c r="AE2" i="7"/>
  <c r="BS12" i="7"/>
  <c r="CB4" i="3"/>
  <c r="CB5" i="3" s="1"/>
  <c r="BA33" i="7"/>
  <c r="BA22" i="3"/>
  <c r="BA23" i="3" s="1"/>
  <c r="BG28" i="7"/>
  <c r="BE30" i="7"/>
  <c r="BB32" i="7"/>
  <c r="BT9" i="3"/>
  <c r="BT10" i="3" s="1"/>
  <c r="AT37" i="7"/>
  <c r="BU8" i="3"/>
  <c r="AU36" i="7"/>
  <c r="AU37" i="7" s="1"/>
  <c r="AL45" i="7"/>
  <c r="BD31" i="7"/>
  <c r="AM44" i="7"/>
  <c r="BK15" i="3"/>
  <c r="BL12" i="3"/>
  <c r="BL13" i="3" s="1"/>
  <c r="BH27" i="7"/>
  <c r="AG51" i="7"/>
  <c r="AS38" i="7"/>
  <c r="AV35" i="7"/>
  <c r="AR39" i="7"/>
  <c r="AQ40" i="7"/>
  <c r="AK46" i="7"/>
  <c r="AH49" i="7"/>
  <c r="AI49" i="7" s="1"/>
  <c r="AW34" i="7"/>
  <c r="AP42" i="7"/>
  <c r="AJ48" i="7"/>
  <c r="BL21" i="7"/>
  <c r="BM21" i="7" s="1"/>
  <c r="BE18" i="3"/>
  <c r="BF18" i="3" s="1"/>
  <c r="BC20" i="3"/>
  <c r="BG17" i="3"/>
  <c r="BH17" i="3" s="1"/>
  <c r="BD19" i="3"/>
  <c r="BB21" i="3"/>
  <c r="BJ16" i="3"/>
  <c r="BV7" i="3"/>
  <c r="BO11" i="3"/>
  <c r="BI25" i="7"/>
  <c r="BN20" i="7"/>
  <c r="BK23" i="7"/>
  <c r="BJ24" i="7"/>
  <c r="BQ17" i="7"/>
  <c r="BP18" i="7"/>
  <c r="BO19" i="7"/>
  <c r="CD3" i="3"/>
  <c r="BV11" i="7"/>
  <c r="BW10" i="7"/>
  <c r="AS39" i="7" l="1"/>
  <c r="CA6" i="3"/>
  <c r="CB6" i="3" s="1"/>
  <c r="BB22" i="3"/>
  <c r="BB23" i="3" s="1"/>
  <c r="BG29" i="7"/>
  <c r="BS13" i="7"/>
  <c r="BL14" i="3"/>
  <c r="BL15" i="3" s="1"/>
  <c r="BF30" i="7"/>
  <c r="AG2" i="7"/>
  <c r="AG3" i="7"/>
  <c r="AG4" i="7"/>
  <c r="BT12" i="7"/>
  <c r="CC4" i="3"/>
  <c r="CC5" i="3" s="1"/>
  <c r="BB33" i="7"/>
  <c r="BH28" i="7"/>
  <c r="BH29" i="7" s="1"/>
  <c r="BK16" i="3"/>
  <c r="BU9" i="3"/>
  <c r="BU10" i="3" s="1"/>
  <c r="BC32" i="7"/>
  <c r="BN21" i="7"/>
  <c r="AM45" i="7"/>
  <c r="AT38" i="7"/>
  <c r="AU38" i="7" s="1"/>
  <c r="AN44" i="7"/>
  <c r="BE31" i="7"/>
  <c r="BL22" i="7"/>
  <c r="BM22" i="7" s="1"/>
  <c r="AL46" i="7"/>
  <c r="BM12" i="3"/>
  <c r="BM13" i="3" s="1"/>
  <c r="AR40" i="7"/>
  <c r="AJ49" i="7"/>
  <c r="AH50" i="7"/>
  <c r="AI50" i="7" s="1"/>
  <c r="AK47" i="7"/>
  <c r="AW35" i="7"/>
  <c r="AV36" i="7"/>
  <c r="AX34" i="7"/>
  <c r="BC21" i="3"/>
  <c r="BC22" i="3" s="1"/>
  <c r="BC23" i="3" s="1"/>
  <c r="AQ41" i="7"/>
  <c r="AP43" i="7"/>
  <c r="BI26" i="7"/>
  <c r="BI27" i="7" s="1"/>
  <c r="BI28" i="7" s="1"/>
  <c r="BI17" i="3"/>
  <c r="BJ17" i="3" s="1"/>
  <c r="BE19" i="3"/>
  <c r="BF19" i="3" s="1"/>
  <c r="BD20" i="3"/>
  <c r="BG18" i="3"/>
  <c r="BV8" i="3"/>
  <c r="BW7" i="3"/>
  <c r="BX7" i="3" s="1"/>
  <c r="BP11" i="3"/>
  <c r="BQ11" i="3" s="1"/>
  <c r="BJ25" i="7"/>
  <c r="BQ18" i="7"/>
  <c r="BO20" i="7"/>
  <c r="BR17" i="7"/>
  <c r="BK24" i="7"/>
  <c r="BP19" i="7"/>
  <c r="BW11" i="7"/>
  <c r="CE3" i="3"/>
  <c r="BX10" i="7"/>
  <c r="AS40" i="7" l="1"/>
  <c r="CC6" i="3"/>
  <c r="BM14" i="3"/>
  <c r="BM15" i="3" s="1"/>
  <c r="BG30" i="7"/>
  <c r="BH30" i="7" s="1"/>
  <c r="BS14" i="7"/>
  <c r="BT13" i="7"/>
  <c r="BN22" i="7"/>
  <c r="BU12" i="7"/>
  <c r="CD4" i="3"/>
  <c r="CD5" i="3" s="1"/>
  <c r="BC33" i="7"/>
  <c r="BI29" i="7"/>
  <c r="BD32" i="7"/>
  <c r="AT39" i="7"/>
  <c r="AU39" i="7" s="1"/>
  <c r="AM46" i="7"/>
  <c r="AJ50" i="7"/>
  <c r="BO21" i="7"/>
  <c r="BD21" i="3"/>
  <c r="BD22" i="3" s="1"/>
  <c r="BD23" i="3" s="1"/>
  <c r="AN45" i="7"/>
  <c r="AN46" i="7" s="1"/>
  <c r="BL23" i="7"/>
  <c r="BM23" i="7" s="1"/>
  <c r="AO44" i="7"/>
  <c r="AP44" i="7" s="1"/>
  <c r="AR41" i="7"/>
  <c r="AW36" i="7"/>
  <c r="AL47" i="7"/>
  <c r="BF31" i="7"/>
  <c r="BN12" i="3"/>
  <c r="BN13" i="3" s="1"/>
  <c r="BL16" i="3"/>
  <c r="AX35" i="7"/>
  <c r="AY34" i="7"/>
  <c r="AV37" i="7"/>
  <c r="AK48" i="7"/>
  <c r="AO45" i="7"/>
  <c r="AO46" i="7" s="1"/>
  <c r="AH51" i="7"/>
  <c r="AQ42" i="7"/>
  <c r="BJ26" i="7"/>
  <c r="BJ27" i="7" s="1"/>
  <c r="BJ28" i="7" s="1"/>
  <c r="BG19" i="3"/>
  <c r="BH18" i="3"/>
  <c r="BE20" i="3"/>
  <c r="BF20" i="3" s="1"/>
  <c r="BK17" i="3"/>
  <c r="BV9" i="3"/>
  <c r="BW8" i="3"/>
  <c r="BX8" i="3" s="1"/>
  <c r="BY7" i="3"/>
  <c r="BZ7" i="3" s="1"/>
  <c r="BP20" i="7"/>
  <c r="BV10" i="3"/>
  <c r="BR11" i="3"/>
  <c r="BR18" i="7"/>
  <c r="BK25" i="7"/>
  <c r="BQ19" i="7"/>
  <c r="BX11" i="7"/>
  <c r="BY10" i="7"/>
  <c r="BN14" i="3" l="1"/>
  <c r="CD6" i="3"/>
  <c r="AS41" i="7"/>
  <c r="BS15" i="7"/>
  <c r="BS16" i="7" s="1"/>
  <c r="BS17" i="7" s="1"/>
  <c r="BS18" i="7" s="1"/>
  <c r="BN23" i="7"/>
  <c r="BT14" i="7"/>
  <c r="BU13" i="7"/>
  <c r="BD33" i="7"/>
  <c r="AI51" i="7"/>
  <c r="AJ51" i="7" s="1"/>
  <c r="AH2" i="7"/>
  <c r="AH3" i="7"/>
  <c r="AH4" i="7"/>
  <c r="BV12" i="7"/>
  <c r="AM47" i="7"/>
  <c r="AN47" i="7" s="1"/>
  <c r="AO47" i="7" s="1"/>
  <c r="CE4" i="3"/>
  <c r="CE5" i="3" s="1"/>
  <c r="AX36" i="7"/>
  <c r="BM16" i="3"/>
  <c r="BE32" i="7"/>
  <c r="BI30" i="7"/>
  <c r="AT40" i="7"/>
  <c r="AU40" i="7" s="1"/>
  <c r="BJ29" i="7"/>
  <c r="BP21" i="7"/>
  <c r="BO22" i="7"/>
  <c r="BO23" i="7" s="1"/>
  <c r="BL24" i="7"/>
  <c r="BM24" i="7" s="1"/>
  <c r="BN24" i="7" s="1"/>
  <c r="BN15" i="3"/>
  <c r="AL48" i="7"/>
  <c r="BG31" i="7"/>
  <c r="BO12" i="3"/>
  <c r="AY35" i="7"/>
  <c r="BK26" i="7"/>
  <c r="BK27" i="7" s="1"/>
  <c r="BK28" i="7" s="1"/>
  <c r="AP45" i="7"/>
  <c r="AP46" i="7" s="1"/>
  <c r="AQ43" i="7"/>
  <c r="AK49" i="7"/>
  <c r="AV38" i="7"/>
  <c r="AZ34" i="7"/>
  <c r="AR42" i="7"/>
  <c r="AS42" i="7" s="1"/>
  <c r="AW37" i="7"/>
  <c r="AV39" i="7"/>
  <c r="BE21" i="3"/>
  <c r="BE22" i="3" s="1"/>
  <c r="BE23" i="3" s="1"/>
  <c r="BH19" i="3"/>
  <c r="BI18" i="3"/>
  <c r="BJ18" i="3" s="1"/>
  <c r="BK18" i="3" s="1"/>
  <c r="BG20" i="3"/>
  <c r="BQ20" i="7"/>
  <c r="BL17" i="3"/>
  <c r="BW9" i="3"/>
  <c r="BW10" i="3" s="1"/>
  <c r="BY8" i="3"/>
  <c r="CA7" i="3"/>
  <c r="BS11" i="3"/>
  <c r="BY11" i="7"/>
  <c r="BR19" i="7"/>
  <c r="BZ10" i="7"/>
  <c r="CE6" i="3" l="1"/>
  <c r="BT15" i="7"/>
  <c r="BT16" i="7" s="1"/>
  <c r="BT17" i="7" s="1"/>
  <c r="BT18" i="7" s="1"/>
  <c r="BE33" i="7"/>
  <c r="AM48" i="7"/>
  <c r="BV13" i="7"/>
  <c r="BU14" i="7"/>
  <c r="BF32" i="7"/>
  <c r="BG32" i="7" s="1"/>
  <c r="AJ2" i="7"/>
  <c r="AJ4" i="7"/>
  <c r="AJ3" i="7"/>
  <c r="AI4" i="7"/>
  <c r="AI2" i="7"/>
  <c r="AI3" i="7"/>
  <c r="BW12" i="7"/>
  <c r="BN16" i="3"/>
  <c r="BJ30" i="7"/>
  <c r="AT41" i="7"/>
  <c r="AT42" i="7" s="1"/>
  <c r="AY36" i="7"/>
  <c r="BP22" i="7"/>
  <c r="BP23" i="7" s="1"/>
  <c r="BK29" i="7"/>
  <c r="BQ21" i="7"/>
  <c r="BL25" i="7"/>
  <c r="BM25" i="7" s="1"/>
  <c r="BN25" i="7" s="1"/>
  <c r="BO13" i="3"/>
  <c r="BO14" i="3" s="1"/>
  <c r="BP12" i="3"/>
  <c r="BH31" i="7"/>
  <c r="AR43" i="7"/>
  <c r="AS43" i="7" s="1"/>
  <c r="AV40" i="7"/>
  <c r="BF21" i="3"/>
  <c r="BG21" i="3" s="1"/>
  <c r="AP47" i="7"/>
  <c r="AX37" i="7"/>
  <c r="AW38" i="7"/>
  <c r="AL49" i="7"/>
  <c r="AM49" i="7" s="1"/>
  <c r="BA34" i="7"/>
  <c r="AK50" i="7"/>
  <c r="AQ44" i="7"/>
  <c r="AN48" i="7"/>
  <c r="AZ35" i="7"/>
  <c r="BS19" i="7"/>
  <c r="BL18" i="3"/>
  <c r="BH20" i="3"/>
  <c r="BI19" i="3"/>
  <c r="BJ19" i="3" s="1"/>
  <c r="BO24" i="7"/>
  <c r="BM17" i="3"/>
  <c r="BX9" i="3"/>
  <c r="BX10" i="3" s="1"/>
  <c r="BZ11" i="7"/>
  <c r="BZ8" i="3"/>
  <c r="CA8" i="3" s="1"/>
  <c r="CB7" i="3"/>
  <c r="BT11" i="3"/>
  <c r="BR20" i="7"/>
  <c r="CA10" i="7"/>
  <c r="BU15" i="7" l="1"/>
  <c r="BU16" i="7" s="1"/>
  <c r="BU17" i="7" s="1"/>
  <c r="BU18" i="7" s="1"/>
  <c r="BW13" i="7"/>
  <c r="BV14" i="7"/>
  <c r="AX38" i="7"/>
  <c r="BF33" i="7"/>
  <c r="BG33" i="7" s="1"/>
  <c r="BK30" i="7"/>
  <c r="BX12" i="7"/>
  <c r="BN17" i="3"/>
  <c r="AU41" i="7"/>
  <c r="AU42" i="7" s="1"/>
  <c r="AY37" i="7"/>
  <c r="AY38" i="7" s="1"/>
  <c r="BH32" i="7"/>
  <c r="BQ22" i="7"/>
  <c r="BQ23" i="7" s="1"/>
  <c r="BL26" i="7"/>
  <c r="BL27" i="7" s="1"/>
  <c r="BI31" i="7"/>
  <c r="BJ31" i="7" s="1"/>
  <c r="BK31" i="7" s="1"/>
  <c r="BO15" i="3"/>
  <c r="BP13" i="3"/>
  <c r="BP14" i="3" s="1"/>
  <c r="BQ12" i="3"/>
  <c r="BY9" i="3"/>
  <c r="BY10" i="3" s="1"/>
  <c r="BF22" i="3"/>
  <c r="BF23" i="3" s="1"/>
  <c r="BH21" i="3"/>
  <c r="AR44" i="7"/>
  <c r="AS44" i="7" s="1"/>
  <c r="AK51" i="7"/>
  <c r="AO48" i="7"/>
  <c r="AT43" i="7"/>
  <c r="BA35" i="7"/>
  <c r="AN49" i="7"/>
  <c r="AQ45" i="7"/>
  <c r="BB34" i="7"/>
  <c r="AL50" i="7"/>
  <c r="AW39" i="7"/>
  <c r="AZ36" i="7"/>
  <c r="BR21" i="7"/>
  <c r="BT19" i="7"/>
  <c r="BS20" i="7"/>
  <c r="BK19" i="3"/>
  <c r="BL19" i="3" s="1"/>
  <c r="BO25" i="7"/>
  <c r="BM18" i="3"/>
  <c r="BI20" i="3"/>
  <c r="BJ20" i="3" s="1"/>
  <c r="BP24" i="7"/>
  <c r="CB8" i="3"/>
  <c r="CC7" i="3"/>
  <c r="CD7" i="3" s="1"/>
  <c r="CA11" i="7"/>
  <c r="BU11" i="3"/>
  <c r="CB10" i="7"/>
  <c r="BV15" i="7" l="1"/>
  <c r="BV16" i="7" s="1"/>
  <c r="BV17" i="7" s="1"/>
  <c r="BV18" i="7" s="1"/>
  <c r="AX39" i="7"/>
  <c r="AY39" i="7" s="1"/>
  <c r="BW14" i="7"/>
  <c r="BH33" i="7"/>
  <c r="AV41" i="7"/>
  <c r="AK3" i="7"/>
  <c r="AK2" i="7"/>
  <c r="AK4" i="7"/>
  <c r="BX13" i="7"/>
  <c r="BY12" i="7"/>
  <c r="BZ9" i="3"/>
  <c r="BZ10" i="3" s="1"/>
  <c r="BI32" i="7"/>
  <c r="BQ24" i="7"/>
  <c r="BL28" i="7"/>
  <c r="BM26" i="7"/>
  <c r="BM27" i="7" s="1"/>
  <c r="BP15" i="3"/>
  <c r="BQ13" i="3"/>
  <c r="BQ14" i="3" s="1"/>
  <c r="BR12" i="3"/>
  <c r="BO16" i="3"/>
  <c r="BU19" i="7"/>
  <c r="BG22" i="3"/>
  <c r="BG23" i="3" s="1"/>
  <c r="AZ37" i="7"/>
  <c r="AW40" i="7"/>
  <c r="AT44" i="7"/>
  <c r="AU43" i="7"/>
  <c r="BC34" i="7"/>
  <c r="BD34" i="7" s="1"/>
  <c r="BE34" i="7" s="1"/>
  <c r="BF34" i="7" s="1"/>
  <c r="AO49" i="7"/>
  <c r="AM50" i="7"/>
  <c r="AN50" i="7" s="1"/>
  <c r="AQ46" i="7"/>
  <c r="BB35" i="7"/>
  <c r="AV42" i="7"/>
  <c r="AR45" i="7"/>
  <c r="AS45" i="7" s="1"/>
  <c r="AL51" i="7"/>
  <c r="BA36" i="7"/>
  <c r="AP48" i="7"/>
  <c r="BI21" i="3"/>
  <c r="BJ21" i="3" s="1"/>
  <c r="BR22" i="7"/>
  <c r="BR23" i="7" s="1"/>
  <c r="BS21" i="7"/>
  <c r="BK20" i="3"/>
  <c r="BL20" i="3" s="1"/>
  <c r="BT20" i="7"/>
  <c r="BM19" i="3"/>
  <c r="BP25" i="7"/>
  <c r="BN18" i="3"/>
  <c r="CC8" i="3"/>
  <c r="CD8" i="3" s="1"/>
  <c r="CE7" i="3"/>
  <c r="BV11" i="3"/>
  <c r="CC10" i="7"/>
  <c r="CB11" i="7"/>
  <c r="AX40" i="7" l="1"/>
  <c r="AY40" i="7" s="1"/>
  <c r="BW15" i="7"/>
  <c r="BW16" i="7" s="1"/>
  <c r="BW17" i="7" s="1"/>
  <c r="BW18" i="7" s="1"/>
  <c r="BX14" i="7"/>
  <c r="BP16" i="3"/>
  <c r="BQ15" i="3"/>
  <c r="AL3" i="7"/>
  <c r="AL4" i="7"/>
  <c r="AL2" i="7"/>
  <c r="BY13" i="7"/>
  <c r="BZ12" i="7"/>
  <c r="CA9" i="3"/>
  <c r="CA10" i="3" s="1"/>
  <c r="BJ32" i="7"/>
  <c r="BI33" i="7"/>
  <c r="BQ25" i="7"/>
  <c r="BR24" i="7"/>
  <c r="BL29" i="7"/>
  <c r="BL30" i="7" s="1"/>
  <c r="BM28" i="7"/>
  <c r="BN26" i="7"/>
  <c r="BT21" i="7"/>
  <c r="BR13" i="3"/>
  <c r="BR14" i="3" s="1"/>
  <c r="BO17" i="3"/>
  <c r="BO18" i="3" s="1"/>
  <c r="BS12" i="3"/>
  <c r="BV19" i="7"/>
  <c r="AU44" i="7"/>
  <c r="BH22" i="3"/>
  <c r="BH23" i="3" s="1"/>
  <c r="BC35" i="7"/>
  <c r="BD35" i="7" s="1"/>
  <c r="BE35" i="7" s="1"/>
  <c r="AO50" i="7"/>
  <c r="BA37" i="7"/>
  <c r="BG34" i="7"/>
  <c r="BH34" i="7" s="1"/>
  <c r="AR46" i="7"/>
  <c r="AS46" i="7" s="1"/>
  <c r="AT45" i="7"/>
  <c r="AP49" i="7"/>
  <c r="AQ47" i="7"/>
  <c r="AV43" i="7"/>
  <c r="AW41" i="7"/>
  <c r="AX41" i="7" s="1"/>
  <c r="AZ38" i="7"/>
  <c r="AM51" i="7"/>
  <c r="BB36" i="7"/>
  <c r="BS22" i="7"/>
  <c r="BU20" i="7"/>
  <c r="BN19" i="3"/>
  <c r="BM20" i="3"/>
  <c r="BK21" i="3"/>
  <c r="BL21" i="3" s="1"/>
  <c r="CE8" i="3"/>
  <c r="BW11" i="3"/>
  <c r="BX11" i="3" s="1"/>
  <c r="BY11" i="3" s="1"/>
  <c r="CD10" i="7"/>
  <c r="CC11" i="7"/>
  <c r="BQ16" i="3" l="1"/>
  <c r="AU45" i="7"/>
  <c r="BX15" i="7"/>
  <c r="BX16" i="7" s="1"/>
  <c r="BX17" i="7" s="1"/>
  <c r="BX18" i="7" s="1"/>
  <c r="BW19" i="7"/>
  <c r="BC36" i="7"/>
  <c r="BR15" i="3"/>
  <c r="BY14" i="7"/>
  <c r="BY15" i="7" s="1"/>
  <c r="BY16" i="7" s="1"/>
  <c r="AN51" i="7"/>
  <c r="AO51" i="7" s="1"/>
  <c r="AM4" i="7"/>
  <c r="AM2" i="7"/>
  <c r="AM3" i="7"/>
  <c r="BZ13" i="7"/>
  <c r="CA12" i="7"/>
  <c r="CB9" i="3"/>
  <c r="CC9" i="3" s="1"/>
  <c r="CD9" i="3" s="1"/>
  <c r="BK32" i="7"/>
  <c r="BJ33" i="7"/>
  <c r="BR25" i="7"/>
  <c r="BO26" i="7"/>
  <c r="BP26" i="7" s="1"/>
  <c r="BQ26" i="7" s="1"/>
  <c r="BN27" i="7"/>
  <c r="BM29" i="7"/>
  <c r="BL31" i="7"/>
  <c r="BU21" i="7"/>
  <c r="BT22" i="7"/>
  <c r="AV44" i="7"/>
  <c r="AV45" i="7" s="1"/>
  <c r="BS13" i="3"/>
  <c r="BS14" i="3" s="1"/>
  <c r="BT12" i="3"/>
  <c r="BI22" i="3"/>
  <c r="BI23" i="3" s="1"/>
  <c r="BP17" i="3"/>
  <c r="BP18" i="3" s="1"/>
  <c r="BA38" i="7"/>
  <c r="BF35" i="7"/>
  <c r="BG35" i="7" s="1"/>
  <c r="BV20" i="7"/>
  <c r="BW20" i="7" s="1"/>
  <c r="BB37" i="7"/>
  <c r="BC37" i="7" s="1"/>
  <c r="AR47" i="7"/>
  <c r="AS47" i="7" s="1"/>
  <c r="AW42" i="7"/>
  <c r="AX42" i="7" s="1"/>
  <c r="AQ48" i="7"/>
  <c r="AP50" i="7"/>
  <c r="BD36" i="7"/>
  <c r="AY41" i="7"/>
  <c r="AT46" i="7"/>
  <c r="BI34" i="7"/>
  <c r="AZ39" i="7"/>
  <c r="BS23" i="7"/>
  <c r="BS24" i="7" s="1"/>
  <c r="BO19" i="3"/>
  <c r="BN20" i="3"/>
  <c r="BM21" i="3"/>
  <c r="BZ11" i="3"/>
  <c r="CE10" i="7"/>
  <c r="CD11" i="7"/>
  <c r="BR16" i="3" l="1"/>
  <c r="BY17" i="7"/>
  <c r="BX19" i="7"/>
  <c r="BX20" i="7" s="1"/>
  <c r="BY18" i="7"/>
  <c r="BZ14" i="7"/>
  <c r="BJ34" i="7"/>
  <c r="AO4" i="7"/>
  <c r="AO3" i="7"/>
  <c r="AO2" i="7"/>
  <c r="CA13" i="7"/>
  <c r="CB12" i="7"/>
  <c r="AN3" i="7"/>
  <c r="AN2" i="7"/>
  <c r="AN4" i="7"/>
  <c r="BS25" i="7"/>
  <c r="CB10" i="3"/>
  <c r="CC10" i="3" s="1"/>
  <c r="CD10" i="3" s="1"/>
  <c r="CE9" i="3"/>
  <c r="BL32" i="7"/>
  <c r="BR26" i="7"/>
  <c r="BS26" i="7" s="1"/>
  <c r="BK33" i="7"/>
  <c r="BL33" i="7" s="1"/>
  <c r="BH35" i="7"/>
  <c r="BI35" i="7" s="1"/>
  <c r="BU22" i="7"/>
  <c r="BN28" i="7"/>
  <c r="BM30" i="7"/>
  <c r="BM31" i="7" s="1"/>
  <c r="BO27" i="7"/>
  <c r="BP27" i="7" s="1"/>
  <c r="BV21" i="7"/>
  <c r="BW21" i="7" s="1"/>
  <c r="BA39" i="7"/>
  <c r="BJ22" i="3"/>
  <c r="BJ23" i="3" s="1"/>
  <c r="BT13" i="3"/>
  <c r="BT14" i="3" s="1"/>
  <c r="BU12" i="3"/>
  <c r="BS15" i="3"/>
  <c r="BQ17" i="3"/>
  <c r="BP19" i="3"/>
  <c r="AR48" i="7"/>
  <c r="AS48" i="7" s="1"/>
  <c r="AT47" i="7"/>
  <c r="BB38" i="7"/>
  <c r="BC38" i="7" s="1"/>
  <c r="AY42" i="7"/>
  <c r="BD37" i="7"/>
  <c r="AP51" i="7"/>
  <c r="BE36" i="7"/>
  <c r="BF36" i="7" s="1"/>
  <c r="BG36" i="7" s="1"/>
  <c r="AQ49" i="7"/>
  <c r="AU46" i="7"/>
  <c r="AW43" i="7"/>
  <c r="AZ40" i="7"/>
  <c r="BT23" i="7"/>
  <c r="BO20" i="3"/>
  <c r="BN21" i="3"/>
  <c r="CA11" i="3"/>
  <c r="CF10" i="7"/>
  <c r="CE11" i="7"/>
  <c r="BR17" i="3" l="1"/>
  <c r="BX21" i="7"/>
  <c r="BY19" i="7"/>
  <c r="BY20" i="7" s="1"/>
  <c r="CA14" i="7"/>
  <c r="BZ15" i="7"/>
  <c r="CB13" i="7"/>
  <c r="BK34" i="7"/>
  <c r="BL34" i="7" s="1"/>
  <c r="CB14" i="7"/>
  <c r="BJ35" i="7"/>
  <c r="BK35" i="7" s="1"/>
  <c r="AP4" i="7"/>
  <c r="AP2" i="7"/>
  <c r="AP3" i="7"/>
  <c r="CC12" i="7"/>
  <c r="BM32" i="7"/>
  <c r="BM33" i="7" s="1"/>
  <c r="CB11" i="3"/>
  <c r="CC11" i="3" s="1"/>
  <c r="CE10" i="3"/>
  <c r="BQ27" i="7"/>
  <c r="BR27" i="7" s="1"/>
  <c r="BN29" i="7"/>
  <c r="BO28" i="7"/>
  <c r="BV22" i="7"/>
  <c r="BW22" i="7" s="1"/>
  <c r="BK22" i="3"/>
  <c r="BK23" i="3" s="1"/>
  <c r="BB39" i="7"/>
  <c r="BC39" i="7" s="1"/>
  <c r="BU13" i="3"/>
  <c r="BU14" i="3" s="1"/>
  <c r="BP20" i="3"/>
  <c r="BS16" i="3"/>
  <c r="BV12" i="3"/>
  <c r="BQ18" i="3"/>
  <c r="BQ19" i="3" s="1"/>
  <c r="BT15" i="3"/>
  <c r="BH36" i="7"/>
  <c r="AW44" i="7"/>
  <c r="BE37" i="7"/>
  <c r="BF37" i="7" s="1"/>
  <c r="BG37" i="7" s="1"/>
  <c r="BD38" i="7"/>
  <c r="AU47" i="7"/>
  <c r="AT48" i="7"/>
  <c r="AX43" i="7"/>
  <c r="AY43" i="7" s="1"/>
  <c r="AQ50" i="7"/>
  <c r="AQ51" i="7" s="1"/>
  <c r="BI36" i="7"/>
  <c r="AZ41" i="7"/>
  <c r="AV46" i="7"/>
  <c r="AV47" i="7" s="1"/>
  <c r="BA40" i="7"/>
  <c r="AR49" i="7"/>
  <c r="BU23" i="7"/>
  <c r="BT24" i="7"/>
  <c r="BT25" i="7" s="1"/>
  <c r="BT26" i="7" s="1"/>
  <c r="BO21" i="3"/>
  <c r="CG10" i="7"/>
  <c r="CF11" i="7"/>
  <c r="BY21" i="7" l="1"/>
  <c r="BX22" i="7"/>
  <c r="BZ16" i="7"/>
  <c r="BZ17" i="7" s="1"/>
  <c r="CA15" i="7"/>
  <c r="CB15" i="7" s="1"/>
  <c r="CC13" i="7"/>
  <c r="AQ2" i="7"/>
  <c r="AQ4" i="7"/>
  <c r="AQ3" i="7"/>
  <c r="CD12" i="7"/>
  <c r="CD11" i="3"/>
  <c r="CE11" i="3" s="1"/>
  <c r="BH37" i="7"/>
  <c r="BI37" i="7" s="1"/>
  <c r="BQ20" i="3"/>
  <c r="BO29" i="7"/>
  <c r="BS27" i="7"/>
  <c r="BT27" i="7" s="1"/>
  <c r="BL35" i="7"/>
  <c r="BP28" i="7"/>
  <c r="BN30" i="7"/>
  <c r="BD39" i="7"/>
  <c r="BV23" i="7"/>
  <c r="BW23" i="7" s="1"/>
  <c r="BX23" i="7" s="1"/>
  <c r="BL22" i="3"/>
  <c r="BL23" i="3" s="1"/>
  <c r="BP21" i="3"/>
  <c r="BR18" i="3"/>
  <c r="BR19" i="3" s="1"/>
  <c r="BU15" i="3"/>
  <c r="BV13" i="3"/>
  <c r="BV14" i="3" s="1"/>
  <c r="BS17" i="3"/>
  <c r="BT16" i="3"/>
  <c r="BE38" i="7"/>
  <c r="BF38" i="7" s="1"/>
  <c r="BW12" i="3"/>
  <c r="BB40" i="7"/>
  <c r="BC40" i="7" s="1"/>
  <c r="AU48" i="7"/>
  <c r="AV48" i="7" s="1"/>
  <c r="AW45" i="7"/>
  <c r="BM34" i="7"/>
  <c r="AS49" i="7"/>
  <c r="AR50" i="7"/>
  <c r="AR51" i="7" s="1"/>
  <c r="AX44" i="7"/>
  <c r="AZ42" i="7"/>
  <c r="BA41" i="7"/>
  <c r="BJ36" i="7"/>
  <c r="BU24" i="7"/>
  <c r="BU25" i="7" s="1"/>
  <c r="BU26" i="7" s="1"/>
  <c r="CG11" i="7"/>
  <c r="CH10" i="7"/>
  <c r="BQ21" i="3" l="1"/>
  <c r="BY22" i="7"/>
  <c r="BY23" i="7" s="1"/>
  <c r="CD13" i="7"/>
  <c r="CC14" i="7"/>
  <c r="CD14" i="7" s="1"/>
  <c r="BZ18" i="7"/>
  <c r="BZ19" i="7" s="1"/>
  <c r="BZ20" i="7" s="1"/>
  <c r="BZ21" i="7" s="1"/>
  <c r="CA16" i="7"/>
  <c r="CB16" i="7" s="1"/>
  <c r="AR3" i="7"/>
  <c r="AR4" i="7"/>
  <c r="AR2" i="7"/>
  <c r="CE12" i="7"/>
  <c r="BM35" i="7"/>
  <c r="BE39" i="7"/>
  <c r="BF39" i="7" s="1"/>
  <c r="BO30" i="7"/>
  <c r="BQ28" i="7"/>
  <c r="BN31" i="7"/>
  <c r="BP29" i="7"/>
  <c r="BQ29" i="7" s="1"/>
  <c r="BM22" i="3"/>
  <c r="BM23" i="3" s="1"/>
  <c r="BV15" i="3"/>
  <c r="BU16" i="3"/>
  <c r="BR20" i="3"/>
  <c r="BR21" i="3" s="1"/>
  <c r="BW13" i="3"/>
  <c r="BW14" i="3" s="1"/>
  <c r="BS18" i="3"/>
  <c r="BS19" i="3" s="1"/>
  <c r="BT17" i="3"/>
  <c r="BX12" i="3"/>
  <c r="BJ37" i="7"/>
  <c r="BA42" i="7"/>
  <c r="BU27" i="7"/>
  <c r="AS50" i="7"/>
  <c r="AS51" i="7" s="1"/>
  <c r="AW46" i="7"/>
  <c r="BK36" i="7"/>
  <c r="BL36" i="7" s="1"/>
  <c r="AT49" i="7"/>
  <c r="AU49" i="7" s="1"/>
  <c r="AV49" i="7" s="1"/>
  <c r="AZ43" i="7"/>
  <c r="AY44" i="7"/>
  <c r="BD40" i="7"/>
  <c r="BB41" i="7"/>
  <c r="AX45" i="7"/>
  <c r="BG38" i="7"/>
  <c r="BH38" i="7" s="1"/>
  <c r="BV24" i="7"/>
  <c r="BW24" i="7" s="1"/>
  <c r="CI10" i="7"/>
  <c r="CH11" i="7"/>
  <c r="BZ22" i="7" l="1"/>
  <c r="BZ23" i="7" s="1"/>
  <c r="CC15" i="7"/>
  <c r="CD15" i="7" s="1"/>
  <c r="CE14" i="7"/>
  <c r="CE13" i="7"/>
  <c r="CA17" i="7"/>
  <c r="CB17" i="7" s="1"/>
  <c r="AS3" i="7"/>
  <c r="AS4" i="7"/>
  <c r="AS2" i="7"/>
  <c r="CF12" i="7"/>
  <c r="BO31" i="7"/>
  <c r="BW15" i="3"/>
  <c r="BP30" i="7"/>
  <c r="BP31" i="7" s="1"/>
  <c r="BN32" i="7"/>
  <c r="BR28" i="7"/>
  <c r="BR29" i="7" s="1"/>
  <c r="BN22" i="3"/>
  <c r="BT18" i="3"/>
  <c r="BT19" i="3" s="1"/>
  <c r="BA43" i="7"/>
  <c r="BU17" i="3"/>
  <c r="BX13" i="3"/>
  <c r="BX14" i="3" s="1"/>
  <c r="BY12" i="3"/>
  <c r="BZ12" i="3" s="1"/>
  <c r="BV16" i="3"/>
  <c r="AX46" i="7"/>
  <c r="BS20" i="3"/>
  <c r="BS21" i="3" s="1"/>
  <c r="BM36" i="7"/>
  <c r="BE40" i="7"/>
  <c r="AT50" i="7"/>
  <c r="AT51" i="7" s="1"/>
  <c r="AY45" i="7"/>
  <c r="BG39" i="7"/>
  <c r="BH39" i="7" s="1"/>
  <c r="BC41" i="7"/>
  <c r="BD41" i="7" s="1"/>
  <c r="AZ44" i="7"/>
  <c r="AW47" i="7"/>
  <c r="BV25" i="7"/>
  <c r="BW25" i="7" s="1"/>
  <c r="BB42" i="7"/>
  <c r="BK37" i="7"/>
  <c r="BI38" i="7"/>
  <c r="BJ38" i="7" s="1"/>
  <c r="BX24" i="7"/>
  <c r="CI11" i="7"/>
  <c r="CJ10" i="7"/>
  <c r="CF13" i="7" l="1"/>
  <c r="BQ30" i="7"/>
  <c r="BR30" i="7" s="1"/>
  <c r="CC16" i="7"/>
  <c r="CD16" i="7" s="1"/>
  <c r="CE15" i="7"/>
  <c r="CF14" i="7"/>
  <c r="CA18" i="7"/>
  <c r="CA19" i="7" s="1"/>
  <c r="CA20" i="7" s="1"/>
  <c r="CC17" i="7"/>
  <c r="AT3" i="7"/>
  <c r="AT4" i="7"/>
  <c r="AT2" i="7"/>
  <c r="CG12" i="7"/>
  <c r="CG13" i="7" s="1"/>
  <c r="BW16" i="3"/>
  <c r="BX15" i="3"/>
  <c r="BO32" i="7"/>
  <c r="BP32" i="7" s="1"/>
  <c r="BN33" i="7"/>
  <c r="BS28" i="7"/>
  <c r="BQ31" i="7"/>
  <c r="BA44" i="7"/>
  <c r="BN23" i="3"/>
  <c r="BO22" i="3"/>
  <c r="BV17" i="3"/>
  <c r="BU18" i="3"/>
  <c r="BT20" i="3"/>
  <c r="BT21" i="3" s="1"/>
  <c r="CA12" i="3"/>
  <c r="BY13" i="3"/>
  <c r="BY14" i="3" s="1"/>
  <c r="AZ45" i="7"/>
  <c r="BI39" i="7"/>
  <c r="BJ39" i="7" s="1"/>
  <c r="BK38" i="7"/>
  <c r="BC42" i="7"/>
  <c r="BD42" i="7" s="1"/>
  <c r="BX25" i="7"/>
  <c r="BL37" i="7"/>
  <c r="BB43" i="7"/>
  <c r="AU50" i="7"/>
  <c r="BV26" i="7"/>
  <c r="AW48" i="7"/>
  <c r="AY46" i="7"/>
  <c r="BF40" i="7"/>
  <c r="AX47" i="7"/>
  <c r="BE41" i="7"/>
  <c r="BY24" i="7"/>
  <c r="CJ11" i="7"/>
  <c r="CF15" i="7" l="1"/>
  <c r="CA21" i="7"/>
  <c r="CG14" i="7"/>
  <c r="CH14" i="7" s="1"/>
  <c r="CD17" i="7"/>
  <c r="CB18" i="7"/>
  <c r="CE16" i="7"/>
  <c r="CE17" i="7" s="1"/>
  <c r="CH12" i="7"/>
  <c r="CH13" i="7" s="1"/>
  <c r="BY15" i="3"/>
  <c r="BO33" i="7"/>
  <c r="BP33" i="7" s="1"/>
  <c r="BN34" i="7"/>
  <c r="BX16" i="3"/>
  <c r="BW17" i="3"/>
  <c r="BR31" i="7"/>
  <c r="BT28" i="7"/>
  <c r="BU28" i="7" s="1"/>
  <c r="BS29" i="7"/>
  <c r="BS30" i="7" s="1"/>
  <c r="BQ32" i="7"/>
  <c r="BB44" i="7"/>
  <c r="BA45" i="7"/>
  <c r="BO23" i="3"/>
  <c r="BP22" i="3"/>
  <c r="BV18" i="3"/>
  <c r="BU19" i="3"/>
  <c r="BU20" i="3" s="1"/>
  <c r="BU21" i="3" s="1"/>
  <c r="CB12" i="3"/>
  <c r="CC12" i="3" s="1"/>
  <c r="CD12" i="3" s="1"/>
  <c r="BZ13" i="3"/>
  <c r="BZ14" i="3" s="1"/>
  <c r="BK39" i="7"/>
  <c r="BY25" i="7"/>
  <c r="AY47" i="7"/>
  <c r="AZ46" i="7"/>
  <c r="BV27" i="7"/>
  <c r="AV50" i="7"/>
  <c r="AX48" i="7"/>
  <c r="BE42" i="7"/>
  <c r="AU51" i="7"/>
  <c r="BC43" i="7"/>
  <c r="BG40" i="7"/>
  <c r="AW49" i="7"/>
  <c r="BM37" i="7"/>
  <c r="BL38" i="7"/>
  <c r="BW26" i="7"/>
  <c r="BF41" i="7"/>
  <c r="BZ24" i="7"/>
  <c r="CA22" i="7" l="1"/>
  <c r="CG15" i="7"/>
  <c r="CC18" i="7"/>
  <c r="CB19" i="7"/>
  <c r="CB20" i="7" s="1"/>
  <c r="CF16" i="7"/>
  <c r="CF17" i="7" s="1"/>
  <c r="BW18" i="3"/>
  <c r="BX17" i="3"/>
  <c r="AU4" i="7"/>
  <c r="AU3" i="7"/>
  <c r="AU2" i="7"/>
  <c r="CI12" i="7"/>
  <c r="CI13" i="7" s="1"/>
  <c r="CI14" i="7" s="1"/>
  <c r="BY16" i="3"/>
  <c r="BZ15" i="3"/>
  <c r="BN35" i="7"/>
  <c r="BO34" i="7"/>
  <c r="BS31" i="7"/>
  <c r="CH15" i="7"/>
  <c r="BQ33" i="7"/>
  <c r="CI15" i="7"/>
  <c r="BV28" i="7"/>
  <c r="BR32" i="7"/>
  <c r="BB45" i="7"/>
  <c r="BT29" i="7"/>
  <c r="BT30" i="7" s="1"/>
  <c r="BA46" i="7"/>
  <c r="AV51" i="7"/>
  <c r="BV19" i="3"/>
  <c r="BV20" i="3" s="1"/>
  <c r="BV21" i="3" s="1"/>
  <c r="BP23" i="3"/>
  <c r="BQ22" i="3"/>
  <c r="AX49" i="7"/>
  <c r="CA13" i="3"/>
  <c r="CA14" i="3" s="1"/>
  <c r="CE12" i="3"/>
  <c r="AY48" i="7"/>
  <c r="BM38" i="7"/>
  <c r="AW50" i="7"/>
  <c r="BF42" i="7"/>
  <c r="BG41" i="7"/>
  <c r="BL39" i="7"/>
  <c r="BW27" i="7"/>
  <c r="BX26" i="7"/>
  <c r="BH40" i="7"/>
  <c r="BD43" i="7"/>
  <c r="AZ47" i="7"/>
  <c r="BC44" i="7"/>
  <c r="BZ25" i="7"/>
  <c r="CB21" i="7" l="1"/>
  <c r="CA23" i="7"/>
  <c r="CA24" i="7" s="1"/>
  <c r="CB22" i="7"/>
  <c r="BY17" i="3"/>
  <c r="CC19" i="7"/>
  <c r="CD18" i="7"/>
  <c r="CG16" i="7"/>
  <c r="CG17" i="7" s="1"/>
  <c r="BX18" i="3"/>
  <c r="CJ12" i="7"/>
  <c r="CJ13" i="7" s="1"/>
  <c r="CJ14" i="7" s="1"/>
  <c r="CJ15" i="7" s="1"/>
  <c r="AV3" i="7"/>
  <c r="AV2" i="7"/>
  <c r="AV4" i="7"/>
  <c r="BZ16" i="3"/>
  <c r="BZ17" i="3" s="1"/>
  <c r="CA15" i="3"/>
  <c r="AW51" i="7"/>
  <c r="BR33" i="7"/>
  <c r="BP34" i="7"/>
  <c r="BN36" i="7"/>
  <c r="BN37" i="7" s="1"/>
  <c r="BN38" i="7" s="1"/>
  <c r="BO35" i="7"/>
  <c r="BW19" i="3"/>
  <c r="BW20" i="3" s="1"/>
  <c r="BW21" i="3" s="1"/>
  <c r="BB46" i="7"/>
  <c r="BS32" i="7"/>
  <c r="BU29" i="7"/>
  <c r="BT31" i="7"/>
  <c r="BW28" i="7"/>
  <c r="BR22" i="3"/>
  <c r="BQ23" i="3"/>
  <c r="AY49" i="7"/>
  <c r="CB13" i="3"/>
  <c r="CB14" i="3" s="1"/>
  <c r="BY18" i="3"/>
  <c r="BD44" i="7"/>
  <c r="BX27" i="7"/>
  <c r="BI40" i="7"/>
  <c r="CA25" i="7"/>
  <c r="AX50" i="7"/>
  <c r="BY26" i="7"/>
  <c r="BC45" i="7"/>
  <c r="AZ48" i="7"/>
  <c r="BH41" i="7"/>
  <c r="BG42" i="7"/>
  <c r="BE43" i="7"/>
  <c r="BM39" i="7"/>
  <c r="BA47" i="7"/>
  <c r="CB23" i="7" l="1"/>
  <c r="CB24" i="7" s="1"/>
  <c r="CB25" i="7" s="1"/>
  <c r="CE18" i="7"/>
  <c r="CF18" i="7" s="1"/>
  <c r="CC20" i="7"/>
  <c r="CC21" i="7" s="1"/>
  <c r="CC22" i="7" s="1"/>
  <c r="CD19" i="7"/>
  <c r="CE19" i="7" s="1"/>
  <c r="CA16" i="3"/>
  <c r="CH16" i="7"/>
  <c r="CB15" i="3"/>
  <c r="CB16" i="3" s="1"/>
  <c r="AX51" i="7"/>
  <c r="AX2" i="7" s="1"/>
  <c r="AW4" i="7"/>
  <c r="AW3" i="7"/>
  <c r="AW2" i="7"/>
  <c r="AX3" i="7"/>
  <c r="BO36" i="7"/>
  <c r="BO37" i="7" s="1"/>
  <c r="BO38" i="7" s="1"/>
  <c r="BP35" i="7"/>
  <c r="BQ34" i="7"/>
  <c r="BB47" i="7"/>
  <c r="BX19" i="3"/>
  <c r="BX20" i="3" s="1"/>
  <c r="BX21" i="3" s="1"/>
  <c r="BT32" i="7"/>
  <c r="BU30" i="7"/>
  <c r="BU31" i="7" s="1"/>
  <c r="BV29" i="7"/>
  <c r="BW29" i="7" s="1"/>
  <c r="BS33" i="7"/>
  <c r="BX28" i="7"/>
  <c r="CA17" i="3"/>
  <c r="CB17" i="3" s="1"/>
  <c r="BR23" i="3"/>
  <c r="BS22" i="3"/>
  <c r="CC13" i="3"/>
  <c r="BZ18" i="3"/>
  <c r="BE44" i="7"/>
  <c r="BZ26" i="7"/>
  <c r="CA26" i="7" s="1"/>
  <c r="BJ40" i="7"/>
  <c r="AY50" i="7"/>
  <c r="BF43" i="7"/>
  <c r="BH42" i="7"/>
  <c r="BA48" i="7"/>
  <c r="AZ49" i="7"/>
  <c r="BC46" i="7"/>
  <c r="BD45" i="7"/>
  <c r="BI41" i="7"/>
  <c r="BY27" i="7"/>
  <c r="BN39" i="7"/>
  <c r="CC23" i="7" l="1"/>
  <c r="CC24" i="7" s="1"/>
  <c r="AX4" i="7"/>
  <c r="CG18" i="7"/>
  <c r="CD20" i="7"/>
  <c r="CD21" i="7" s="1"/>
  <c r="CD22" i="7" s="1"/>
  <c r="CF19" i="7"/>
  <c r="CH17" i="7"/>
  <c r="CI16" i="7"/>
  <c r="BY19" i="3"/>
  <c r="BY20" i="3" s="1"/>
  <c r="BY21" i="3" s="1"/>
  <c r="BQ35" i="7"/>
  <c r="BR34" i="7"/>
  <c r="BP36" i="7"/>
  <c r="BV30" i="7"/>
  <c r="BW30" i="7" s="1"/>
  <c r="BT33" i="7"/>
  <c r="BU32" i="7"/>
  <c r="BV31" i="7"/>
  <c r="BY28" i="7"/>
  <c r="BX29" i="7"/>
  <c r="CA18" i="3"/>
  <c r="CB18" i="3" s="1"/>
  <c r="CB26" i="7"/>
  <c r="CC26" i="7" s="1"/>
  <c r="BT22" i="3"/>
  <c r="BS23" i="3"/>
  <c r="CC14" i="3"/>
  <c r="CC15" i="3" s="1"/>
  <c r="CC16" i="3" s="1"/>
  <c r="CD13" i="3"/>
  <c r="BE45" i="7"/>
  <c r="BF44" i="7"/>
  <c r="BO39" i="7"/>
  <c r="BG43" i="7"/>
  <c r="AY51" i="7"/>
  <c r="BJ41" i="7"/>
  <c r="BB48" i="7"/>
  <c r="BZ27" i="7"/>
  <c r="BC47" i="7"/>
  <c r="BA49" i="7"/>
  <c r="AZ50" i="7"/>
  <c r="BK40" i="7"/>
  <c r="BD46" i="7"/>
  <c r="BI42" i="7"/>
  <c r="CC25" i="7" l="1"/>
  <c r="CD23" i="7"/>
  <c r="CG19" i="7"/>
  <c r="BZ28" i="7"/>
  <c r="CA28" i="7" s="1"/>
  <c r="CE20" i="7"/>
  <c r="CE21" i="7" s="1"/>
  <c r="CE22" i="7" s="1"/>
  <c r="CH18" i="7"/>
  <c r="CI17" i="7"/>
  <c r="CJ16" i="7"/>
  <c r="AY2" i="7"/>
  <c r="AY4" i="7"/>
  <c r="AY3" i="7"/>
  <c r="BZ19" i="3"/>
  <c r="BZ20" i="3" s="1"/>
  <c r="BZ21" i="3" s="1"/>
  <c r="BR35" i="7"/>
  <c r="BQ36" i="7"/>
  <c r="BS34" i="7"/>
  <c r="BT34" i="7" s="1"/>
  <c r="BP37" i="7"/>
  <c r="BY29" i="7"/>
  <c r="CA27" i="7"/>
  <c r="CB27" i="7" s="1"/>
  <c r="BU33" i="7"/>
  <c r="BX30" i="7"/>
  <c r="BV32" i="7"/>
  <c r="BW31" i="7"/>
  <c r="CD26" i="7"/>
  <c r="BT23" i="3"/>
  <c r="BU22" i="3"/>
  <c r="BF45" i="7"/>
  <c r="CC17" i="3"/>
  <c r="CC18" i="3" s="1"/>
  <c r="CD14" i="3"/>
  <c r="CD15" i="3" s="1"/>
  <c r="CE13" i="3"/>
  <c r="BD47" i="7"/>
  <c r="BA50" i="7"/>
  <c r="BC48" i="7"/>
  <c r="BG44" i="7"/>
  <c r="BK41" i="7"/>
  <c r="AZ51" i="7"/>
  <c r="BJ42" i="7"/>
  <c r="BL40" i="7"/>
  <c r="BB49" i="7"/>
  <c r="BE46" i="7"/>
  <c r="BH43" i="7"/>
  <c r="CD24" i="7" l="1"/>
  <c r="CE23" i="7"/>
  <c r="BZ29" i="7"/>
  <c r="CA29" i="7" s="1"/>
  <c r="CF20" i="7"/>
  <c r="CF21" i="7" s="1"/>
  <c r="CF22" i="7" s="1"/>
  <c r="CF23" i="7" s="1"/>
  <c r="CH19" i="7"/>
  <c r="CJ17" i="7"/>
  <c r="CI18" i="7"/>
  <c r="CC27" i="7"/>
  <c r="CD27" i="7" s="1"/>
  <c r="CE27" i="7" s="1"/>
  <c r="AZ3" i="7"/>
  <c r="AZ4" i="7"/>
  <c r="AZ2" i="7"/>
  <c r="CA19" i="3"/>
  <c r="CA20" i="3" s="1"/>
  <c r="CA21" i="3" s="1"/>
  <c r="BV33" i="7"/>
  <c r="BU34" i="7"/>
  <c r="BS35" i="7"/>
  <c r="BT35" i="7" s="1"/>
  <c r="BQ37" i="7"/>
  <c r="BP38" i="7"/>
  <c r="BR36" i="7"/>
  <c r="BY30" i="7"/>
  <c r="BZ30" i="7" s="1"/>
  <c r="CB28" i="7"/>
  <c r="CC28" i="7" s="1"/>
  <c r="BX31" i="7"/>
  <c r="BW32" i="7"/>
  <c r="BE47" i="7"/>
  <c r="BV22" i="3"/>
  <c r="BU23" i="3"/>
  <c r="CD16" i="3"/>
  <c r="CE14" i="3"/>
  <c r="CE15" i="3" s="1"/>
  <c r="BA51" i="7"/>
  <c r="BD48" i="7"/>
  <c r="BL41" i="7"/>
  <c r="BB50" i="7"/>
  <c r="BH44" i="7"/>
  <c r="BG45" i="7"/>
  <c r="BF46" i="7"/>
  <c r="BI43" i="7"/>
  <c r="BM40" i="7"/>
  <c r="BN40" i="7" s="1"/>
  <c r="BK42" i="7"/>
  <c r="BC49" i="7"/>
  <c r="CE24" i="7" l="1"/>
  <c r="CF24" i="7" s="1"/>
  <c r="CD25" i="7"/>
  <c r="CG20" i="7"/>
  <c r="CG21" i="7" s="1"/>
  <c r="CG22" i="7" s="1"/>
  <c r="CG23" i="7" s="1"/>
  <c r="CI19" i="7"/>
  <c r="CJ18" i="7"/>
  <c r="CB19" i="3"/>
  <c r="CB20" i="3" s="1"/>
  <c r="BA2" i="7"/>
  <c r="BA3" i="7"/>
  <c r="BA4" i="7"/>
  <c r="CB21" i="3"/>
  <c r="BU35" i="7"/>
  <c r="BR37" i="7"/>
  <c r="BV34" i="7"/>
  <c r="BP39" i="7"/>
  <c r="BS36" i="7"/>
  <c r="BQ38" i="7"/>
  <c r="BY31" i="7"/>
  <c r="BZ31" i="7" s="1"/>
  <c r="CD28" i="7"/>
  <c r="CE28" i="7" s="1"/>
  <c r="BX32" i="7"/>
  <c r="CB29" i="7"/>
  <c r="CC29" i="7" s="1"/>
  <c r="BI44" i="7"/>
  <c r="CA30" i="7"/>
  <c r="CB30" i="7" s="1"/>
  <c r="BW33" i="7"/>
  <c r="BF47" i="7"/>
  <c r="BE48" i="7"/>
  <c r="BW22" i="3"/>
  <c r="BX22" i="3" s="1"/>
  <c r="BV23" i="3"/>
  <c r="CE16" i="3"/>
  <c r="CD17" i="3"/>
  <c r="CD18" i="3" s="1"/>
  <c r="BH45" i="7"/>
  <c r="BO40" i="7"/>
  <c r="BG46" i="7"/>
  <c r="BM41" i="7"/>
  <c r="BC50" i="7"/>
  <c r="BJ43" i="7"/>
  <c r="BB51" i="7"/>
  <c r="BL42" i="7"/>
  <c r="BD49" i="7"/>
  <c r="CH20" i="7" l="1"/>
  <c r="CI20" i="7" s="1"/>
  <c r="CG24" i="7"/>
  <c r="CE26" i="7"/>
  <c r="CF27" i="7" s="1"/>
  <c r="CE25" i="7"/>
  <c r="CJ19" i="7"/>
  <c r="CC19" i="3"/>
  <c r="CC20" i="3" s="1"/>
  <c r="CC21" i="3" s="1"/>
  <c r="CH21" i="7"/>
  <c r="CH22" i="7" s="1"/>
  <c r="CH23" i="7" s="1"/>
  <c r="BV35" i="7"/>
  <c r="BB3" i="7"/>
  <c r="BB4" i="7"/>
  <c r="BB2" i="7"/>
  <c r="BS37" i="7"/>
  <c r="BI45" i="7"/>
  <c r="BP40" i="7"/>
  <c r="BQ39" i="7"/>
  <c r="BR38" i="7"/>
  <c r="BT36" i="7"/>
  <c r="BU36" i="7" s="1"/>
  <c r="BW34" i="7"/>
  <c r="CD19" i="3"/>
  <c r="CD20" i="3" s="1"/>
  <c r="CD21" i="3" s="1"/>
  <c r="BX33" i="7"/>
  <c r="BY32" i="7"/>
  <c r="BZ32" i="7" s="1"/>
  <c r="CC30" i="7"/>
  <c r="CA31" i="7"/>
  <c r="BH46" i="7"/>
  <c r="BG47" i="7"/>
  <c r="BF48" i="7"/>
  <c r="BE49" i="7"/>
  <c r="BW23" i="3"/>
  <c r="BX23" i="3" s="1"/>
  <c r="BY22" i="3"/>
  <c r="BZ22" i="3" s="1"/>
  <c r="CE17" i="3"/>
  <c r="CE18" i="3" s="1"/>
  <c r="CD29" i="7"/>
  <c r="CE29" i="7" s="1"/>
  <c r="BK43" i="7"/>
  <c r="BC51" i="7"/>
  <c r="BJ44" i="7"/>
  <c r="BN41" i="7"/>
  <c r="CF28" i="7"/>
  <c r="BD50" i="7"/>
  <c r="BM42" i="7"/>
  <c r="CF26" i="7" l="1"/>
  <c r="CF25" i="7"/>
  <c r="CG25" i="7" s="1"/>
  <c r="CI21" i="7"/>
  <c r="CI22" i="7" s="1"/>
  <c r="CI23" i="7" s="1"/>
  <c r="CH24" i="7"/>
  <c r="CJ20" i="7"/>
  <c r="BV36" i="7"/>
  <c r="BI46" i="7"/>
  <c r="BQ40" i="7"/>
  <c r="BC2" i="7"/>
  <c r="BC4" i="7"/>
  <c r="BC3" i="7"/>
  <c r="BJ45" i="7"/>
  <c r="CA32" i="7"/>
  <c r="BW35" i="7"/>
  <c r="BR39" i="7"/>
  <c r="BT37" i="7"/>
  <c r="BS38" i="7"/>
  <c r="BX34" i="7"/>
  <c r="BY33" i="7"/>
  <c r="BZ33" i="7" s="1"/>
  <c r="CA33" i="7" s="1"/>
  <c r="CE19" i="3"/>
  <c r="CE20" i="3" s="1"/>
  <c r="CE21" i="3" s="1"/>
  <c r="CB31" i="7"/>
  <c r="CC31" i="7" s="1"/>
  <c r="CF29" i="7"/>
  <c r="BF49" i="7"/>
  <c r="BG48" i="7"/>
  <c r="BE50" i="7"/>
  <c r="BH47" i="7"/>
  <c r="BY23" i="3"/>
  <c r="BZ23" i="3" s="1"/>
  <c r="CA22" i="3"/>
  <c r="BK44" i="7"/>
  <c r="BL43" i="7"/>
  <c r="BN42" i="7"/>
  <c r="CG28" i="7"/>
  <c r="BD51" i="7"/>
  <c r="BO41" i="7"/>
  <c r="CD30" i="7"/>
  <c r="CG26" i="7" l="1"/>
  <c r="BJ46" i="7"/>
  <c r="CH25" i="7"/>
  <c r="BI47" i="7"/>
  <c r="CJ21" i="7"/>
  <c r="CJ22" i="7" s="1"/>
  <c r="CJ23" i="7" s="1"/>
  <c r="CI24" i="7"/>
  <c r="CH26" i="7"/>
  <c r="CG27" i="7"/>
  <c r="CI26" i="7"/>
  <c r="BT38" i="7"/>
  <c r="BR40" i="7"/>
  <c r="BD4" i="7"/>
  <c r="BD3" i="7"/>
  <c r="BD2" i="7"/>
  <c r="CD31" i="7"/>
  <c r="CG29" i="7"/>
  <c r="BK45" i="7"/>
  <c r="CB32" i="7"/>
  <c r="CB33" i="7" s="1"/>
  <c r="BF50" i="7"/>
  <c r="BE51" i="7"/>
  <c r="BX35" i="7"/>
  <c r="BU37" i="7"/>
  <c r="BW36" i="7"/>
  <c r="BS39" i="7"/>
  <c r="BY34" i="7"/>
  <c r="BG49" i="7"/>
  <c r="BH48" i="7"/>
  <c r="CA23" i="3"/>
  <c r="CB22" i="3"/>
  <c r="CH28" i="7"/>
  <c r="BL44" i="7"/>
  <c r="BO42" i="7"/>
  <c r="CE30" i="7"/>
  <c r="CF30" i="7" s="1"/>
  <c r="BP41" i="7"/>
  <c r="BM43" i="7"/>
  <c r="BH49" i="7" l="1"/>
  <c r="BK46" i="7"/>
  <c r="BJ47" i="7"/>
  <c r="CI25" i="7"/>
  <c r="CJ26" i="7" s="1"/>
  <c r="CC32" i="7"/>
  <c r="CC33" i="7" s="1"/>
  <c r="CH27" i="7"/>
  <c r="CI27" i="7" s="1"/>
  <c r="CJ24" i="7"/>
  <c r="BI48" i="7"/>
  <c r="BS40" i="7"/>
  <c r="BF51" i="7"/>
  <c r="BE2" i="7"/>
  <c r="BE4" i="7"/>
  <c r="BE3" i="7"/>
  <c r="CH29" i="7"/>
  <c r="BL45" i="7"/>
  <c r="BG50" i="7"/>
  <c r="BT39" i="7"/>
  <c r="BY35" i="7"/>
  <c r="BZ34" i="7"/>
  <c r="BV37" i="7"/>
  <c r="BW37" i="7" s="1"/>
  <c r="BX36" i="7"/>
  <c r="BU38" i="7"/>
  <c r="CB23" i="3"/>
  <c r="CC22" i="3"/>
  <c r="CD22" i="3" s="1"/>
  <c r="BM44" i="7"/>
  <c r="BN43" i="7"/>
  <c r="BO43" i="7" s="1"/>
  <c r="BP42" i="7"/>
  <c r="CG30" i="7"/>
  <c r="BQ41" i="7"/>
  <c r="BR41" i="7" s="1"/>
  <c r="CE31" i="7"/>
  <c r="BH50" i="7" l="1"/>
  <c r="CI28" i="7"/>
  <c r="CI29" i="7" s="1"/>
  <c r="BL46" i="7"/>
  <c r="BK47" i="7"/>
  <c r="CJ25" i="7"/>
  <c r="BI49" i="7"/>
  <c r="BS41" i="7"/>
  <c r="CJ27" i="7"/>
  <c r="BJ48" i="7"/>
  <c r="CD32" i="7"/>
  <c r="CD33" i="7" s="1"/>
  <c r="BG51" i="7"/>
  <c r="BG4" i="7" s="1"/>
  <c r="BT40" i="7"/>
  <c r="BF3" i="7"/>
  <c r="BF4" i="7"/>
  <c r="BF2" i="7"/>
  <c r="BM45" i="7"/>
  <c r="BZ35" i="7"/>
  <c r="BX37" i="7"/>
  <c r="CA34" i="7"/>
  <c r="CB34" i="7" s="1"/>
  <c r="BV38" i="7"/>
  <c r="BY36" i="7"/>
  <c r="BU39" i="7"/>
  <c r="CC23" i="3"/>
  <c r="CD23" i="3" s="1"/>
  <c r="CE22" i="3"/>
  <c r="BP43" i="7"/>
  <c r="BN44" i="7"/>
  <c r="BO44" i="7" s="1"/>
  <c r="CF31" i="7"/>
  <c r="CH30" i="7"/>
  <c r="BQ42" i="7"/>
  <c r="CJ28" i="7" l="1"/>
  <c r="CJ29" i="7" s="1"/>
  <c r="BL47" i="7"/>
  <c r="BM46" i="7"/>
  <c r="BI50" i="7"/>
  <c r="BJ49" i="7"/>
  <c r="BK48" i="7"/>
  <c r="BL48" i="7" s="1"/>
  <c r="BH51" i="7"/>
  <c r="BH3" i="7" s="1"/>
  <c r="BT41" i="7"/>
  <c r="CE32" i="7"/>
  <c r="CF32" i="7" s="1"/>
  <c r="BG2" i="7"/>
  <c r="BG3" i="7"/>
  <c r="BU40" i="7"/>
  <c r="BU41" i="7" s="1"/>
  <c r="CC34" i="7"/>
  <c r="CD34" i="7" s="1"/>
  <c r="BN45" i="7"/>
  <c r="CA35" i="7"/>
  <c r="CB35" i="7" s="1"/>
  <c r="BW38" i="7"/>
  <c r="BV39" i="7"/>
  <c r="BY37" i="7"/>
  <c r="BZ36" i="7"/>
  <c r="CA36" i="7" s="1"/>
  <c r="CE33" i="7"/>
  <c r="CE23" i="3"/>
  <c r="BQ43" i="7"/>
  <c r="BR42" i="7"/>
  <c r="BS42" i="7" s="1"/>
  <c r="BT42" i="7" s="1"/>
  <c r="CG31" i="7"/>
  <c r="BM47" i="7"/>
  <c r="CI30" i="7"/>
  <c r="BP44" i="7"/>
  <c r="BN46" i="7" l="1"/>
  <c r="BN47" i="7" s="1"/>
  <c r="BI51" i="7"/>
  <c r="BI2" i="7" s="1"/>
  <c r="BO45" i="7"/>
  <c r="BP45" i="7" s="1"/>
  <c r="BK49" i="7"/>
  <c r="BL49" i="7" s="1"/>
  <c r="BJ50" i="7"/>
  <c r="BH4" i="7"/>
  <c r="BH2" i="7"/>
  <c r="CB36" i="7"/>
  <c r="BV40" i="7"/>
  <c r="BV41" i="7" s="1"/>
  <c r="BI3" i="7"/>
  <c r="CE34" i="7"/>
  <c r="CC35" i="7"/>
  <c r="CD35" i="7" s="1"/>
  <c r="BW39" i="7"/>
  <c r="BX38" i="7"/>
  <c r="BZ37" i="7"/>
  <c r="CA37" i="7" s="1"/>
  <c r="CG32" i="7"/>
  <c r="CF33" i="7"/>
  <c r="BM48" i="7"/>
  <c r="BU42" i="7"/>
  <c r="BV42" i="7" s="1"/>
  <c r="CH31" i="7"/>
  <c r="BQ44" i="7"/>
  <c r="CJ30" i="7"/>
  <c r="BR43" i="7"/>
  <c r="BO46" i="7" l="1"/>
  <c r="BJ51" i="7"/>
  <c r="BJ2" i="7" s="1"/>
  <c r="BI4" i="7"/>
  <c r="BK50" i="7"/>
  <c r="BK51" i="7" s="1"/>
  <c r="BK2" i="7" s="1"/>
  <c r="BJ4" i="7"/>
  <c r="BW40" i="7"/>
  <c r="CC36" i="7"/>
  <c r="CD36" i="7" s="1"/>
  <c r="BW41" i="7"/>
  <c r="BJ3" i="7"/>
  <c r="CE35" i="7"/>
  <c r="CF34" i="7"/>
  <c r="BW42" i="7"/>
  <c r="BX39" i="7"/>
  <c r="BY38" i="7"/>
  <c r="BZ38" i="7" s="1"/>
  <c r="CB37" i="7"/>
  <c r="CG33" i="7"/>
  <c r="BP46" i="7"/>
  <c r="BN48" i="7"/>
  <c r="BM49" i="7"/>
  <c r="CH32" i="7"/>
  <c r="BO47" i="7"/>
  <c r="BR44" i="7"/>
  <c r="BQ45" i="7"/>
  <c r="BS43" i="7"/>
  <c r="CI31" i="7"/>
  <c r="BL50" i="7" l="1"/>
  <c r="BL51" i="7" s="1"/>
  <c r="CF35" i="7"/>
  <c r="BK4" i="7"/>
  <c r="BK3" i="7"/>
  <c r="CG34" i="7"/>
  <c r="BY39" i="7"/>
  <c r="BX40" i="7"/>
  <c r="CA38" i="7"/>
  <c r="CB38" i="7" s="1"/>
  <c r="CC37" i="7"/>
  <c r="BZ39" i="7"/>
  <c r="CA39" i="7" s="1"/>
  <c r="BP47" i="7"/>
  <c r="BQ46" i="7"/>
  <c r="CH33" i="7"/>
  <c r="CH34" i="7" s="1"/>
  <c r="BN49" i="7"/>
  <c r="BM50" i="7"/>
  <c r="CE36" i="7"/>
  <c r="CJ31" i="7"/>
  <c r="BR45" i="7"/>
  <c r="BT43" i="7"/>
  <c r="BU43" i="7" s="1"/>
  <c r="BO48" i="7"/>
  <c r="CI32" i="7"/>
  <c r="BS44" i="7"/>
  <c r="CG35" i="7" l="1"/>
  <c r="BL4" i="7"/>
  <c r="BL2" i="7"/>
  <c r="BL3" i="7"/>
  <c r="BQ47" i="7"/>
  <c r="CB39" i="7"/>
  <c r="BY40" i="7"/>
  <c r="BX41" i="7"/>
  <c r="CC38" i="7"/>
  <c r="CD37" i="7"/>
  <c r="BZ40" i="7"/>
  <c r="CA40" i="7" s="1"/>
  <c r="BR46" i="7"/>
  <c r="CH35" i="7"/>
  <c r="BN50" i="7"/>
  <c r="CF36" i="7"/>
  <c r="BM51" i="7"/>
  <c r="BV43" i="7"/>
  <c r="BW43" i="7" s="1"/>
  <c r="CI33" i="7"/>
  <c r="CI34" i="7" s="1"/>
  <c r="CJ32" i="7"/>
  <c r="BO49" i="7"/>
  <c r="BS45" i="7"/>
  <c r="BT44" i="7"/>
  <c r="BP48" i="7"/>
  <c r="BM4" i="7" l="1"/>
  <c r="BM2" i="7"/>
  <c r="BM3" i="7"/>
  <c r="BR47" i="7"/>
  <c r="CB40" i="7"/>
  <c r="CD38" i="7"/>
  <c r="CC39" i="7"/>
  <c r="BX42" i="7"/>
  <c r="BY41" i="7"/>
  <c r="BX43" i="7"/>
  <c r="CC40" i="7"/>
  <c r="CE37" i="7"/>
  <c r="CE38" i="7" s="1"/>
  <c r="CI35" i="7"/>
  <c r="CJ33" i="7"/>
  <c r="CJ34" i="7" s="1"/>
  <c r="BS46" i="7"/>
  <c r="BN51" i="7"/>
  <c r="CG36" i="7"/>
  <c r="CH36" i="7" s="1"/>
  <c r="BO50" i="7"/>
  <c r="BT45" i="7"/>
  <c r="BP49" i="7"/>
  <c r="BU44" i="7"/>
  <c r="BV44" i="7" s="1"/>
  <c r="BQ48" i="7"/>
  <c r="BN3" i="7" l="1"/>
  <c r="BN4" i="7"/>
  <c r="BN2" i="7"/>
  <c r="BS47" i="7"/>
  <c r="CD39" i="7"/>
  <c r="CE39" i="7" s="1"/>
  <c r="BZ41" i="7"/>
  <c r="CF37" i="7"/>
  <c r="BY42" i="7"/>
  <c r="CJ35" i="7"/>
  <c r="BT46" i="7"/>
  <c r="BT47" i="7" s="1"/>
  <c r="BU45" i="7"/>
  <c r="BW44" i="7"/>
  <c r="BX44" i="7" s="1"/>
  <c r="BQ49" i="7"/>
  <c r="BP50" i="7"/>
  <c r="BR48" i="7"/>
  <c r="CI36" i="7"/>
  <c r="BO51" i="7"/>
  <c r="BO4" i="7" l="1"/>
  <c r="BO2" i="7"/>
  <c r="BO3" i="7"/>
  <c r="CD40" i="7"/>
  <c r="CE40" i="7" s="1"/>
  <c r="CJ36" i="7"/>
  <c r="BP51" i="7"/>
  <c r="BU46" i="7"/>
  <c r="BU47" i="7" s="1"/>
  <c r="BZ42" i="7"/>
  <c r="BY43" i="7"/>
  <c r="BY44" i="7" s="1"/>
  <c r="CA41" i="7"/>
  <c r="CF38" i="7"/>
  <c r="CG37" i="7"/>
  <c r="CH37" i="7" s="1"/>
  <c r="BV45" i="7"/>
  <c r="BQ50" i="7"/>
  <c r="BS48" i="7"/>
  <c r="BT48" i="7" s="1"/>
  <c r="BR49" i="7"/>
  <c r="CA42" i="7" l="1"/>
  <c r="BP4" i="7"/>
  <c r="BP2" i="7"/>
  <c r="BP3" i="7"/>
  <c r="BQ51" i="7"/>
  <c r="BV46" i="7"/>
  <c r="BV47" i="7" s="1"/>
  <c r="CI37" i="7"/>
  <c r="CJ37" i="7" s="1"/>
  <c r="BZ43" i="7"/>
  <c r="CB41" i="7"/>
  <c r="CB42" i="7" s="1"/>
  <c r="CF39" i="7"/>
  <c r="CG38" i="7"/>
  <c r="CH38" i="7" s="1"/>
  <c r="CI38" i="7" s="1"/>
  <c r="BW45" i="7"/>
  <c r="BW46" i="7" s="1"/>
  <c r="BW47" i="7" s="1"/>
  <c r="BS49" i="7"/>
  <c r="BT49" i="7" s="1"/>
  <c r="BU48" i="7"/>
  <c r="BV48" i="7" s="1"/>
  <c r="BR50" i="7"/>
  <c r="CA43" i="7" l="1"/>
  <c r="BQ4" i="7"/>
  <c r="BQ2" i="7"/>
  <c r="BQ3" i="7"/>
  <c r="CB43" i="7"/>
  <c r="BZ44" i="7"/>
  <c r="CA44" i="7" s="1"/>
  <c r="CG39" i="7"/>
  <c r="CH39" i="7" s="1"/>
  <c r="CI39" i="7" s="1"/>
  <c r="CF40" i="7"/>
  <c r="CC41" i="7"/>
  <c r="CC42" i="7" s="1"/>
  <c r="CC43" i="7" s="1"/>
  <c r="BW48" i="7"/>
  <c r="BX45" i="7"/>
  <c r="BS50" i="7"/>
  <c r="BT50" i="7" s="1"/>
  <c r="CJ38" i="7"/>
  <c r="BU49" i="7"/>
  <c r="BR51" i="7"/>
  <c r="BR3" i="7" l="1"/>
  <c r="BR4" i="7"/>
  <c r="BR2" i="7"/>
  <c r="BY45" i="7"/>
  <c r="BX3" i="7"/>
  <c r="BX2" i="7"/>
  <c r="BX4" i="7"/>
  <c r="CB44" i="7"/>
  <c r="CC44" i="7" s="1"/>
  <c r="BU50" i="7"/>
  <c r="CG40" i="7"/>
  <c r="CH40" i="7" s="1"/>
  <c r="CJ39" i="7"/>
  <c r="CD41" i="7"/>
  <c r="BS51" i="7"/>
  <c r="BV49" i="7"/>
  <c r="BW49" i="7" s="1"/>
  <c r="BS4" i="7" l="1"/>
  <c r="BS3" i="7"/>
  <c r="BS2" i="7"/>
  <c r="BZ45" i="7"/>
  <c r="BY4" i="7"/>
  <c r="BY3" i="7"/>
  <c r="BY2" i="7"/>
  <c r="BT51" i="7"/>
  <c r="CI40" i="7"/>
  <c r="CJ40" i="7" s="1"/>
  <c r="CD42" i="7"/>
  <c r="CD43" i="7" s="1"/>
  <c r="CD44" i="7" s="1"/>
  <c r="CE41" i="7"/>
  <c r="CF41" i="7" s="1"/>
  <c r="BV50" i="7"/>
  <c r="BW50" i="7" s="1"/>
  <c r="BU51" i="7" l="1"/>
  <c r="BV51" i="7" s="1"/>
  <c r="BT4" i="7"/>
  <c r="BT3" i="7"/>
  <c r="BT2" i="7"/>
  <c r="CA45" i="7"/>
  <c r="BZ4" i="7"/>
  <c r="BZ2" i="7"/>
  <c r="BZ3" i="7"/>
  <c r="CB45" i="7"/>
  <c r="CE42" i="7"/>
  <c r="CG41" i="7"/>
  <c r="BW51" i="7" l="1"/>
  <c r="BV4" i="7"/>
  <c r="BV3" i="7"/>
  <c r="BV2" i="7"/>
  <c r="CB4" i="7"/>
  <c r="CB2" i="7"/>
  <c r="CB3" i="7"/>
  <c r="CA4" i="7"/>
  <c r="CA3" i="7"/>
  <c r="CA2" i="7"/>
  <c r="CC45" i="7"/>
  <c r="BU4" i="7"/>
  <c r="BU2" i="7"/>
  <c r="BU3" i="7"/>
  <c r="CH41" i="7"/>
  <c r="CI41" i="7" s="1"/>
  <c r="CJ41" i="7" s="1"/>
  <c r="CE43" i="7"/>
  <c r="CE44" i="7" s="1"/>
  <c r="CF42" i="7"/>
  <c r="CC3" i="7" l="1"/>
  <c r="CC2" i="7"/>
  <c r="CC4" i="7"/>
  <c r="CD45" i="7"/>
  <c r="BW4" i="7"/>
  <c r="BW2" i="7"/>
  <c r="BW3" i="7"/>
  <c r="CE45" i="7"/>
  <c r="CF43" i="7"/>
  <c r="CF44" i="7" s="1"/>
  <c r="CG42" i="7"/>
  <c r="CF45" i="7" l="1"/>
  <c r="CF3" i="7" s="1"/>
  <c r="CE2" i="7"/>
  <c r="CE3" i="7"/>
  <c r="CE4" i="7"/>
  <c r="CD4" i="7"/>
  <c r="CD2" i="7"/>
  <c r="CD3" i="7"/>
  <c r="CG43" i="7"/>
  <c r="CG44" i="7" s="1"/>
  <c r="CH42" i="7"/>
  <c r="CI42" i="7" s="1"/>
  <c r="CJ42" i="7" s="1"/>
  <c r="CG45" i="7" l="1"/>
  <c r="CG4" i="7" s="1"/>
  <c r="CF4" i="7"/>
  <c r="CF2" i="7"/>
  <c r="CH43" i="7"/>
  <c r="CH44" i="7" s="1"/>
  <c r="CH45" i="7" l="1"/>
  <c r="CH3" i="7" s="1"/>
  <c r="CG3" i="7"/>
  <c r="CG2" i="7"/>
  <c r="CI43" i="7"/>
  <c r="CJ43" i="7" s="1"/>
  <c r="CH2" i="7" l="1"/>
  <c r="CH4" i="7"/>
  <c r="CI44" i="7"/>
  <c r="CI45" i="7" s="1"/>
  <c r="CI2" i="7" l="1"/>
  <c r="CI4" i="7"/>
  <c r="CI3" i="7"/>
  <c r="CJ44" i="7"/>
  <c r="CJ45" i="7" s="1"/>
  <c r="CJ3" i="7" l="1"/>
  <c r="N3" i="7" s="1"/>
  <c r="CJ2" i="7"/>
  <c r="N2" i="7" s="1"/>
  <c r="CJ4" i="7"/>
  <c r="N4" i="7" s="1"/>
</calcChain>
</file>

<file path=xl/sharedStrings.xml><?xml version="1.0" encoding="utf-8"?>
<sst xmlns="http://schemas.openxmlformats.org/spreadsheetml/2006/main" count="2797" uniqueCount="1678">
  <si>
    <t xml:space="preserve">1001-TIJ01 </t>
  </si>
  <si>
    <t xml:space="preserve">1002-TIJ02 </t>
  </si>
  <si>
    <t xml:space="preserve">1003-TIJ03 </t>
  </si>
  <si>
    <t>1201-PFR01</t>
  </si>
  <si>
    <t>1202-PFR02</t>
  </si>
  <si>
    <t>ESTUF_F02</t>
  </si>
  <si>
    <t>1203-PFR03</t>
  </si>
  <si>
    <t>ESTUF_F03</t>
  </si>
  <si>
    <t>1204-PFR04</t>
  </si>
  <si>
    <t>1205-PFR05</t>
  </si>
  <si>
    <t>ELECF-05</t>
  </si>
  <si>
    <t>1206-PFR06</t>
  </si>
  <si>
    <t>ELECF-06</t>
  </si>
  <si>
    <t>1207-PFR07</t>
  </si>
  <si>
    <t>ELECF-07</t>
  </si>
  <si>
    <t xml:space="preserve">1208-PFR08 </t>
  </si>
  <si>
    <t xml:space="preserve">1209-PFR09 </t>
  </si>
  <si>
    <t>1210-PFR10</t>
  </si>
  <si>
    <t>1211-PFR11</t>
  </si>
  <si>
    <t>1212-PFR12</t>
  </si>
  <si>
    <t>ESTUF_F12</t>
  </si>
  <si>
    <t>1305-PR05</t>
  </si>
  <si>
    <t>1306-PR06</t>
  </si>
  <si>
    <t>1311-PEX11</t>
  </si>
  <si>
    <t>1313-PEX13</t>
  </si>
  <si>
    <t>1314-PEX14</t>
  </si>
  <si>
    <t>1315-PEX15</t>
  </si>
  <si>
    <t xml:space="preserve">1402-FAM02 </t>
  </si>
  <si>
    <t>1403-FAM03</t>
  </si>
  <si>
    <t>1431-REBAR</t>
  </si>
  <si>
    <t>1600-PU2CA</t>
  </si>
  <si>
    <t>1601-PUPER</t>
  </si>
  <si>
    <t>1611-PUCLA</t>
  </si>
  <si>
    <t>1621-PUTIR</t>
  </si>
  <si>
    <t>1811-LATIR</t>
  </si>
  <si>
    <t>ESTUF_LATIR</t>
  </si>
  <si>
    <t>1835-LAZUR</t>
  </si>
  <si>
    <t xml:space="preserve">2001-TER01 </t>
  </si>
  <si>
    <t xml:space="preserve">2002-TER02 </t>
  </si>
  <si>
    <t>2003-TER03</t>
  </si>
  <si>
    <t xml:space="preserve">2004-TER04 </t>
  </si>
  <si>
    <t xml:space="preserve">2005-TER05 </t>
  </si>
  <si>
    <t>2006-TER06</t>
  </si>
  <si>
    <t>2007-TER07</t>
  </si>
  <si>
    <t>2008-TER08</t>
  </si>
  <si>
    <t>2303-TERTUE</t>
  </si>
  <si>
    <t>2601-AVETUE</t>
  </si>
  <si>
    <t>2501-TDR01</t>
  </si>
  <si>
    <t>2401-RBTUE</t>
  </si>
  <si>
    <t>2701-PELTZ</t>
  </si>
  <si>
    <t>2702-PELTZ</t>
  </si>
  <si>
    <t>3421-SOLD</t>
  </si>
  <si>
    <t>3601-CORPU</t>
  </si>
  <si>
    <t>3801-TORPR</t>
  </si>
  <si>
    <t xml:space="preserve">4201-SIECIR </t>
  </si>
  <si>
    <t>4221-SIERR</t>
  </si>
  <si>
    <t>4401-HOR01</t>
  </si>
  <si>
    <t>6018-ZINCAR</t>
  </si>
  <si>
    <t>6022-EMPL</t>
  </si>
  <si>
    <t>AVELLANADORA TUERCAS</t>
  </si>
  <si>
    <t>CORTADORA PUNTAS</t>
  </si>
  <si>
    <t>EMPLOMADO</t>
  </si>
  <si>
    <t>FAMAE - 02</t>
  </si>
  <si>
    <t>FAMAE - 03</t>
  </si>
  <si>
    <t>HORNO - 01</t>
  </si>
  <si>
    <t>ESTUF_LAMIN</t>
  </si>
  <si>
    <t>PELTZER - 01</t>
  </si>
  <si>
    <t>PR - 05</t>
  </si>
  <si>
    <t>PR - 06</t>
  </si>
  <si>
    <t>PRENSA EX - 11</t>
  </si>
  <si>
    <t>PRENSA EX - 12</t>
  </si>
  <si>
    <t>PRENSA EX - 13</t>
  </si>
  <si>
    <t>PRENSA EX - 14</t>
  </si>
  <si>
    <t>PRENSA EX - 15</t>
  </si>
  <si>
    <t>PRENSA FR - 01</t>
  </si>
  <si>
    <t>PRENSA FR - 02</t>
  </si>
  <si>
    <t>PRENSA FR - 03</t>
  </si>
  <si>
    <t>PRENSA FR - 04</t>
  </si>
  <si>
    <t>PRENSA FR - 05</t>
  </si>
  <si>
    <t>PRENSA FR - 06</t>
  </si>
  <si>
    <t>PRENSA FR - 07</t>
  </si>
  <si>
    <t>PRENSA FR - 08</t>
  </si>
  <si>
    <t>PRENSA FR - 09</t>
  </si>
  <si>
    <t>PRENSA FR - 10</t>
  </si>
  <si>
    <t>PRENSA FR - 11</t>
  </si>
  <si>
    <t>PRENSA FR - 12</t>
  </si>
  <si>
    <t>PUNTEADORA CLAVOS</t>
  </si>
  <si>
    <t>REBARBADORA TUERCAS</t>
  </si>
  <si>
    <t>SIERRA CIRCULAR</t>
  </si>
  <si>
    <t>SOLDADO</t>
  </si>
  <si>
    <t>TERRAJADORA TUERCAS</t>
  </si>
  <si>
    <t>TIJERA - 01</t>
  </si>
  <si>
    <t>TIJERA - 02</t>
  </si>
  <si>
    <t>TIJERA UNIVERSAL</t>
  </si>
  <si>
    <t>TORNO PRODUCCION</t>
  </si>
  <si>
    <t>TORTUGA</t>
  </si>
  <si>
    <t>ZINCADO</t>
  </si>
  <si>
    <t>1312-PELS</t>
  </si>
  <si>
    <t>TALADRO - 01</t>
  </si>
  <si>
    <t>PELTZER - 02</t>
  </si>
  <si>
    <t>2501-TDR02</t>
  </si>
  <si>
    <t>TDR BAUKER</t>
  </si>
  <si>
    <t>INGLETADORA</t>
  </si>
  <si>
    <t>PRODUCTO</t>
  </si>
  <si>
    <t>OT REFERENCIA</t>
  </si>
  <si>
    <t>CODIGO</t>
  </si>
  <si>
    <t>PESO</t>
  </si>
  <si>
    <t>MATERIA PRIMA</t>
  </si>
  <si>
    <t xml:space="preserve">PESO ARMADO </t>
  </si>
  <si>
    <t>FAMILIA</t>
  </si>
  <si>
    <t>MAQUINA</t>
  </si>
  <si>
    <t>Abrazadera 1/2x10.1/2</t>
  </si>
  <si>
    <t>7003216101-2</t>
  </si>
  <si>
    <t>1020 1/2</t>
  </si>
  <si>
    <t>ABRAZADERAS  GV F</t>
  </si>
  <si>
    <t>Abrazadera 1/2x13</t>
  </si>
  <si>
    <t>7003216059-8</t>
  </si>
  <si>
    <t>Abrazadera 1/2x9.1/2</t>
  </si>
  <si>
    <t>7003216051-2</t>
  </si>
  <si>
    <t>Abrazadera 1/2x12.1/2</t>
  </si>
  <si>
    <t>7003216076-8</t>
  </si>
  <si>
    <t>Abrazadera 5/8x10.1/2</t>
  </si>
  <si>
    <t>7003220101-4</t>
  </si>
  <si>
    <t>1020 5/8</t>
  </si>
  <si>
    <t>Abrazadera 5/8x9.1/2</t>
  </si>
  <si>
    <t>7003220051-4</t>
  </si>
  <si>
    <t>Abrazadera 5/8x390</t>
  </si>
  <si>
    <t>7003200305-0</t>
  </si>
  <si>
    <t>Abrazadera Curva 1/2x8x5.1/2</t>
  </si>
  <si>
    <t>7003200080-9</t>
  </si>
  <si>
    <t>Abrazadera Curva BT 5/8x8</t>
  </si>
  <si>
    <t>7003220096-4</t>
  </si>
  <si>
    <t>Abrazadera Curva AT 5/8x8.1/2</t>
  </si>
  <si>
    <t>Abrazadera p/Cruceta 1/2x280x127x65</t>
  </si>
  <si>
    <t>7003216077-6</t>
  </si>
  <si>
    <t>Abrazadera p/Cruceta 1/2x400x324x127</t>
  </si>
  <si>
    <t>7003216075-K</t>
  </si>
  <si>
    <t>Abrazadera p/Cruceta 1/2x410x370x127</t>
  </si>
  <si>
    <t>7003216078-4</t>
  </si>
  <si>
    <t>Abrazadera p/Cruceta Paso Esp 1/2x280x335x127</t>
  </si>
  <si>
    <t>7003200140-6</t>
  </si>
  <si>
    <t>Abrazadera p/Cruceta Paso Esp 5/8x280x335x127</t>
  </si>
  <si>
    <t>7003200150-3</t>
  </si>
  <si>
    <t>Abrazadera p/Cruceta BT 5/8x9.1/2x8.1/4x6.1/2H</t>
  </si>
  <si>
    <t>7003220052-2</t>
  </si>
  <si>
    <t>Abrazadera U p/Cruceta 5/8x300x450x100H</t>
  </si>
  <si>
    <t>7003200300-K</t>
  </si>
  <si>
    <t>Adaptador p/Espiga Punta Poste</t>
  </si>
  <si>
    <t>8721200110-2</t>
  </si>
  <si>
    <t>OTROS PRODUCTOS GV F</t>
  </si>
  <si>
    <t>Ancla 1x1</t>
  </si>
  <si>
    <t>9821911140-1</t>
  </si>
  <si>
    <t>OTROS PRODUCTOS NG C</t>
  </si>
  <si>
    <t>Ancla Mural Tipo A</t>
  </si>
  <si>
    <t>9821510100-2</t>
  </si>
  <si>
    <t>OTROS PRODUCTOS GV C</t>
  </si>
  <si>
    <t>Anclaje p/Tirante a Poste Mozo</t>
  </si>
  <si>
    <t>9821900620-9</t>
  </si>
  <si>
    <t>Aletas p/Soporte Rack 32x5x97mm</t>
  </si>
  <si>
    <t>6000100020-1</t>
  </si>
  <si>
    <t>Aletas p/Soporte de Paso 8 Aletas 38x5x105mm</t>
  </si>
  <si>
    <t>6000100025-2</t>
  </si>
  <si>
    <t>Arranque 38x5x427</t>
  </si>
  <si>
    <t>9821911130-4</t>
  </si>
  <si>
    <t>Barra Lisa Tomatierra 1/2x7000</t>
  </si>
  <si>
    <t>7405216100-6</t>
  </si>
  <si>
    <t>Barra Ojo 3/4x2,40mtrs</t>
  </si>
  <si>
    <t>7400200310-8</t>
  </si>
  <si>
    <t>BARRAS OJO GV C</t>
  </si>
  <si>
    <t>Barra Ojo 3/4x3,20mtrs</t>
  </si>
  <si>
    <t>7400200312-4</t>
  </si>
  <si>
    <t>Barra Ojo 5/8x1.30mtrs</t>
  </si>
  <si>
    <t>7401200008-5</t>
  </si>
  <si>
    <t>Barra Ojo 5/8x1,80mtrs</t>
  </si>
  <si>
    <t>7401200010-7</t>
  </si>
  <si>
    <t>Barra Ojo 5/8x2,25mtrs</t>
  </si>
  <si>
    <t>7401200025-5</t>
  </si>
  <si>
    <t>Barra Ojo 5/8x2,40mtrs</t>
  </si>
  <si>
    <t>7401200030-1</t>
  </si>
  <si>
    <t>Barra Ojo 7/8x2,40mtrs</t>
  </si>
  <si>
    <t>7400200400-7</t>
  </si>
  <si>
    <t>Barra Ojo Soldado 7/8x2,70mtrs</t>
  </si>
  <si>
    <t>7400200450-3</t>
  </si>
  <si>
    <t>Barra Ojo Soldado 7/8x3,20mtrs</t>
  </si>
  <si>
    <t>7400200255-1</t>
  </si>
  <si>
    <t>Barra Ojo C/Guardacabo 5/8x2,0</t>
  </si>
  <si>
    <t>7404200010-1</t>
  </si>
  <si>
    <t>Barra Ojo Soldado 3/4x2.40mtrs</t>
  </si>
  <si>
    <t>Barra Ojo Soldado 3/4x2.94mtrs</t>
  </si>
  <si>
    <t>7400200311-6</t>
  </si>
  <si>
    <t>1020 3/4</t>
  </si>
  <si>
    <t>Barra Ojo Soldado 3/4x3,0mtrs</t>
  </si>
  <si>
    <t>7401200050-6</t>
  </si>
  <si>
    <t>Brazo Horizontal 50x50x120</t>
  </si>
  <si>
    <t>A800210108-5</t>
  </si>
  <si>
    <t>Brazo Horizontal 50x50x190</t>
  </si>
  <si>
    <t>A800210109-3</t>
  </si>
  <si>
    <t>50x5</t>
  </si>
  <si>
    <t>Brazo Horizontal 50x50x240</t>
  </si>
  <si>
    <t>A800210110-7</t>
  </si>
  <si>
    <t>50x6</t>
  </si>
  <si>
    <t>Brazo Lateral Tipo L 690x950x5 Coopelan</t>
  </si>
  <si>
    <t>A800210107-7</t>
  </si>
  <si>
    <t>Brazo Lateral c/Refuerzo 690x950x6 Coopelan</t>
  </si>
  <si>
    <t>A800210116-6</t>
  </si>
  <si>
    <t>Brazo Soporte p/Caja Blindada 750x500x150</t>
  </si>
  <si>
    <t>A800210192-1</t>
  </si>
  <si>
    <t>Brazo Tipo L 622x650mm 23kV</t>
  </si>
  <si>
    <t>A800210179-K</t>
  </si>
  <si>
    <t>Brazo Tipo L Copelec 40x600x440</t>
  </si>
  <si>
    <t>A800210187-5</t>
  </si>
  <si>
    <t>Brazo Tipo L Copelec 50x1190x610</t>
  </si>
  <si>
    <t>A800210188-9</t>
  </si>
  <si>
    <t>Brida 3 pernos Perf. Cuadrada 45x10x120 CNT</t>
  </si>
  <si>
    <t>7500200065-2</t>
  </si>
  <si>
    <t>BRIDAS GV F</t>
  </si>
  <si>
    <t>Brida 3 pernos Perf. Redonda 45x10x120 CNT</t>
  </si>
  <si>
    <t>7500200060-1</t>
  </si>
  <si>
    <t>Brida 3 pernos Perforación Ovalada</t>
  </si>
  <si>
    <t>7500200015-6</t>
  </si>
  <si>
    <t>Brida 3 pernos Perforación Redonda</t>
  </si>
  <si>
    <t>7500200020-2</t>
  </si>
  <si>
    <t xml:space="preserve">Brida Cruce mensajero perf. Redonda </t>
  </si>
  <si>
    <t>7500200050-4</t>
  </si>
  <si>
    <t>BRIDAS GV C</t>
  </si>
  <si>
    <t>Brida Cruce mensajero perf. Ovalada</t>
  </si>
  <si>
    <t>7500200045-8</t>
  </si>
  <si>
    <t>Brida Inferior 1 Perno t/CTC</t>
  </si>
  <si>
    <t>7500200030-K</t>
  </si>
  <si>
    <t>Brida Inferior 1 perno t/Entel</t>
  </si>
  <si>
    <t>7500200182-9</t>
  </si>
  <si>
    <t>Brida Inferior 2 pernos</t>
  </si>
  <si>
    <t>7500200040-7</t>
  </si>
  <si>
    <t xml:space="preserve">Brida Inferior Multicable </t>
  </si>
  <si>
    <t>7500200130-6</t>
  </si>
  <si>
    <t>Brida Inferior Multicable 4mm</t>
  </si>
  <si>
    <t>7500200136-5</t>
  </si>
  <si>
    <t>Brida Inferior Suj. Doble 3 pernos</t>
  </si>
  <si>
    <t>7500200135-7</t>
  </si>
  <si>
    <t>Brida Suj. Plana 1 Perno perf. Redonda</t>
  </si>
  <si>
    <t>7500200014-8</t>
  </si>
  <si>
    <t>Brida Suj. Plana 1 Perno perf. Ovalada</t>
  </si>
  <si>
    <t>7500200013-K</t>
  </si>
  <si>
    <t>Brida Superior 1 Perno t/CTC</t>
  </si>
  <si>
    <t>7500200025-3</t>
  </si>
  <si>
    <t>Brida Superior 1 Perno T/Entel</t>
  </si>
  <si>
    <t>7500200180-2</t>
  </si>
  <si>
    <t>Brida Superior 2 Pernos</t>
  </si>
  <si>
    <t>7500200035-0</t>
  </si>
  <si>
    <t>Brida Superior Multicable</t>
  </si>
  <si>
    <t>7500200131-4</t>
  </si>
  <si>
    <t>Brida Superior Multicable 4mm</t>
  </si>
  <si>
    <t>7500200137-3</t>
  </si>
  <si>
    <t>Brida Superior Suj. Doble 3 pernos</t>
  </si>
  <si>
    <t>7500200143-8</t>
  </si>
  <si>
    <t>Camisa Plomo p/Per Expan 1/2x38mm</t>
  </si>
  <si>
    <t>6000100350-2</t>
  </si>
  <si>
    <t>Canal Adaptadar p/Brazo Antibalanceo 65x40x5</t>
  </si>
  <si>
    <t>6000100040-6</t>
  </si>
  <si>
    <t>Cáncamo p/Madera 5/16x110x50mm</t>
  </si>
  <si>
    <t>9823110010-5</t>
  </si>
  <si>
    <t>Cáncamo 1/2x100 GV</t>
  </si>
  <si>
    <t>9823116020-5</t>
  </si>
  <si>
    <t>Cancamo 1/2x100 ZN</t>
  </si>
  <si>
    <t>9821916020-8</t>
  </si>
  <si>
    <t>Cáncamo 1/2x120 GV</t>
  </si>
  <si>
    <t>9823116030-2</t>
  </si>
  <si>
    <t>Cáncamo 1/2x120 ZN</t>
  </si>
  <si>
    <t>9821916030-5</t>
  </si>
  <si>
    <t>Cápsula de Plomo Cañería 1/2</t>
  </si>
  <si>
    <t>OTROS PRODUCTOS NG F</t>
  </si>
  <si>
    <t>Chavetas Zinc 1/8x1</t>
  </si>
  <si>
    <t>5600304016-5</t>
  </si>
  <si>
    <t>Chavetas Zinc 1/8x1.1/2</t>
  </si>
  <si>
    <t>5600304024-6</t>
  </si>
  <si>
    <t>Chavetas Zinc 1/8x1.1/4</t>
  </si>
  <si>
    <t>5600304020-3</t>
  </si>
  <si>
    <t>Chavetas Zinc 5/32x1.1/4</t>
  </si>
  <si>
    <t>5601305020-7</t>
  </si>
  <si>
    <t>Cincel Recto 5/8x343</t>
  </si>
  <si>
    <t>6000170010-6</t>
  </si>
  <si>
    <t>Clavicote 1/2xM220 NG</t>
  </si>
  <si>
    <t>5822016130-5</t>
  </si>
  <si>
    <t>Clavicote 1/2x8 NG Pta plana</t>
  </si>
  <si>
    <t>5823016130-3</t>
  </si>
  <si>
    <t>Clavicote Estriado Pta.Piramidal 1/2x250</t>
  </si>
  <si>
    <t>5823016140-0</t>
  </si>
  <si>
    <t>Clavo riel FFCC 5/8x4</t>
  </si>
  <si>
    <t>5422020064-K</t>
  </si>
  <si>
    <t>CLAVO RIELERO NG C</t>
  </si>
  <si>
    <t>Clavo riel FFCC 5/8x5</t>
  </si>
  <si>
    <t>5422020080-1</t>
  </si>
  <si>
    <t>Clavo riel FFCC 9/16x4.1/2</t>
  </si>
  <si>
    <t>5422018072-K</t>
  </si>
  <si>
    <t>Clavo riel NA 9/16x4.1/2</t>
  </si>
  <si>
    <t>5421020072-2</t>
  </si>
  <si>
    <t>Clavo riel NA 5/8x5</t>
  </si>
  <si>
    <t>5421020080-3</t>
  </si>
  <si>
    <t>Clavo riel NA 5/8x6</t>
  </si>
  <si>
    <t>5421020096-K</t>
  </si>
  <si>
    <t>Clip p/Prensa Conexión a tierra</t>
  </si>
  <si>
    <t>A402200010-7</t>
  </si>
  <si>
    <t>Complemento Elemento Montaje (Cubo)</t>
  </si>
  <si>
    <t>9821830100-2</t>
  </si>
  <si>
    <t>Cruceta BTAT 65x65x5x500-18</t>
  </si>
  <si>
    <t>8020210101-5</t>
  </si>
  <si>
    <t>CRUCETAS TELEFONICAS GV F</t>
  </si>
  <si>
    <t>Cruceta BTAT 65x65x6x500-18</t>
  </si>
  <si>
    <t>8020210100-7</t>
  </si>
  <si>
    <t>Cruceta BTAT 65x65x6x500 Am/Rey</t>
  </si>
  <si>
    <t>8020530101-5</t>
  </si>
  <si>
    <t>Cruceta BTAT 65x65x6x500 Az/Rojo</t>
  </si>
  <si>
    <t>8020530105-8</t>
  </si>
  <si>
    <t>Cruceta BTAT 65x65x6x575-18 Az/Rojo</t>
  </si>
  <si>
    <t>8020530107-4</t>
  </si>
  <si>
    <t>Cruceta BTAT 65x65x6x575</t>
  </si>
  <si>
    <t>8020210103-1</t>
  </si>
  <si>
    <t>Cruceta Extra Larga 50x50x4x965 Lila</t>
  </si>
  <si>
    <t>8020515100-5</t>
  </si>
  <si>
    <t>Cruceta Extra Larga 50x50x4x965 GV</t>
  </si>
  <si>
    <t>8020515101-3</t>
  </si>
  <si>
    <t>Cruceta Extra Larga 50x50x5x1489 GV t/GTD</t>
  </si>
  <si>
    <t>8020540055-2</t>
  </si>
  <si>
    <t>Cruceta Extra Larga 65x65x5x965 GV</t>
  </si>
  <si>
    <t>8020215118-7</t>
  </si>
  <si>
    <t>Cruceta Extra Larga 65x65x6x965 Am/Rey</t>
  </si>
  <si>
    <t>8020515125-0</t>
  </si>
  <si>
    <t>Cruceta Extra Larga 65x65x6x965 Az/Rojo</t>
  </si>
  <si>
    <t>8020515126-9</t>
  </si>
  <si>
    <t>Cruceta Extra Larga 65x65x6x965 GV</t>
  </si>
  <si>
    <t>8020215120-9</t>
  </si>
  <si>
    <t>Cruceta Remate p/Riostra 65x65x6x540 GV</t>
  </si>
  <si>
    <t>8020210175-9</t>
  </si>
  <si>
    <t>Cruceta de Paso 50x50x5x550-14 HOR</t>
  </si>
  <si>
    <t>8020210106-6</t>
  </si>
  <si>
    <t>Cruceta de Paso 50x50x5x550-14 TUB</t>
  </si>
  <si>
    <t>8020210105-8</t>
  </si>
  <si>
    <t>Cruceta de Paso 50X50X5x650-14 HOR</t>
  </si>
  <si>
    <t>8020210109-0</t>
  </si>
  <si>
    <t>Cruceta de Paso 50x50x5x700-14 HOR</t>
  </si>
  <si>
    <t>8020210107-4</t>
  </si>
  <si>
    <t>Cruceta Paso Ova 40x40x4x500</t>
  </si>
  <si>
    <t>8020210063-9</t>
  </si>
  <si>
    <t>Cruceta Paso Ova 40x40x4x500 Lila</t>
  </si>
  <si>
    <t>8020510040-0</t>
  </si>
  <si>
    <t>Cruceta Paso Ova 50x50x4x500-14 GV</t>
  </si>
  <si>
    <t>8020210078-7</t>
  </si>
  <si>
    <t>Cruceta Paso Ova 50x50x4x500-18 GV</t>
  </si>
  <si>
    <t>8020210075-2</t>
  </si>
  <si>
    <t>Cruceta Paso Ova 50x50x4x500-14 V/O</t>
  </si>
  <si>
    <t>8020510080-K</t>
  </si>
  <si>
    <t>Cruceta Paso Ova 50x50x5x500-14 GV</t>
  </si>
  <si>
    <t>8020210097-3</t>
  </si>
  <si>
    <t>Cruceta Paso Ova 50x50x4x510-18 GV</t>
  </si>
  <si>
    <t>8020210090-6</t>
  </si>
  <si>
    <t>Cruceta Paso Especial 50x50x6x650</t>
  </si>
  <si>
    <t>8020210228-3</t>
  </si>
  <si>
    <t>Cruceta Pletina 1/4x1.1/2x16.1/4 Az/Rojo</t>
  </si>
  <si>
    <t>8020520126-6</t>
  </si>
  <si>
    <t>Cruceta Pletina 1/4x1.1/2x16.1/4 GV</t>
  </si>
  <si>
    <t>8020220100-1</t>
  </si>
  <si>
    <t>Cruceta Pletina 1/4x1.1/2x16.1/4 Lila</t>
  </si>
  <si>
    <t>8020520120-7</t>
  </si>
  <si>
    <t>Cruceta Remate Final 65x65x5x500</t>
  </si>
  <si>
    <t>8020210138-4</t>
  </si>
  <si>
    <t>Cruceta Remate Final 65x65x6x500</t>
  </si>
  <si>
    <t>8020210140-6</t>
  </si>
  <si>
    <t>Cruceta Remate Final 65x65x6x500 Am/Rey</t>
  </si>
  <si>
    <t>8020510089-3</t>
  </si>
  <si>
    <t>Cruceta Remate Final 65x65x6x500 Az/Rojo</t>
  </si>
  <si>
    <t>8020530108-2</t>
  </si>
  <si>
    <t>Cruceta Remate Final 65x65x6x575 GV</t>
  </si>
  <si>
    <t>8020210141-4</t>
  </si>
  <si>
    <t>Cruceta Remate Final 65x65x6x575-18 Az/Rojo</t>
  </si>
  <si>
    <t>8020530115-5</t>
  </si>
  <si>
    <t>Cruceta Remate Final 50x50x4x500-14</t>
  </si>
  <si>
    <t>8020210120-1</t>
  </si>
  <si>
    <t>Cruceta Remate Final 50x50x5x500-14 RET</t>
  </si>
  <si>
    <t>8020210134-1</t>
  </si>
  <si>
    <t>Cruceta Remate Final 50x50x5x550-14 HOR</t>
  </si>
  <si>
    <t>8020210137-6</t>
  </si>
  <si>
    <t>Cruceta Remate Final 50x50x5x550-14 TUB</t>
  </si>
  <si>
    <t>8020210136-8</t>
  </si>
  <si>
    <t>Cruceta Remate Final 50x50x5x700-14 HOR</t>
  </si>
  <si>
    <t>8020210139-2</t>
  </si>
  <si>
    <t>Cruceta Remate Final Oval 50x50x4x500-18</t>
  </si>
  <si>
    <t>8020210125-2</t>
  </si>
  <si>
    <t>Cruceta Riostra 50x50x4x375</t>
  </si>
  <si>
    <t>8020540053-6</t>
  </si>
  <si>
    <t>Cruceta Riostra 65x65x5x375</t>
  </si>
  <si>
    <t>8020210173-2</t>
  </si>
  <si>
    <t>Cruceta Riostra 65x65x6x375</t>
  </si>
  <si>
    <t>8020540054-4</t>
  </si>
  <si>
    <t>Cubo p/Ext. Metalica 1,60Mts  80x80x5x110</t>
  </si>
  <si>
    <t>9823000100-6</t>
  </si>
  <si>
    <t>Cuerpo Guardacabo 5/8x102</t>
  </si>
  <si>
    <t>9822600005-4</t>
  </si>
  <si>
    <t>Cuerpo Guardacabo 5/8x119</t>
  </si>
  <si>
    <t>9822600015-1</t>
  </si>
  <si>
    <t>Cuerpo p/Soporte Preformado</t>
  </si>
  <si>
    <t>A800200169-2</t>
  </si>
  <si>
    <t>Cuerpo Prensa Conexión a tierra</t>
  </si>
  <si>
    <t>A402200005-0</t>
  </si>
  <si>
    <t>Diagonal L 50x50x5x1710</t>
  </si>
  <si>
    <t>9822210285-5</t>
  </si>
  <si>
    <t>DIAGONALES GV F</t>
  </si>
  <si>
    <t>Diagonal L 50x50x6x1455</t>
  </si>
  <si>
    <t>9822200230-3</t>
  </si>
  <si>
    <t>Diagonal L 50x50x6x935</t>
  </si>
  <si>
    <t>9822210290-1</t>
  </si>
  <si>
    <t>Diagonal Pletina 39" 32x5x990mm</t>
  </si>
  <si>
    <t>9820510148-9</t>
  </si>
  <si>
    <t>Diagonal Pletina 39" 32x5x990mm Lila</t>
  </si>
  <si>
    <t>9820510140-3</t>
  </si>
  <si>
    <t>Diagonal especial 40x40x4x990mm A/R</t>
  </si>
  <si>
    <t>9820510149-7</t>
  </si>
  <si>
    <t>Diagonal p/Cruceta Madera 40x40x5x1830</t>
  </si>
  <si>
    <t>9822210280-4</t>
  </si>
  <si>
    <t>Diagonal p/Cruc Cantilever 50x50x5x1830</t>
  </si>
  <si>
    <t>9822210321-5</t>
  </si>
  <si>
    <t>Diagonal P/Refuerzo 50x8x1035</t>
  </si>
  <si>
    <t>9822210340-1</t>
  </si>
  <si>
    <t>Eje p/Carretilla 19,93x285</t>
  </si>
  <si>
    <t>6000124100-4</t>
  </si>
  <si>
    <t>Eje p/Carretilla 19,93x285mm</t>
  </si>
  <si>
    <t>6000104100-5</t>
  </si>
  <si>
    <t>Elemento Montaje p/Desconec. By-pass</t>
  </si>
  <si>
    <t>9821840000-0</t>
  </si>
  <si>
    <t>Empalme 38x5x150</t>
  </si>
  <si>
    <t>9821911120-7</t>
  </si>
  <si>
    <t>Escalines 3/4x283x183mm</t>
  </si>
  <si>
    <t>9821410100-9</t>
  </si>
  <si>
    <t>Escuadra Montaje Descon. Aereo</t>
  </si>
  <si>
    <t>9822510200-7</t>
  </si>
  <si>
    <t>Escuadra Unión 50x80x370mm</t>
  </si>
  <si>
    <t>9822510120-5</t>
  </si>
  <si>
    <t>Eslabón Angular Estampado perf.18</t>
  </si>
  <si>
    <t>9822420010-2</t>
  </si>
  <si>
    <t>ESLABONES GV C</t>
  </si>
  <si>
    <t>Eslabón Angular p/Tirante perf.14</t>
  </si>
  <si>
    <t>9822410108-2</t>
  </si>
  <si>
    <t>Eslabón Angular p/Tirante perf.18</t>
  </si>
  <si>
    <t>9822410110-4</t>
  </si>
  <si>
    <t>Eslabón Angular p/Tirante perf.21</t>
  </si>
  <si>
    <t>9822410170-8</t>
  </si>
  <si>
    <t>Eslabón Angular c/Pletina Soldada perf. 21</t>
  </si>
  <si>
    <t>9822410160-0</t>
  </si>
  <si>
    <t>Eslabón Simple 12mm</t>
  </si>
  <si>
    <t>9822410140-6</t>
  </si>
  <si>
    <t>Eslabón Simple 16mm</t>
  </si>
  <si>
    <t>9822410150-3</t>
  </si>
  <si>
    <t>Espaciador p/Cable DAC</t>
  </si>
  <si>
    <t>9822710130-K</t>
  </si>
  <si>
    <t xml:space="preserve">Espaciador p/5 Soporte de 1 vía </t>
  </si>
  <si>
    <t>9822710100-8</t>
  </si>
  <si>
    <t>Espaciador p/Tir. Recto 910x700x600</t>
  </si>
  <si>
    <t>9822710230-6</t>
  </si>
  <si>
    <t>Espárrago HAE 5/8x368x60x8</t>
  </si>
  <si>
    <t>6000100120-8</t>
  </si>
  <si>
    <t>Espárrago HAE 1.1/8x835</t>
  </si>
  <si>
    <t>1B21236775-5</t>
  </si>
  <si>
    <t>Espárrago HAE 1/2x560x65</t>
  </si>
  <si>
    <t>1B21216008-5</t>
  </si>
  <si>
    <t>Espárrago HTL 5/8x400</t>
  </si>
  <si>
    <t>1A21200100-2</t>
  </si>
  <si>
    <t>Espárrago M16x130</t>
  </si>
  <si>
    <t>1A24016139-9</t>
  </si>
  <si>
    <t>Espiga 3/4x126x181 caps. 1" Poliamida</t>
  </si>
  <si>
    <t>8706200450-7</t>
  </si>
  <si>
    <t>ESPIGAS GV C</t>
  </si>
  <si>
    <t>Espiga 3/4x126x274 caps.1"</t>
  </si>
  <si>
    <t>8705200450-9</t>
  </si>
  <si>
    <t>Espiga 3/4x126x274 caps.1" Poliamida</t>
  </si>
  <si>
    <t>8707200400-9</t>
  </si>
  <si>
    <t>Espiga 3/4x155x210 caps.1" Poliamida</t>
  </si>
  <si>
    <t>8706200600-3</t>
  </si>
  <si>
    <t>Espiga 3/4x155x210 caps.1.3/8" Poliamida</t>
  </si>
  <si>
    <t>8706200650-K</t>
  </si>
  <si>
    <t>Espiga 3/4x155x295 caps.1" Poliamida</t>
  </si>
  <si>
    <t>8707200550-1</t>
  </si>
  <si>
    <t>Espiga 3/4x155x295 caps.1" Poliamida c/HOR</t>
  </si>
  <si>
    <t>8709200160-K</t>
  </si>
  <si>
    <t>Espiga 3/4x155x295 caps.1.3/8" Poliamida</t>
  </si>
  <si>
    <t>8706200670-4</t>
  </si>
  <si>
    <t>Espiga 3/4x155x295 caps.1.3/8" Poliamida c/HOR</t>
  </si>
  <si>
    <t>8709200150-2</t>
  </si>
  <si>
    <t>Espiga 3/4x155x303 caps.1" Poliamida</t>
  </si>
  <si>
    <t>8707200600-1</t>
  </si>
  <si>
    <t>Espiga 3/4x183x333 caps.1.3/8"</t>
  </si>
  <si>
    <t>8705200670-6</t>
  </si>
  <si>
    <t>Espiga 3/4x183x333 caps.1.3/8" Poliamida</t>
  </si>
  <si>
    <t>8707200670-2</t>
  </si>
  <si>
    <t>Espiga 3/4x183x233 caps 1.3/8"</t>
  </si>
  <si>
    <t>8704200638-4</t>
  </si>
  <si>
    <t>Espiga 3/4x183x233 caps 1.3/8" Poliamida</t>
  </si>
  <si>
    <t>8706200638-0</t>
  </si>
  <si>
    <t>Espiga 3/4x185x240 caps.1.3/8"</t>
  </si>
  <si>
    <t>8704200640-6</t>
  </si>
  <si>
    <t>Espiga 3/4x185x240 caps.1.3/8" Poliamida</t>
  </si>
  <si>
    <t>8706200640-2</t>
  </si>
  <si>
    <t xml:space="preserve">Espiga 3/4x190x340 caps.1.3/8" </t>
  </si>
  <si>
    <t>8705200685-4</t>
  </si>
  <si>
    <t>Espiga 3/4x190x340 caps.1.3/8" Poliamida</t>
  </si>
  <si>
    <t>8707200685-0</t>
  </si>
  <si>
    <t>Espiga 3/4x200x250 caps.1.3/8" Poliamida</t>
  </si>
  <si>
    <t>8706200680-1</t>
  </si>
  <si>
    <t>Espiga 3/4x200x350 caps.1" Poliamida</t>
  </si>
  <si>
    <t>8709200050-6</t>
  </si>
  <si>
    <t>Espiga 3/4x200x350 caps.1.3/8" Poliamida C/M</t>
  </si>
  <si>
    <t>8707200720-2</t>
  </si>
  <si>
    <t>Espiga 3/4x200x350 caps.1.3/8" Poliamida C/H</t>
  </si>
  <si>
    <t>8709200060-3</t>
  </si>
  <si>
    <t>Espiga 3/4x220x270 caps.1" Poliamida</t>
  </si>
  <si>
    <t>8706200070-6</t>
  </si>
  <si>
    <t>Espiga 3/4x220x270 caps.1.3/8" Poliamida</t>
  </si>
  <si>
    <t>8706200100-1</t>
  </si>
  <si>
    <t>Espiga 3/4x220x375 caps.1" Poliamida</t>
  </si>
  <si>
    <t>8709200100-6</t>
  </si>
  <si>
    <t>Espiga 3/4x220x375 caps.1.3/8" Poliamida</t>
  </si>
  <si>
    <t>8709200110-3</t>
  </si>
  <si>
    <t>Espiga 3/4x250x300 caps.1" Poliamida</t>
  </si>
  <si>
    <t>8706200790-5</t>
  </si>
  <si>
    <t>Espiga 3/4x250x300 caps.1.3/8"</t>
  </si>
  <si>
    <t>8704200810-7</t>
  </si>
  <si>
    <t>Espiga 3/4x250x300 caps.1.3/8" Poliamida</t>
  </si>
  <si>
    <t>8706200700-K</t>
  </si>
  <si>
    <t>Espiga 3/4x250x400 caps.1"</t>
  </si>
  <si>
    <t>8705200800-8</t>
  </si>
  <si>
    <t>Espiga 3/4x250x400 caps.1.3/8" Poliamida</t>
  </si>
  <si>
    <t>8707200820-9</t>
  </si>
  <si>
    <t>Espiga 5/8x150x200 caps.1"</t>
  </si>
  <si>
    <t>8704200200-1</t>
  </si>
  <si>
    <t>Espiga 5/8x150x200 caps.1" Poliamida</t>
  </si>
  <si>
    <t>8706200800-6</t>
  </si>
  <si>
    <t xml:space="preserve">Espiga 5/8x150x300 caps.1" </t>
  </si>
  <si>
    <t>8705200200-K</t>
  </si>
  <si>
    <t>Espiga 5/8x150x300 caps.1" Poliamida</t>
  </si>
  <si>
    <t>8707200200-6</t>
  </si>
  <si>
    <t>Espiga 5/8x155x210 caps.1"</t>
  </si>
  <si>
    <t>8704200210-9</t>
  </si>
  <si>
    <t>Espiga 5/8x155x210 caps.1" Poliamida</t>
  </si>
  <si>
    <t>8706200210-5</t>
  </si>
  <si>
    <t>Espiga Punta Poste caps.1"</t>
  </si>
  <si>
    <t>8721232100-K</t>
  </si>
  <si>
    <t>Espiga Punta Poste caps.1" Poliamida</t>
  </si>
  <si>
    <t>8731232100-7</t>
  </si>
  <si>
    <t>Espiga Punta Poste caps.1.3/8" Poliamida</t>
  </si>
  <si>
    <t>8731244100-2</t>
  </si>
  <si>
    <t>Extensión p/Soporte de Paso 500x800x1300</t>
  </si>
  <si>
    <t>9823010200-7</t>
  </si>
  <si>
    <t>Estribo Metálico p/Brazo Tipo L</t>
  </si>
  <si>
    <t>9821910390-5</t>
  </si>
  <si>
    <t>Estribo p/Soporte L 622x650 70x170</t>
  </si>
  <si>
    <t>9821900610-1</t>
  </si>
  <si>
    <t>Fe Angulo 50x50x4x410</t>
  </si>
  <si>
    <t>9822110070-0</t>
  </si>
  <si>
    <t>Fe ANGULOS GV F</t>
  </si>
  <si>
    <t>Fe Angulo 50x50x5x410</t>
  </si>
  <si>
    <t>9822110080-8</t>
  </si>
  <si>
    <t>Fe Angulo 65x65x6x410 GV</t>
  </si>
  <si>
    <t>9822110082-4</t>
  </si>
  <si>
    <t>Fe Angulo 80x80x8x410 Am/Rey</t>
  </si>
  <si>
    <t>9822110101-4</t>
  </si>
  <si>
    <t>Fe Angulo 80x80x8x410 GV</t>
  </si>
  <si>
    <t>9822110100-6</t>
  </si>
  <si>
    <t>Fe Angulo c/gancho 80x80x6x375</t>
  </si>
  <si>
    <t>9822110121-9</t>
  </si>
  <si>
    <t>Fijación p/Cañería 1.1/2-2 - 1/2x300x100</t>
  </si>
  <si>
    <t>C621000400-8</t>
  </si>
  <si>
    <t>FIJACIONES</t>
  </si>
  <si>
    <t>Fijación p/Cañería 2.1/2 - 1/2x300x100</t>
  </si>
  <si>
    <t>C621000430-K</t>
  </si>
  <si>
    <t>Fijación p/Cañería 1/2 - 1/2x10x3H</t>
  </si>
  <si>
    <t>C621000235-8</t>
  </si>
  <si>
    <t>Fijación p/Cañería 1/2 - 1/2x11.1/2</t>
  </si>
  <si>
    <t>C621000250-1</t>
  </si>
  <si>
    <t>Fijación p/Cañería 1/2 - 1/2x130</t>
  </si>
  <si>
    <t>C621000180-7</t>
  </si>
  <si>
    <t>Fijación p/Cañería 1/2 - 1/2x13x6H</t>
  </si>
  <si>
    <t>C621000255-2</t>
  </si>
  <si>
    <t>Fijación p/Cañería 1/2 - 1/2x5.1/2</t>
  </si>
  <si>
    <t>C621000195-5</t>
  </si>
  <si>
    <t>Fijación p/Cañería 1/2 - 1/2x150x75</t>
  </si>
  <si>
    <t>C621000150-5</t>
  </si>
  <si>
    <t>Fijación p/Cañería 1/2 - 1/2x8x5H</t>
  </si>
  <si>
    <t>C621000227-7</t>
  </si>
  <si>
    <t>Fijación p/Cañería 1/2 - 1/2x9x3H</t>
  </si>
  <si>
    <t>C621000230-7</t>
  </si>
  <si>
    <t>Fijación p/Cañería 1/2 - 1/2x292x100</t>
  </si>
  <si>
    <t>C621000348-6</t>
  </si>
  <si>
    <t>Fijación p/Cañería 1 - 1/2x300x100</t>
  </si>
  <si>
    <t>C621000350-8</t>
  </si>
  <si>
    <t>Fijación p/Cañería 1 - 1/2x380x100</t>
  </si>
  <si>
    <t>C621000360-5</t>
  </si>
  <si>
    <t>Fijación p/Cañería 3 - 1/2x300x100</t>
  </si>
  <si>
    <t>C621000450-4</t>
  </si>
  <si>
    <t>Fijación p/Cañería 4 - 1/2x300x100</t>
  </si>
  <si>
    <t>C621000500-4</t>
  </si>
  <si>
    <t>Fijación p/Cañería 4 - 5/8x12x4H</t>
  </si>
  <si>
    <t>C621000552-7</t>
  </si>
  <si>
    <t>Fijación p/Cañería M110 - 1/2x300x100</t>
  </si>
  <si>
    <t>C621000344-3</t>
  </si>
  <si>
    <t>Fijación p/Cañería M32 - 1/2x300x100</t>
  </si>
  <si>
    <t>C621000320-6</t>
  </si>
  <si>
    <t>Fijación p/Cañería M50 - 1/2x300</t>
  </si>
  <si>
    <t>C621000340-0</t>
  </si>
  <si>
    <t>Fijación p/Cañería M75 - 1/2x300x100</t>
  </si>
  <si>
    <t>C621000342-7</t>
  </si>
  <si>
    <t>Gancho p/Cruceta Remate 5/8x255</t>
  </si>
  <si>
    <t>9100200030-5</t>
  </si>
  <si>
    <t>Gancho p/Cruceta Rem Final 3/4x280</t>
  </si>
  <si>
    <t>9100200020-8</t>
  </si>
  <si>
    <t>Gancho p/Cruceta Riostra 50x5x230mm</t>
  </si>
  <si>
    <t>9100200040-2</t>
  </si>
  <si>
    <t>Gancho p/Regleta 4.1/2</t>
  </si>
  <si>
    <t>9100219045-7</t>
  </si>
  <si>
    <t>38x5</t>
  </si>
  <si>
    <t>Gancho p/Regleta 7.1/2</t>
  </si>
  <si>
    <t>9100219050-3</t>
  </si>
  <si>
    <t>Gancho p/Regleta Tipo 1  240mm</t>
  </si>
  <si>
    <t>9100219060-0</t>
  </si>
  <si>
    <t>Gancho T/Araña</t>
  </si>
  <si>
    <t>9100219020-1</t>
  </si>
  <si>
    <t>Golilla 32x5x25 p/Soporte Tipo L</t>
  </si>
  <si>
    <t>6000100290-5</t>
  </si>
  <si>
    <t>32x5</t>
  </si>
  <si>
    <t>OTROS SOPORTES GV F</t>
  </si>
  <si>
    <t>Golilla 32x32x5x12</t>
  </si>
  <si>
    <t>7303232050-0</t>
  </si>
  <si>
    <t>GOLILLAS REPARTICION</t>
  </si>
  <si>
    <t>Golilla 100x100x5x18</t>
  </si>
  <si>
    <t>73032A8050-K</t>
  </si>
  <si>
    <t>Golilla 100x100x5x21</t>
  </si>
  <si>
    <t>73032A8060-7</t>
  </si>
  <si>
    <t>Golilla 100x100x6x21</t>
  </si>
  <si>
    <t>73032A8080-1</t>
  </si>
  <si>
    <t>Golilla 100x100x12x21</t>
  </si>
  <si>
    <t>73032A8120-4</t>
  </si>
  <si>
    <t>Golilla 38x38x3x14</t>
  </si>
  <si>
    <t>7303238050-3</t>
  </si>
  <si>
    <t>Golilla 40x40x5x14</t>
  </si>
  <si>
    <t>7303240095-4</t>
  </si>
  <si>
    <t>Golilla 40x40x5x18</t>
  </si>
  <si>
    <t>7303240105-5</t>
  </si>
  <si>
    <t>Golilla 40x40x5x21</t>
  </si>
  <si>
    <t>7303240110-1</t>
  </si>
  <si>
    <t>Golilla 50x50x5x18</t>
  </si>
  <si>
    <t>7303250130-0</t>
  </si>
  <si>
    <t>Golilla 50x50x5x21</t>
  </si>
  <si>
    <t>7303250150-5</t>
  </si>
  <si>
    <t>Golilla 76x76x5x18</t>
  </si>
  <si>
    <t>7303276050-0</t>
  </si>
  <si>
    <t>Golilla Copa 81x22x17x6 - 22</t>
  </si>
  <si>
    <t>3720081022-9</t>
  </si>
  <si>
    <t>Golilla Descentrada 47x47x5x21</t>
  </si>
  <si>
    <t>6000100015-5</t>
  </si>
  <si>
    <t>Golilla Descentrada 50x50x5x18</t>
  </si>
  <si>
    <t>6000100018-K</t>
  </si>
  <si>
    <t>Golilla Descentrada 50x50x5x18 NG</t>
  </si>
  <si>
    <t>6000100340-5</t>
  </si>
  <si>
    <t>Golilla Descentrada 50x50x5x21</t>
  </si>
  <si>
    <t>6000100017-1</t>
  </si>
  <si>
    <t>Golilla Plana Red Esp. 44x24x4(7/8")</t>
  </si>
  <si>
    <t>3528010066-6</t>
  </si>
  <si>
    <t>Golilla Plana Red Esp. 44x27x4(1")</t>
  </si>
  <si>
    <t>3528010070-4</t>
  </si>
  <si>
    <t>Grillete 12mm, ojo chico</t>
  </si>
  <si>
    <t>9521200007-9</t>
  </si>
  <si>
    <t>GRILLETES</t>
  </si>
  <si>
    <t>Grillete 12mm, ojo grande</t>
  </si>
  <si>
    <t>9521200005-2</t>
  </si>
  <si>
    <t>Grillete Forjado 16mm</t>
  </si>
  <si>
    <t>9521200008-7</t>
  </si>
  <si>
    <t>Grillete Forjado 16mm, perf.21</t>
  </si>
  <si>
    <t>Grillete recto 14mm, perf.18</t>
  </si>
  <si>
    <t>9521220100-7</t>
  </si>
  <si>
    <t>Grillete recto 14mm, perf.21</t>
  </si>
  <si>
    <t>9521220110-4</t>
  </si>
  <si>
    <t>Grillete recto 16mm, perf.18</t>
  </si>
  <si>
    <t>9521220120-1</t>
  </si>
  <si>
    <t>Grillete recto 16mm, perf.21</t>
  </si>
  <si>
    <t>9521220125-2</t>
  </si>
  <si>
    <t>Mordaza Prensa Conexión a tierra (clip)</t>
  </si>
  <si>
    <t>Pasador 12x105</t>
  </si>
  <si>
    <t>9700200660-3</t>
  </si>
  <si>
    <t>Pasador 1/2x275</t>
  </si>
  <si>
    <t>9700200310-8</t>
  </si>
  <si>
    <t>Pasador 1/2x80</t>
  </si>
  <si>
    <t>9700216100-5</t>
  </si>
  <si>
    <t>SOPORTES REMATE</t>
  </si>
  <si>
    <t>Pasador 3/4x65</t>
  </si>
  <si>
    <t>9700200750-2</t>
  </si>
  <si>
    <t>Pasador 3/8x216 (c/1 perforación)</t>
  </si>
  <si>
    <t>9700200130-K</t>
  </si>
  <si>
    <t>Pasador 3/8x217 (c/2 perforaciones)</t>
  </si>
  <si>
    <t>9700200135-0</t>
  </si>
  <si>
    <t>Pasador 3/8x72</t>
  </si>
  <si>
    <t>9700212050-3</t>
  </si>
  <si>
    <t>Pasador 5/8x50</t>
  </si>
  <si>
    <t>9700220349-2</t>
  </si>
  <si>
    <t>Pasador 5/8x60</t>
  </si>
  <si>
    <t>9700200615-8</t>
  </si>
  <si>
    <t>Pasador 5/8x66</t>
  </si>
  <si>
    <t>9700220370-0</t>
  </si>
  <si>
    <t>Pasador 5/8x610</t>
  </si>
  <si>
    <t>9700200500-3</t>
  </si>
  <si>
    <t>Pasador 5/8x910mm</t>
  </si>
  <si>
    <t>9700200540-2</t>
  </si>
  <si>
    <t>Pasador Cab. Chica 5/8x2</t>
  </si>
  <si>
    <t>9700200419-8</t>
  </si>
  <si>
    <t>Pasador Cab. Red 5/8x50 (28x10)</t>
  </si>
  <si>
    <t>9700220351-4</t>
  </si>
  <si>
    <t>Pasador M16x102</t>
  </si>
  <si>
    <t>9700220450-2</t>
  </si>
  <si>
    <t>Perfil C p/Poste 80x40x4x580mm</t>
  </si>
  <si>
    <t>6000100051-1</t>
  </si>
  <si>
    <t>Perfil L p/Poste 40x40x5x312mm</t>
  </si>
  <si>
    <t>6000100230-1</t>
  </si>
  <si>
    <t>Perfil Ext. Metálica 125x45x5x2400</t>
  </si>
  <si>
    <t>9823000340-8</t>
  </si>
  <si>
    <t>Perfil Ext. Metálica 80x35x5x2410</t>
  </si>
  <si>
    <t>9823000320-3</t>
  </si>
  <si>
    <t>Perno Anclaje Pata Partida 1/2x6.1/2</t>
  </si>
  <si>
    <t>2433216240-K</t>
  </si>
  <si>
    <t>PERNOS ANCLAJE GV C</t>
  </si>
  <si>
    <t>Perno Anclaje Pata Partida 1/2x6.1/2x2H</t>
  </si>
  <si>
    <t>2433216230-2</t>
  </si>
  <si>
    <t>Perno Anclaje Recto HAE 3/8x550x100Hx50H</t>
  </si>
  <si>
    <t>24A1224120-4</t>
  </si>
  <si>
    <t>PERNOS ANCLAJE GV F</t>
  </si>
  <si>
    <t>Perno Anclaje Recto 5/8x600x100H</t>
  </si>
  <si>
    <t>24A1220090-7</t>
  </si>
  <si>
    <t>Perno Anclaje Tipo J 1/2x480x100mm</t>
  </si>
  <si>
    <t>2483216480-8</t>
  </si>
  <si>
    <t>Perno Anclaje Tipo J 7/8x2150x250H  r50</t>
  </si>
  <si>
    <t>2481228500-5</t>
  </si>
  <si>
    <t>1020 7/8</t>
  </si>
  <si>
    <t xml:space="preserve">Perno Anclaje Tipo J 1.1/8x995x100H </t>
  </si>
  <si>
    <t>24A1036010-9</t>
  </si>
  <si>
    <t>Perno Anclaje Tipo J 1.1/8x2150x250H  r50</t>
  </si>
  <si>
    <t>2481236500-9</t>
  </si>
  <si>
    <t>1020 1.1/8</t>
  </si>
  <si>
    <t>Perno Anclaje Tipo J 1.3/8x2150x250H  r50</t>
  </si>
  <si>
    <t>2481244500-2</t>
  </si>
  <si>
    <t>Perno Anclaje Tipo J 1.3/8x2600x250H  r50</t>
  </si>
  <si>
    <t>2481244502-9</t>
  </si>
  <si>
    <t xml:space="preserve">Perno Anclaje Tipo L 1x700x100x100H </t>
  </si>
  <si>
    <t>2491232380-K</t>
  </si>
  <si>
    <t>Perno Anclaje Tipo L 1.1/4x1500x150x150H</t>
  </si>
  <si>
    <t>2491240900-3</t>
  </si>
  <si>
    <t>Perno Anclaje Tipo L 1.1/4x1600</t>
  </si>
  <si>
    <t>2491240950-K</t>
  </si>
  <si>
    <t>Perno Anclaje Tipo L 1/2x1000x100x100H</t>
  </si>
  <si>
    <t>2491216110-9</t>
  </si>
  <si>
    <t>Perno Anclaje Tipo L 3/4x400x100x100H</t>
  </si>
  <si>
    <t>2491224500-0</t>
  </si>
  <si>
    <t>Perno Anclaje Tipo L 3/4x500</t>
  </si>
  <si>
    <t>2491224520-5</t>
  </si>
  <si>
    <t>Perno Anclaje Tipo L 3/4x540x70x100H</t>
  </si>
  <si>
    <t>2491224552-3</t>
  </si>
  <si>
    <t>Perno Anclaje Tipo L 3/4x600x100x100H</t>
  </si>
  <si>
    <t>2491224680-5</t>
  </si>
  <si>
    <t>Perno Anclaje Tipo L 5/8x500</t>
  </si>
  <si>
    <t>2491220450-9</t>
  </si>
  <si>
    <t>Perno Anclaje Tipo L 5/8x800x130x100H</t>
  </si>
  <si>
    <t>2491220800-8</t>
  </si>
  <si>
    <t>Perno Anclaje Tipo L 7/8x500</t>
  </si>
  <si>
    <t>2491228660-2</t>
  </si>
  <si>
    <t>Perno Cab Cuad 1/2x1.1/2x1.1/2H</t>
  </si>
  <si>
    <t>9421016100-1</t>
  </si>
  <si>
    <t>PERNOS CORRIENTES GV C</t>
  </si>
  <si>
    <t>Perno Cab Cuad 1/2x1.1/2x1.1/4H</t>
  </si>
  <si>
    <t>9423016100-8</t>
  </si>
  <si>
    <t>Perno Cab Cuad 1/2x1.1/2x1.1/4H UNC</t>
  </si>
  <si>
    <t>Perno Cab Cuad 1/2x2.1/2x1/4A BSW</t>
  </si>
  <si>
    <t>9423016110-5</t>
  </si>
  <si>
    <t>Perno Cab Cuad 1/2x2.1/2x1/4A UNC</t>
  </si>
  <si>
    <t>9421016140-0</t>
  </si>
  <si>
    <t>Perno Cab Cuad 1/2x1.3/4X1.1/4H</t>
  </si>
  <si>
    <t>9421016095-1</t>
  </si>
  <si>
    <t>Perno Cab Cuad 1/2x1.3/4X1.1/4H BSW</t>
  </si>
  <si>
    <t>9423016095-8</t>
  </si>
  <si>
    <t>Perno Cab Cuad 1/2x16x10A</t>
  </si>
  <si>
    <t>9421016460-4</t>
  </si>
  <si>
    <t>Perno Cab Cuad 1.1/2x8x3.1/2</t>
  </si>
  <si>
    <t>1151048128-5</t>
  </si>
  <si>
    <t>Perno Cab Cuad 5/8x10x4A</t>
  </si>
  <si>
    <t>9421120180-5</t>
  </si>
  <si>
    <t>Perno Cab Cuad 5/8x12x6A</t>
  </si>
  <si>
    <t>9421120200-3</t>
  </si>
  <si>
    <t>Perno Cab Cuad 5/8x2.1/2</t>
  </si>
  <si>
    <t>9421120090-6</t>
  </si>
  <si>
    <t>Perno Cab Cuad 5/8x2.1/2x1A</t>
  </si>
  <si>
    <t>9421120100-7</t>
  </si>
  <si>
    <t>Perno Cab Cuad 5/8x8x4.1/2A</t>
  </si>
  <si>
    <t>9421120160-0</t>
  </si>
  <si>
    <t>Perno Cab Cuad 7/8x4x2H</t>
  </si>
  <si>
    <t>1181028064-8</t>
  </si>
  <si>
    <t>Perno Cab Cuad 7/8x5.1/2x2.1/2H Ref</t>
  </si>
  <si>
    <t>2A21028210-7</t>
  </si>
  <si>
    <t>Perno Cab Cuad 7/8x5.1/2x2.1/2H</t>
  </si>
  <si>
    <t>2A21028200-K</t>
  </si>
  <si>
    <t>Perno Cab Cuad G-5 1.1/2x8</t>
  </si>
  <si>
    <t>Perno Cab Cuad G-5 1x3x57mm</t>
  </si>
  <si>
    <t>2A51032100-7</t>
  </si>
  <si>
    <t>Perno Cab Cuad T/Perno p/Cruzam 1x4x57</t>
  </si>
  <si>
    <t>2A51032102-K</t>
  </si>
  <si>
    <t>1045 1</t>
  </si>
  <si>
    <t>Perno Cab Martillo M18x65</t>
  </si>
  <si>
    <t>2934018120-2</t>
  </si>
  <si>
    <t>Perno Coche 1/2x1.1/2</t>
  </si>
  <si>
    <t>1223216024-K</t>
  </si>
  <si>
    <t>Perno Coche 1/2x2x1.1/4</t>
  </si>
  <si>
    <t>1223216032-0</t>
  </si>
  <si>
    <t>Perno Coche p/Prensa Paralela 3/4x45</t>
  </si>
  <si>
    <t>9923224100-0</t>
  </si>
  <si>
    <t>Perno Coche 3/8x5x1H</t>
  </si>
  <si>
    <t>1223212080-9</t>
  </si>
  <si>
    <t>Perno Coche 3/8x5x3A</t>
  </si>
  <si>
    <t>9923212100-5</t>
  </si>
  <si>
    <t>Perno Coche 5/8x5x2A</t>
  </si>
  <si>
    <t>1223220080-2</t>
  </si>
  <si>
    <t>Perno Coche 5/8x95</t>
  </si>
  <si>
    <t>9923220100-9</t>
  </si>
  <si>
    <t>Perno Coche 5/8x9x2H</t>
  </si>
  <si>
    <t>1221220144-6</t>
  </si>
  <si>
    <t>Perno Coche 5/8x10x2H</t>
  </si>
  <si>
    <t>1221220160-8</t>
  </si>
  <si>
    <t>Perno Coche 5/8x11x2H</t>
  </si>
  <si>
    <t>1221220176-4</t>
  </si>
  <si>
    <t>Perno Coche 5/8x12x2H</t>
  </si>
  <si>
    <t>1221220192-6</t>
  </si>
  <si>
    <t>Perno Coche 5/8x14x2H</t>
  </si>
  <si>
    <t>1221220224-8</t>
  </si>
  <si>
    <t>Perno Coche 5/8x16x2H</t>
  </si>
  <si>
    <t>1221220256-6</t>
  </si>
  <si>
    <t>Perno Coraza Molino 4340 1x5.1/2x3.1/2H</t>
  </si>
  <si>
    <t>2291032512-8</t>
  </si>
  <si>
    <t>4340 1</t>
  </si>
  <si>
    <t>PERNOS CORAZA MOLINO NG C</t>
  </si>
  <si>
    <t>Perno Coraza Molino G-2 1.3/4x9.1/2x4H</t>
  </si>
  <si>
    <t>2221056008-8</t>
  </si>
  <si>
    <t>A4223 1.3/4</t>
  </si>
  <si>
    <t>Perno Coraza Molino 4340 1x7x4H</t>
  </si>
  <si>
    <t>2291032112-2</t>
  </si>
  <si>
    <t>Perno Coraza Molino 4340 1.1/2x8.1/2x5H</t>
  </si>
  <si>
    <t>2291048136-7</t>
  </si>
  <si>
    <t>4340 1.1/2</t>
  </si>
  <si>
    <t>Perno Coraza Molino 4340 1.1/2x11x6.1/2H</t>
  </si>
  <si>
    <t>2291048176-6</t>
  </si>
  <si>
    <t>Perno Cuello Ret 1/2x1.11/16</t>
  </si>
  <si>
    <t>9923016100-K</t>
  </si>
  <si>
    <t>Perno Cuello Ret 5/8x45</t>
  </si>
  <si>
    <t>9921020100-5</t>
  </si>
  <si>
    <t>Perno Def Caminera 5/8x2</t>
  </si>
  <si>
    <t>6221220032-3</t>
  </si>
  <si>
    <t>Perno Defensa Caminera 6.8 M16x30</t>
  </si>
  <si>
    <t>6295216030-9</t>
  </si>
  <si>
    <t>Perno Defensa Caminera 6.8 M16x45</t>
  </si>
  <si>
    <t>6295216045-7</t>
  </si>
  <si>
    <t>Perno Defensa Caminera 8.8 M16x40</t>
  </si>
  <si>
    <t>6295216040-6</t>
  </si>
  <si>
    <t>Perno Expansión 1/2x5</t>
  </si>
  <si>
    <t>9923116120-8</t>
  </si>
  <si>
    <t>Perno Hex Cte 1/2x1x0A</t>
  </si>
  <si>
    <t>9323016050-5</t>
  </si>
  <si>
    <t>Perno Hex Cte 1/2x1.1/4x1/2A</t>
  </si>
  <si>
    <t>9323016080-3</t>
  </si>
  <si>
    <t>Perno Hex Cte 1/2x1.1/4x0A</t>
  </si>
  <si>
    <t>9323016075-0</t>
  </si>
  <si>
    <t>Perno Hex Cte 1/2x1.1/2x0A</t>
  </si>
  <si>
    <t>9323016090-0</t>
  </si>
  <si>
    <t>Perno Hex Cte 1/2x1.1/2x0A UNC</t>
  </si>
  <si>
    <t>9321016090-4</t>
  </si>
  <si>
    <t>Perno Hex Cte 1/2x2x0A</t>
  </si>
  <si>
    <t>9321016140-4</t>
  </si>
  <si>
    <t>Perno Hex Cte 1/2x2x1/2A</t>
  </si>
  <si>
    <t>9323016150-8</t>
  </si>
  <si>
    <t>Perno Hex Cte 1/2x2.1/2x0A</t>
  </si>
  <si>
    <t>9323016180-K</t>
  </si>
  <si>
    <t>Perno Hex Cte 1/2x3x0A</t>
  </si>
  <si>
    <t>9321016230-3</t>
  </si>
  <si>
    <t>Perno Hex Cte 1/2x5x2A</t>
  </si>
  <si>
    <t>9323016365-9</t>
  </si>
  <si>
    <t>Perno Hex Cte 1/2x5x3A</t>
  </si>
  <si>
    <t>9323016370-5</t>
  </si>
  <si>
    <t>Perno Hex Cte 1/2x6x3A</t>
  </si>
  <si>
    <t>9323016400-0</t>
  </si>
  <si>
    <t>Perno Hex Cte 1/2x6x2A</t>
  </si>
  <si>
    <t>9323016395-0</t>
  </si>
  <si>
    <t>Perno Hex Cte 1/2x7x4A</t>
  </si>
  <si>
    <t>9323016430-2</t>
  </si>
  <si>
    <t>Perno Hex Cte 1/2x8x4A</t>
  </si>
  <si>
    <t>9323016445-0</t>
  </si>
  <si>
    <t>Perno Hex Cte 1/2x8x5A</t>
  </si>
  <si>
    <t>9323016450-7</t>
  </si>
  <si>
    <t>Perno Hex Cte 1/2x9x4A</t>
  </si>
  <si>
    <t>9323016462-0</t>
  </si>
  <si>
    <t>Perno Hex Cte 1/2x9x5A</t>
  </si>
  <si>
    <t>9323016465-5</t>
  </si>
  <si>
    <t>Perno Hex Cte 1/2x9x6A</t>
  </si>
  <si>
    <t>9323016470-1</t>
  </si>
  <si>
    <t>Perno Hex Cte 1/2x10x0A</t>
  </si>
  <si>
    <t>9323016478-7</t>
  </si>
  <si>
    <t>Perno Hex Cte 1/2x10x5A</t>
  </si>
  <si>
    <t>9323016490-6</t>
  </si>
  <si>
    <t>Perno Hex Cte 1/2x10x6A</t>
  </si>
  <si>
    <t>9323016495-7</t>
  </si>
  <si>
    <t>Perno Hex Cte 1/2x10x7A</t>
  </si>
  <si>
    <t>9323016500-7</t>
  </si>
  <si>
    <t>Perno Hex Cte 1/2x11x7A</t>
  </si>
  <si>
    <t>9323016520-1</t>
  </si>
  <si>
    <t>Perno Hex Cte 1/2x11x8A</t>
  </si>
  <si>
    <t>9323016530-9</t>
  </si>
  <si>
    <t>Perno Hex Cte 1/2x12x6H</t>
  </si>
  <si>
    <t>9323016555-4</t>
  </si>
  <si>
    <t>Perno Hex Cte 1/2x12x9A</t>
  </si>
  <si>
    <t>9323016560-0</t>
  </si>
  <si>
    <t>Perno Hex Cte 1/2x13x6A</t>
  </si>
  <si>
    <t>9323016580-5</t>
  </si>
  <si>
    <t>Perno Hex Cte 1/2x13x187mmH</t>
  </si>
  <si>
    <t>9323016498-1</t>
  </si>
  <si>
    <t>Perno Hex Cte 1/2x13x10A</t>
  </si>
  <si>
    <t>9323016610-0</t>
  </si>
  <si>
    <t>Perno Hex Cte 1/2x14x10A</t>
  </si>
  <si>
    <t>9323016625-9</t>
  </si>
  <si>
    <t>Perno Hex Cte 1/2x14x11A</t>
  </si>
  <si>
    <t>9323016630-5</t>
  </si>
  <si>
    <t>Perno Hex Cte 1/2x406</t>
  </si>
  <si>
    <t>9323016652-6</t>
  </si>
  <si>
    <t>Perno Hex Cte 1/2x350</t>
  </si>
  <si>
    <t>9323016616-K</t>
  </si>
  <si>
    <t>Perno Hex Cte 1/2x400</t>
  </si>
  <si>
    <t>9323016651-8</t>
  </si>
  <si>
    <t>Perno Hex Cte 1/2x450</t>
  </si>
  <si>
    <t>9323016691-7</t>
  </si>
  <si>
    <t>Perno Hex Cte 3/4x10x5A BSW</t>
  </si>
  <si>
    <t>9323024730-5</t>
  </si>
  <si>
    <t>Perno Hex Cte 3/4x10x2H UNC NG</t>
  </si>
  <si>
    <t>1021024160-K</t>
  </si>
  <si>
    <t>Perno Hex Cte 3/4x11x7A</t>
  </si>
  <si>
    <t>9323024758-5</t>
  </si>
  <si>
    <t>Perno Hex Cte 3/4x11x8A</t>
  </si>
  <si>
    <t>9323024762-3</t>
  </si>
  <si>
    <t>Perno Hex Cte 3/4x12x9A</t>
  </si>
  <si>
    <t>9323024796-8</t>
  </si>
  <si>
    <t>Perno Hex Cte 3/4x14x10A</t>
  </si>
  <si>
    <t>9323024840-9</t>
  </si>
  <si>
    <t xml:space="preserve">Perno Hex Cte 3/4x17x4H </t>
  </si>
  <si>
    <t>9323024905-7</t>
  </si>
  <si>
    <t xml:space="preserve">Perno Hex Cte 3/4x17x7H </t>
  </si>
  <si>
    <t>2921124505-9</t>
  </si>
  <si>
    <t>Perno Hex Cte 3/4x2x0A</t>
  </si>
  <si>
    <t>9323024120-K</t>
  </si>
  <si>
    <t>Perno Hex Cte 3/4x2.1/2x1A</t>
  </si>
  <si>
    <t>9323024190-0</t>
  </si>
  <si>
    <t>Perno Hex Cte 3/4x2.1/2x1/2A</t>
  </si>
  <si>
    <t>9323024180-3</t>
  </si>
  <si>
    <t>Perno Hex Cte 3/4x4x0A</t>
  </si>
  <si>
    <t>9323024340-7</t>
  </si>
  <si>
    <t>Perno Hex Cte 3/4x4.1/2x1/2A</t>
  </si>
  <si>
    <t>9323024378-4</t>
  </si>
  <si>
    <t>Perno Hex Cte 3/4x8</t>
  </si>
  <si>
    <t>9323024590-6</t>
  </si>
  <si>
    <t>Perno Hex Cte 3/4x9x6A</t>
  </si>
  <si>
    <t>9323024668-6</t>
  </si>
  <si>
    <t>Perno Hex Cte 3/4x9x4A</t>
  </si>
  <si>
    <t>9323024655-4</t>
  </si>
  <si>
    <t>Perno Hex Cte 3/4x9x5A</t>
  </si>
  <si>
    <t>9323024660-0</t>
  </si>
  <si>
    <t>Perno Hex Cte 3/8x6x1,1/4H</t>
  </si>
  <si>
    <t>1021312096-K</t>
  </si>
  <si>
    <t>Perno Hex Cte 3/8x12x6H</t>
  </si>
  <si>
    <t>9323012050-K</t>
  </si>
  <si>
    <t>Perno Hex Cte 5/8x1x0A</t>
  </si>
  <si>
    <t>9323020050-3</t>
  </si>
  <si>
    <t>Perno Hex Cte 5/8x1.1/2x0A</t>
  </si>
  <si>
    <t>9323020080-5</t>
  </si>
  <si>
    <t>Perno Hex Cte 5/8x1.1/2x1/2A</t>
  </si>
  <si>
    <t>9323020090-2</t>
  </si>
  <si>
    <t>Perno Hex Cte 5/8x1.3/4</t>
  </si>
  <si>
    <t>9323220425-5</t>
  </si>
  <si>
    <t>Perno Hex Cte 5/8x2.1/2</t>
  </si>
  <si>
    <t>9323020137-2</t>
  </si>
  <si>
    <t>Perno Hex Cte 5/8x2.1/2x0A</t>
  </si>
  <si>
    <t>9323020135-6</t>
  </si>
  <si>
    <t>Perno Hex Cte 5/8x2.1/2x1A</t>
  </si>
  <si>
    <t>9323020140-2</t>
  </si>
  <si>
    <t>Perno Hex Cte 5/8x2x0A</t>
  </si>
  <si>
    <t>9323020110-0</t>
  </si>
  <si>
    <t>Perno Hex Cte 5/8x2x1/2A</t>
  </si>
  <si>
    <t>9323020120-8</t>
  </si>
  <si>
    <t>Perno Hex Cte 5/8x3x0A</t>
  </si>
  <si>
    <t>9323020160-7</t>
  </si>
  <si>
    <t>Perno Hex Cte 5/8x3x1.1/2A</t>
  </si>
  <si>
    <t>9323020167-4</t>
  </si>
  <si>
    <t>Perno Hex Cte 5/8x3.1/2</t>
  </si>
  <si>
    <t>9323020185-2</t>
  </si>
  <si>
    <t>Perno Hex Cte 5/8x5x1.1/2A</t>
  </si>
  <si>
    <t>9323020250-6</t>
  </si>
  <si>
    <t>Perno Hex Cte 5/8x7x4A</t>
  </si>
  <si>
    <t>9323020326-K</t>
  </si>
  <si>
    <t>Perno Hex Cte 5/8x8x4A</t>
  </si>
  <si>
    <t>9323020345-6</t>
  </si>
  <si>
    <t>Perno Hex Cte 5/8x8x5A</t>
  </si>
  <si>
    <t>9323020350-2</t>
  </si>
  <si>
    <t>Perno Hex Cte 5/8x9x4A</t>
  </si>
  <si>
    <t>9323020362-6</t>
  </si>
  <si>
    <t>Perno Hex Cte 5/8x9x5A</t>
  </si>
  <si>
    <t>9323020366-9</t>
  </si>
  <si>
    <t>Perno Hex Cte 5/8x9x6A</t>
  </si>
  <si>
    <t>9323020370-7</t>
  </si>
  <si>
    <t>Perno Hex Cte 5/8x10x7A</t>
  </si>
  <si>
    <t>9323020410-K</t>
  </si>
  <si>
    <t>Perno Hex Cte 5/8x12x9A</t>
  </si>
  <si>
    <t>9323020470-3</t>
  </si>
  <si>
    <t>Perno Hex Cte 5/8x11x8A</t>
  </si>
  <si>
    <t>9323020430-4</t>
  </si>
  <si>
    <t>Perno Hex Cte 5/8x12x6A</t>
  </si>
  <si>
    <t>9323020458-4</t>
  </si>
  <si>
    <t>Perno Hex Cte 5/8x12x8A</t>
  </si>
  <si>
    <t>9323020466-5</t>
  </si>
  <si>
    <t>Perno Hex Cte 5/8x13x10A</t>
  </si>
  <si>
    <t>9323020480-0</t>
  </si>
  <si>
    <t>Perno Hex Cte 5/8x14x11A</t>
  </si>
  <si>
    <t>9323020510-6</t>
  </si>
  <si>
    <t>Perno Hex Cte 5/8x14x3A</t>
  </si>
  <si>
    <t>9323020490-8</t>
  </si>
  <si>
    <t>Perno Hex Cte 5/8x14x8A</t>
  </si>
  <si>
    <t>9323020498-3</t>
  </si>
  <si>
    <t>Perno Hex Cte 5/8x15x3A</t>
  </si>
  <si>
    <t>9323020520-3</t>
  </si>
  <si>
    <t>Perno Hex Cte 5/8x15x12A</t>
  </si>
  <si>
    <t>9323020530-0</t>
  </si>
  <si>
    <t>Perno Hex Cte 5/8x16x13A</t>
  </si>
  <si>
    <t>9323020550-5</t>
  </si>
  <si>
    <t>Perno Hex Cte 5/8x16x3A</t>
  </si>
  <si>
    <t>9323020540-8</t>
  </si>
  <si>
    <t>Perno Hex Cte 5/8x17x3A</t>
  </si>
  <si>
    <t>9323020560-2</t>
  </si>
  <si>
    <t>Perno Hex Cte G-5 7/8x12x57mm</t>
  </si>
  <si>
    <t>2A51028100-5</t>
  </si>
  <si>
    <t>Perno Hex Cte G-5 1x4x2.1/4</t>
  </si>
  <si>
    <t>2951132064-8</t>
  </si>
  <si>
    <t>Perno Hex Cte G-5 1x8x2.1/2</t>
  </si>
  <si>
    <t>2951132122-9</t>
  </si>
  <si>
    <t>Perno Hex Cte G-5 1x10x2.1/2</t>
  </si>
  <si>
    <t>2951132192-K</t>
  </si>
  <si>
    <t>Perno Hex Cte 5/8x150mm</t>
  </si>
  <si>
    <t>9323020295-6</t>
  </si>
  <si>
    <t>Perno Hex Cte M24x50</t>
  </si>
  <si>
    <t>1024024050-0</t>
  </si>
  <si>
    <t>Perno Hex Cte M24x100</t>
  </si>
  <si>
    <t>1024024100-0</t>
  </si>
  <si>
    <t>1020 1</t>
  </si>
  <si>
    <t>Perno Hex Cte M20x160</t>
  </si>
  <si>
    <t>1024020160-2</t>
  </si>
  <si>
    <t>Perno Hex Cte M24x120</t>
  </si>
  <si>
    <t>1024024120-5</t>
  </si>
  <si>
    <t>Perno Maq. Cab Plana Avell Ranur 3/4x2x1.3/4</t>
  </si>
  <si>
    <t>1521024032-K</t>
  </si>
  <si>
    <t>Perno Ojo 5/8x10x5H</t>
  </si>
  <si>
    <t>9621000100-7</t>
  </si>
  <si>
    <t>PERNOS OJO GV C</t>
  </si>
  <si>
    <t>Perno Ojo 5/8x11x3H</t>
  </si>
  <si>
    <t>9624000130-3</t>
  </si>
  <si>
    <t>Perno Ojo 5/8x11x8H</t>
  </si>
  <si>
    <t>9624000138-9</t>
  </si>
  <si>
    <t>Perno Ojo 5/8x12x127H</t>
  </si>
  <si>
    <t>9621000120-1</t>
  </si>
  <si>
    <t>Perno Ojo 5/8x12x5H</t>
  </si>
  <si>
    <t>9624000142-7</t>
  </si>
  <si>
    <t>Perno Ojo 5/8x12x9H</t>
  </si>
  <si>
    <t>9624000145-1</t>
  </si>
  <si>
    <t>Perno Ojo 5/8x13x3H</t>
  </si>
  <si>
    <t>9624000180-K</t>
  </si>
  <si>
    <t>Perno Ojo 5/8x14x9H</t>
  </si>
  <si>
    <t>9623000148-8</t>
  </si>
  <si>
    <t>Perno Ojo 5/8x14x11H</t>
  </si>
  <si>
    <t>9624000190-7</t>
  </si>
  <si>
    <t>Perno Ojo 5/8x15x12H</t>
  </si>
  <si>
    <t>9624000160-5</t>
  </si>
  <si>
    <t>Perno Ojo 5/8x406x187mm</t>
  </si>
  <si>
    <t>9624000168-0</t>
  </si>
  <si>
    <t>Perno Ojo 5/8x17x14H</t>
  </si>
  <si>
    <t>9624000200-8</t>
  </si>
  <si>
    <t>Perno Ojo 5/8x229</t>
  </si>
  <si>
    <t>9624000010-2</t>
  </si>
  <si>
    <t>Perno Ojo 5/8x7x3H</t>
  </si>
  <si>
    <t>9624000110-9</t>
  </si>
  <si>
    <t>Perno Ojo 5/8x8x4H</t>
  </si>
  <si>
    <t>9624000115-K</t>
  </si>
  <si>
    <t>Perno Ojo 5/8x9x3H</t>
  </si>
  <si>
    <t>9624000015-3</t>
  </si>
  <si>
    <t>Perno Ojo 5/8x9x5H</t>
  </si>
  <si>
    <t>9624000016-1</t>
  </si>
  <si>
    <t>Perno Ojo 5/8x9x6H</t>
  </si>
  <si>
    <t>9624000020-K</t>
  </si>
  <si>
    <t>Perno Ojo G-5 3/4x10x4H</t>
  </si>
  <si>
    <t>9653000040-8</t>
  </si>
  <si>
    <t>Perno Ojo G-5 3/4x13</t>
  </si>
  <si>
    <t>9653000050-5</t>
  </si>
  <si>
    <t>Perno Ojo Soldado 1/2x300</t>
  </si>
  <si>
    <t>9623000205-0</t>
  </si>
  <si>
    <t>Perno Ojo Soldado 1/2x406</t>
  </si>
  <si>
    <t>9623000053-8</t>
  </si>
  <si>
    <t>Perno Ojo soldado 3/4x7x4H</t>
  </si>
  <si>
    <t>9623000355-3</t>
  </si>
  <si>
    <t>Perno Ojo Soldado 3/4x9x4H</t>
  </si>
  <si>
    <t>9623000380-4</t>
  </si>
  <si>
    <t>Perno Ojo Soldado 3/4x10x5H</t>
  </si>
  <si>
    <t>9623000395-2</t>
  </si>
  <si>
    <t>Perno Ojo Soldado 3/4x11x3H</t>
  </si>
  <si>
    <t>9623000400-2</t>
  </si>
  <si>
    <t>Perno Ojo Soldado 3/4x13x4H</t>
  </si>
  <si>
    <t>9623000406-1</t>
  </si>
  <si>
    <t>Perno Ojo Soldado 3/4x17x4H</t>
  </si>
  <si>
    <t>9623000490-8</t>
  </si>
  <si>
    <t xml:space="preserve">Perno Ojo Soldado 5/8x9x5H  </t>
  </si>
  <si>
    <t>9623000122-4</t>
  </si>
  <si>
    <t>Perno Ojo Soldado 5/8x11x8H</t>
  </si>
  <si>
    <t>9623000135-6</t>
  </si>
  <si>
    <t xml:space="preserve">Perno Ojo Soldado 5/8x14x6H  </t>
  </si>
  <si>
    <t>Perno p/Cruzamiento 3/4x10</t>
  </si>
  <si>
    <t>2831224160-0</t>
  </si>
  <si>
    <t>Perno p/Cruzamiento 1x12</t>
  </si>
  <si>
    <t>2831232192-2</t>
  </si>
  <si>
    <t>Perno p/Cruzamiento 1x15</t>
  </si>
  <si>
    <t>2831232240-6</t>
  </si>
  <si>
    <t>Perno p/Cruzamiento 1x8.1/2</t>
  </si>
  <si>
    <t>2831232136-1</t>
  </si>
  <si>
    <t>Perno p/Cruzamiento 1x9</t>
  </si>
  <si>
    <t>2831232144-2</t>
  </si>
  <si>
    <t>Perno p/Cruzamiento 1.1/8xM190</t>
  </si>
  <si>
    <t>2831236124-K</t>
  </si>
  <si>
    <t>Perno p/Cruzamiento 1.1/8xM200</t>
  </si>
  <si>
    <t>2831236125-8</t>
  </si>
  <si>
    <t>Perno p/Cruzamiento 1.1/8xM210</t>
  </si>
  <si>
    <t>2831236126-6</t>
  </si>
  <si>
    <t>Perno p/Cruzamiento 1.1/8xM215</t>
  </si>
  <si>
    <t>2831236130-4</t>
  </si>
  <si>
    <t>Perno p/Cruzamiento 1.1/8xM230</t>
  </si>
  <si>
    <t>2831236133-9</t>
  </si>
  <si>
    <t>Perno p/Cruzamiento 1.1/8xM240</t>
  </si>
  <si>
    <t>2831236134-7</t>
  </si>
  <si>
    <t>Perno p/Cruzamiento 1.1/8xM280</t>
  </si>
  <si>
    <t>2831236160-6</t>
  </si>
  <si>
    <t>Perno p/Cruzamiento 1.1/8xM290</t>
  </si>
  <si>
    <t>2831236170-3</t>
  </si>
  <si>
    <t>Perno p/Cruzamiento 1.1/8xM305</t>
  </si>
  <si>
    <t>2831236175-4</t>
  </si>
  <si>
    <t>Perno p/Cruzamiento 1.1/8xM320</t>
  </si>
  <si>
    <t>2831236180-0</t>
  </si>
  <si>
    <t>Perno p/Cruzamiento 1.1/8xM355</t>
  </si>
  <si>
    <t>2831236205-K</t>
  </si>
  <si>
    <t>Perno p/Cruzamiento 1.1/8xM370</t>
  </si>
  <si>
    <t>2831236210-6</t>
  </si>
  <si>
    <t>Perno p/Cruzamiento 1.1/8xM380</t>
  </si>
  <si>
    <t>2831236220-3</t>
  </si>
  <si>
    <t>Perno p/Cruzamiento 1.1/8xM420</t>
  </si>
  <si>
    <t>2831236240-8</t>
  </si>
  <si>
    <t>Perno p/Cruzamiento 7/8x3.1/2</t>
  </si>
  <si>
    <t>2831228035-5</t>
  </si>
  <si>
    <t>Perno p/Cruzamiento 7/8x12</t>
  </si>
  <si>
    <t>2831228200-5</t>
  </si>
  <si>
    <t>Perno p/Cruzamiento 7/8x15</t>
  </si>
  <si>
    <t>2831228240-4</t>
  </si>
  <si>
    <t>Perno p/Cruzamiento 7/8x7.1/2</t>
  </si>
  <si>
    <t>2831228120-3</t>
  </si>
  <si>
    <t xml:space="preserve">Perno p/Cruzamiento 7/8x8 </t>
  </si>
  <si>
    <t>2831228128-9</t>
  </si>
  <si>
    <t>Perno p/Cruzamiento 7/8x8.1/2</t>
  </si>
  <si>
    <t>2831228142-4</t>
  </si>
  <si>
    <t>Perno p/Cruzamiento 7/8x9</t>
  </si>
  <si>
    <t>2831228144-0</t>
  </si>
  <si>
    <t>Perno p/Cruzamiento 7/8x10,1/2</t>
  </si>
  <si>
    <t>2831228150-5</t>
  </si>
  <si>
    <t>Perno P/Durmiente Puente 3/4x200</t>
  </si>
  <si>
    <t>2821624325-2</t>
  </si>
  <si>
    <t>Perno p/Durmiente Puente 3/4x300</t>
  </si>
  <si>
    <t>2821624350-3</t>
  </si>
  <si>
    <t>Perno p/Durmiente Puente 3/4x400</t>
  </si>
  <si>
    <t>2821624355-4</t>
  </si>
  <si>
    <t>Perno p/Durmiente Puente 3/4x500</t>
  </si>
  <si>
    <t>2821624360-0</t>
  </si>
  <si>
    <t>Perno p/Eclisa 3/4x99</t>
  </si>
  <si>
    <t>2851724009-7</t>
  </si>
  <si>
    <t>Perno Riel p/Eclisa G-5 7/8x130</t>
  </si>
  <si>
    <t>2821628182-0</t>
  </si>
  <si>
    <t>Perno p/Silla 7/8x77</t>
  </si>
  <si>
    <t>2851528014-8</t>
  </si>
  <si>
    <t>1045 7/8</t>
  </si>
  <si>
    <t>Perno riel 3/4x4</t>
  </si>
  <si>
    <t>2721024064-6</t>
  </si>
  <si>
    <t>PERNOS RIELEROS NG C</t>
  </si>
  <si>
    <t>Perno riel FFCC 3/4x90</t>
  </si>
  <si>
    <t>2821624195-0</t>
  </si>
  <si>
    <t>Perno riel FFCC FGO 3/4x90</t>
  </si>
  <si>
    <t>2821624180-2</t>
  </si>
  <si>
    <t>Perno riel FFCC BCY 7/8x115</t>
  </si>
  <si>
    <t>2821628190-1</t>
  </si>
  <si>
    <t>Perno riel FFCC BCY 7/8x152</t>
  </si>
  <si>
    <t>2821628195-2</t>
  </si>
  <si>
    <t>Perno riel FFCC BCY 7/8x6"</t>
  </si>
  <si>
    <t>2821628154-5</t>
  </si>
  <si>
    <t>Perno riel t/Silla DJZ 1x76</t>
  </si>
  <si>
    <t>2821632100-8</t>
  </si>
  <si>
    <t>Perno riel FFCC JDZ 1x130</t>
  </si>
  <si>
    <t>2821632140-7</t>
  </si>
  <si>
    <t>Perno riel FFCC JDZ 1x156</t>
  </si>
  <si>
    <t>2821632145-8</t>
  </si>
  <si>
    <t>Perno riel FFCC JDZ 1x165</t>
  </si>
  <si>
    <t>2821632147-4</t>
  </si>
  <si>
    <t>Perno riel FFCC JDZ 1x180</t>
  </si>
  <si>
    <t>2821632149-0</t>
  </si>
  <si>
    <t>Perno riel FFCC JDZ 1x200</t>
  </si>
  <si>
    <t>2821632151-2</t>
  </si>
  <si>
    <t>Perno riel FFCC KJX 1x140</t>
  </si>
  <si>
    <t>2821632150-4</t>
  </si>
  <si>
    <t>Perno riel FFCC KA 1x175</t>
  </si>
  <si>
    <t>2821632160-1</t>
  </si>
  <si>
    <t>Perno riel FFCC KZ 7/8x98</t>
  </si>
  <si>
    <t>2821628145-6</t>
  </si>
  <si>
    <t>Perno riel FFCC U 3/4x100</t>
  </si>
  <si>
    <t>2821624230-2</t>
  </si>
  <si>
    <t>Perno riel FFCC LGC 3/4x85</t>
  </si>
  <si>
    <t>2821624170-5</t>
  </si>
  <si>
    <t>Perno riel FFCC P Cab Cuad 3/4x85</t>
  </si>
  <si>
    <t>2821624160-8</t>
  </si>
  <si>
    <t>Perno riel FFCC LP 3/4x85</t>
  </si>
  <si>
    <t>2821624150-0</t>
  </si>
  <si>
    <t>Perno riel FFCC 7/8x4x2H</t>
  </si>
  <si>
    <t>2821628150-2</t>
  </si>
  <si>
    <t>Perno riel NA 1x3.1/2</t>
  </si>
  <si>
    <t>2721232056-6</t>
  </si>
  <si>
    <t>Perno riel NA 1x6</t>
  </si>
  <si>
    <t>2721232096-5</t>
  </si>
  <si>
    <t>Perno riel NA 1x6.1/2</t>
  </si>
  <si>
    <t>2721232104-K</t>
  </si>
  <si>
    <t>Perno riel G-2 3/4x4x1.3/4H</t>
  </si>
  <si>
    <t>Perno riel NA 3/4x4.1/4</t>
  </si>
  <si>
    <t>2721224068-6</t>
  </si>
  <si>
    <t>Perno riel NA 5/8x3.1/4</t>
  </si>
  <si>
    <t>2721220052-8</t>
  </si>
  <si>
    <t>Perno riel NA 7/8x4.1/4x2H</t>
  </si>
  <si>
    <t>2721028068-0</t>
  </si>
  <si>
    <t>Perno riel NA 7/8x5x2H</t>
  </si>
  <si>
    <t>2721228080-7</t>
  </si>
  <si>
    <t>Perno riel NA G-5 1x3.1/2</t>
  </si>
  <si>
    <t>2751332056-1</t>
  </si>
  <si>
    <t>Perno riel NA G-5 7/8x5</t>
  </si>
  <si>
    <t>2751328080-2</t>
  </si>
  <si>
    <t>Perno riel p/Tirante K-U-Y-Z 1x100</t>
  </si>
  <si>
    <t>2821632130-K</t>
  </si>
  <si>
    <t>Perno riel t/Silla BCY 7/8x70</t>
  </si>
  <si>
    <t>2821628110-3</t>
  </si>
  <si>
    <t>Perno Talón Aguja BCY 7/8x240</t>
  </si>
  <si>
    <t>2821028240-K</t>
  </si>
  <si>
    <t>Perno Talón Aguja DJKZ  1x260</t>
  </si>
  <si>
    <t>2821032260-6</t>
  </si>
  <si>
    <t>Pletina 32x6x180 p/Elemento Montaje</t>
  </si>
  <si>
    <t>9821800020-7</t>
  </si>
  <si>
    <t>Pletina Abrazadera Poste Tubular</t>
  </si>
  <si>
    <t>7004200010-6</t>
  </si>
  <si>
    <t>Pletina Corta p/Elemento Montaje 32x6x172</t>
  </si>
  <si>
    <t>9821800050-9</t>
  </si>
  <si>
    <t>Pletina Curva p/Cruceta 50x5x300</t>
  </si>
  <si>
    <t>9822900105-1</t>
  </si>
  <si>
    <t>Pletina Curva 38x5x100mm</t>
  </si>
  <si>
    <t>9822905215-2</t>
  </si>
  <si>
    <t>Pletina c/Ova p/Sop Secc Fusible 60x6x360mm</t>
  </si>
  <si>
    <t>6000100062-7</t>
  </si>
  <si>
    <t>Pletina Elemento Montaje Cruc.Madera ( L )</t>
  </si>
  <si>
    <t>9821800010-K</t>
  </si>
  <si>
    <t>Pletina Elemento Montaje Cruc.Metálica( Z )</t>
  </si>
  <si>
    <t>9821800030-4</t>
  </si>
  <si>
    <t>Pletina L p/Elemento Montaje 38x6x205x86</t>
  </si>
  <si>
    <t>9821800040-1</t>
  </si>
  <si>
    <t>Pletina p/Ext. Metalica 1.60Mts  50x6x175</t>
  </si>
  <si>
    <t>9822900130-2</t>
  </si>
  <si>
    <t>Pletina p/Ext. Metalica 178x182x5x200</t>
  </si>
  <si>
    <t>9822900120-5</t>
  </si>
  <si>
    <t>Pletina p/Ext. Metalica 50x5x197mm</t>
  </si>
  <si>
    <t>9822900060-8</t>
  </si>
  <si>
    <t>Pletina p/Ext. Metalica 50x5x218mm</t>
  </si>
  <si>
    <t>9822900090-K</t>
  </si>
  <si>
    <t>Pletina p/Ext. Metalica 50x5x244mm</t>
  </si>
  <si>
    <t>9822900100-0</t>
  </si>
  <si>
    <t>Pletina p/Perno J 50x8x150</t>
  </si>
  <si>
    <t>9822908200-0</t>
  </si>
  <si>
    <t>Pletina p/Soporte Secc Fusible 40x4x395mm</t>
  </si>
  <si>
    <t>6000100061-9</t>
  </si>
  <si>
    <t>Pletina p/Soporte Secc Fusible 32x3x130mm</t>
  </si>
  <si>
    <t>6000100063-5</t>
  </si>
  <si>
    <t>Pletina p/Soporte Cruceta 60x6x75mm</t>
  </si>
  <si>
    <t>6000100016-3</t>
  </si>
  <si>
    <t>Pletina Refuerzo 38x10x63</t>
  </si>
  <si>
    <t>9822904102-9</t>
  </si>
  <si>
    <t>Pletina p/Soldar 140x6x140</t>
  </si>
  <si>
    <t>9822906302-2</t>
  </si>
  <si>
    <t>Pletina p/Soldar 115x4x115</t>
  </si>
  <si>
    <t>9822904105-3</t>
  </si>
  <si>
    <t>Pletina 50x6x110 p/Brazo L 23kV</t>
  </si>
  <si>
    <t>9821950020-3</t>
  </si>
  <si>
    <t>Pletina 50x5x215mm</t>
  </si>
  <si>
    <t>9822908180-2</t>
  </si>
  <si>
    <t>Pletina Unión 10x100x195mm</t>
  </si>
  <si>
    <t>9822910195-1</t>
  </si>
  <si>
    <t>Pletina Unión 12x76x400</t>
  </si>
  <si>
    <t>9822912110-3</t>
  </si>
  <si>
    <t>Pletina Unión 120x10x524</t>
  </si>
  <si>
    <t>9822910210-9</t>
  </si>
  <si>
    <t>Pletina Unión 120x6x305</t>
  </si>
  <si>
    <t>9822906205-0</t>
  </si>
  <si>
    <t>Pletina Unión 120x6x335</t>
  </si>
  <si>
    <t>9822906210-7</t>
  </si>
  <si>
    <t>Pletina Unión 120x6x344</t>
  </si>
  <si>
    <t>9822906215-8</t>
  </si>
  <si>
    <t>Pletina Unión 120x8x640</t>
  </si>
  <si>
    <t>9822908151-9</t>
  </si>
  <si>
    <t>Pletina Unión 60x6x150 s/perforación</t>
  </si>
  <si>
    <t>9822906153-4</t>
  </si>
  <si>
    <t>Pletina Unión 76x6x400</t>
  </si>
  <si>
    <t>9822906185-2</t>
  </si>
  <si>
    <t>Pletina Unión 76x6x295</t>
  </si>
  <si>
    <t>9822906160-7</t>
  </si>
  <si>
    <t>Porta Viga C 100x40x6x496</t>
  </si>
  <si>
    <t>A321210100-0</t>
  </si>
  <si>
    <t>Porta Viga W 125x60x5x500</t>
  </si>
  <si>
    <t>A321230100-K</t>
  </si>
  <si>
    <t>Poste Soporte 100x100x5x1795</t>
  </si>
  <si>
    <t>A800290102-8</t>
  </si>
  <si>
    <t>100x100x5</t>
  </si>
  <si>
    <t>Poste Soporte 100x100x5x2000</t>
  </si>
  <si>
    <t>A822290100-6</t>
  </si>
  <si>
    <t>Prensa Paralella p/Tir perf. redonda</t>
  </si>
  <si>
    <t>A402200035-2</t>
  </si>
  <si>
    <t>Prensa Paralella p/Tir perf. Cuadrada</t>
  </si>
  <si>
    <t>A402200030-1</t>
  </si>
  <si>
    <t>Regleta p/Suspensión de Cable</t>
  </si>
  <si>
    <t>9821710100-K</t>
  </si>
  <si>
    <t>Rejilla Lateral 980x130</t>
  </si>
  <si>
    <t>9821910203-8</t>
  </si>
  <si>
    <t>Rejilla Rectangular Empotrada 500x1000</t>
  </si>
  <si>
    <t>9821910207-0</t>
  </si>
  <si>
    <t>Rejilla Rectangular Empotrada 700x800</t>
  </si>
  <si>
    <t>9821910201-1</t>
  </si>
  <si>
    <t>Rejilla Rectangular Empotrada 740x990</t>
  </si>
  <si>
    <t>9821910206-2</t>
  </si>
  <si>
    <t>Rejilla Rectangular Empotrada 980x410</t>
  </si>
  <si>
    <t>9821910202-K</t>
  </si>
  <si>
    <t>Remache Cte 3/4x70</t>
  </si>
  <si>
    <t>5020024570-6</t>
  </si>
  <si>
    <t>Separador p/Espiga Punta Poste</t>
  </si>
  <si>
    <t>9822810160-5</t>
  </si>
  <si>
    <t>Separador P/Elemento Montaje Desc.Fus.</t>
  </si>
  <si>
    <t>9822810140-0</t>
  </si>
  <si>
    <t>Separador p/Soporte de 5 vías</t>
  </si>
  <si>
    <t>9822810120-6</t>
  </si>
  <si>
    <t>Soporte Caja Empalme</t>
  </si>
  <si>
    <t>A800210017-8</t>
  </si>
  <si>
    <t>Soporte 1 Via p/Alumbrado Público</t>
  </si>
  <si>
    <t>A800260040-5</t>
  </si>
  <si>
    <t>Soporte 2 Vías p/Empalme</t>
  </si>
  <si>
    <t>A800200165-K</t>
  </si>
  <si>
    <t>Soporte 2 Vías p/Empalme s/Pasador</t>
  </si>
  <si>
    <t>A800200168-4</t>
  </si>
  <si>
    <t>Soporte Cruceta Plana 190x6x200</t>
  </si>
  <si>
    <t>A800228030-3</t>
  </si>
  <si>
    <t>Soporte de Anclaje Pilar Tipo A 40x40x5x900</t>
  </si>
  <si>
    <t>A800290040-5</t>
  </si>
  <si>
    <t>Soporte de Anclaje Pilar Tipo E 40x40x5x900</t>
  </si>
  <si>
    <t>A800290070-3</t>
  </si>
  <si>
    <t>Soporte de Ductos Tipo A 40x40x5x700</t>
  </si>
  <si>
    <t>A800290030-2</t>
  </si>
  <si>
    <t>Soporte de Ductos Tipo E 40x40x5x700</t>
  </si>
  <si>
    <t>A800290060-0</t>
  </si>
  <si>
    <t>Soporte de Escalerilla Tipo A 40x40x5x700</t>
  </si>
  <si>
    <t>A800290020-K</t>
  </si>
  <si>
    <t>Soporte de Escalerilla Tipo E 40x40x5x700</t>
  </si>
  <si>
    <t>A800290050-8</t>
  </si>
  <si>
    <t>Soporte Met. Montaje Seccionador</t>
  </si>
  <si>
    <t>A800210113-1</t>
  </si>
  <si>
    <t>Soporte L 50x50x5x50</t>
  </si>
  <si>
    <t>A800210084-4</t>
  </si>
  <si>
    <t>Soporte p/Abrazadera 50x8x234 ( T )</t>
  </si>
  <si>
    <t>A800200310-5</t>
  </si>
  <si>
    <t xml:space="preserve">Soporte p/Empalme Mono </t>
  </si>
  <si>
    <t>A800225020-K</t>
  </si>
  <si>
    <t>Soporte p/Red BT/Empalme 65x65x5x50</t>
  </si>
  <si>
    <t>A800225035-8</t>
  </si>
  <si>
    <t>Soporte p/Montaje secc fusible 630A  500V</t>
  </si>
  <si>
    <t>A800210106-9</t>
  </si>
  <si>
    <t>Soporte de Paso 8 Aletas</t>
  </si>
  <si>
    <t>A800200105-6</t>
  </si>
  <si>
    <t>SOPORTES DE PASO GV F</t>
  </si>
  <si>
    <t>Soporte de Paso en un Plano 735x500x5x70mm</t>
  </si>
  <si>
    <t>A800210101-8</t>
  </si>
  <si>
    <t>Soporte de Paso en un Plano 940x590x700mm</t>
  </si>
  <si>
    <t>A800210103-4</t>
  </si>
  <si>
    <t>Soporte Paso 5/8x321</t>
  </si>
  <si>
    <t>A800200200-1</t>
  </si>
  <si>
    <t>SOPORTES DE PASO GV C</t>
  </si>
  <si>
    <t>Soporte Paso 5/8x378</t>
  </si>
  <si>
    <t>A800200250-8</t>
  </si>
  <si>
    <t>Soporte Paso 5/8x416</t>
  </si>
  <si>
    <t>A800200270-2</t>
  </si>
  <si>
    <t>Soporte de Paso c/Angulo 605x490x395mm</t>
  </si>
  <si>
    <t>A800210077-1</t>
  </si>
  <si>
    <t>Soporte Paso 1/2x320</t>
  </si>
  <si>
    <t>A800200020-3</t>
  </si>
  <si>
    <t>Soporte Paso 1/2x320x75H</t>
  </si>
  <si>
    <t>A801200020-1</t>
  </si>
  <si>
    <t>Soporte Paso 1/2x378</t>
  </si>
  <si>
    <t>A801200023-6</t>
  </si>
  <si>
    <t>Soporte Paso 1/2x378x75H</t>
  </si>
  <si>
    <t>A800200023-8</t>
  </si>
  <si>
    <t>Soporte Paso 1/2x415 BSW</t>
  </si>
  <si>
    <t>A800200035-1</t>
  </si>
  <si>
    <t>Soporte Paso 1/2x415</t>
  </si>
  <si>
    <t>A800200025-4</t>
  </si>
  <si>
    <t>Soporte Paso 1/2x415 c/Perf Hilo</t>
  </si>
  <si>
    <t>A800200040-9</t>
  </si>
  <si>
    <t>Soporte Paso Soldado 1/2x317</t>
  </si>
  <si>
    <t>A800200155-2</t>
  </si>
  <si>
    <t>Soporte Paso Soldado 1/2x374</t>
  </si>
  <si>
    <t>A800200158-7</t>
  </si>
  <si>
    <t>Soporte Paso Soldado 1/2x437</t>
  </si>
  <si>
    <t>A800200160-9</t>
  </si>
  <si>
    <t>Soporte Racks 6 aletas</t>
  </si>
  <si>
    <t>A800200090-4</t>
  </si>
  <si>
    <t>Soporte Racks 8 aletas</t>
  </si>
  <si>
    <t>A800200095-5</t>
  </si>
  <si>
    <t>Soporte Racks 10 aletas</t>
  </si>
  <si>
    <t>A800200100-5</t>
  </si>
  <si>
    <t>Soporte Remate Liviano</t>
  </si>
  <si>
    <t>A800200050-5</t>
  </si>
  <si>
    <t>Soporte Remate Mediano-14</t>
  </si>
  <si>
    <t>A800200055-6</t>
  </si>
  <si>
    <t>Soporte Remate Pesado</t>
  </si>
  <si>
    <t>A800200065-3</t>
  </si>
  <si>
    <t>Soporte Secc. Tripolar APR-160</t>
  </si>
  <si>
    <t>A800210083-6</t>
  </si>
  <si>
    <t>OTROS SOPORTES GV C</t>
  </si>
  <si>
    <t>Soporte Susp. p/Cable Preensamblado</t>
  </si>
  <si>
    <t>A800210115-8</t>
  </si>
  <si>
    <t>Soporte Tipo L 220x150x10 c/golilla</t>
  </si>
  <si>
    <t>Soporte Tipo L 38x6x100x50</t>
  </si>
  <si>
    <t>A800210080-1</t>
  </si>
  <si>
    <t>Soporte Tipo L p/Acometida</t>
  </si>
  <si>
    <t>A800210065-8</t>
  </si>
  <si>
    <t>Soporte Trapecio Costanera 40x40x3x1200</t>
  </si>
  <si>
    <t>A800290090-9</t>
  </si>
  <si>
    <t>Soporte Trapecio Muro 40x40x3x1800</t>
  </si>
  <si>
    <t>A800290080-6</t>
  </si>
  <si>
    <t>Soporte Vertical 80x35x5x920mm</t>
  </si>
  <si>
    <t>A800210100-K</t>
  </si>
  <si>
    <t>Taco de Madera 80x60x120</t>
  </si>
  <si>
    <t>6000100010-4</t>
  </si>
  <si>
    <t xml:space="preserve">FIJACIONES </t>
  </si>
  <si>
    <t>Tapa Cámara 900 x 850</t>
  </si>
  <si>
    <t>9821910204-6</t>
  </si>
  <si>
    <t>Tarra Chica p/Acopio 800x400x900</t>
  </si>
  <si>
    <t>6699099090-6</t>
  </si>
  <si>
    <t>Tarra Grande p/Acopio 800x650x900</t>
  </si>
  <si>
    <t>6699099080-9</t>
  </si>
  <si>
    <t>Tirafondo N°1, 7/8x125</t>
  </si>
  <si>
    <t>3824028125-K</t>
  </si>
  <si>
    <t>TIRAFONDOS RIELEROS NG C</t>
  </si>
  <si>
    <t>Tirafondo riel 7/8x132</t>
  </si>
  <si>
    <t>3824028205-1</t>
  </si>
  <si>
    <t>Tirafondo riel 7/8x194 GV</t>
  </si>
  <si>
    <t>3824228194-K</t>
  </si>
  <si>
    <t>TIRAFONDOS RIELEROS GV C</t>
  </si>
  <si>
    <t>Tirafondo N°2, 7/8x145</t>
  </si>
  <si>
    <t>3824028175-6</t>
  </si>
  <si>
    <t>Tirafondo Nº2, 7/8x149</t>
  </si>
  <si>
    <t>3824028180-2</t>
  </si>
  <si>
    <t>Tirafondo Nº5, 7/8x150</t>
  </si>
  <si>
    <t>3824028200-0</t>
  </si>
  <si>
    <t>Tirafondo p/Panel 7/8x225</t>
  </si>
  <si>
    <t>3824028220-5</t>
  </si>
  <si>
    <t>Tirafondo p/Panel 7/8x270</t>
  </si>
  <si>
    <t>3824028240-K</t>
  </si>
  <si>
    <t>Tirafondo riel Especial M23x142</t>
  </si>
  <si>
    <t>3824023142-2</t>
  </si>
  <si>
    <t>Tirafondo riel M21x111,5 GV</t>
  </si>
  <si>
    <t>3824221110-0</t>
  </si>
  <si>
    <t>Tirafondo riel M21x110 NG</t>
  </si>
  <si>
    <t>3824021110-3</t>
  </si>
  <si>
    <t>Tirafondo riel M21x111,5 NG</t>
  </si>
  <si>
    <t>3824021511-7</t>
  </si>
  <si>
    <t>Tirafondo riel M21x113,35 GV</t>
  </si>
  <si>
    <t>3824221113-5</t>
  </si>
  <si>
    <t>Tirafondo riel M21x125</t>
  </si>
  <si>
    <t>3824021515-K</t>
  </si>
  <si>
    <t>Tirante 3/4x7'</t>
  </si>
  <si>
    <t>8321200200-6</t>
  </si>
  <si>
    <t>TIRANTES GV F</t>
  </si>
  <si>
    <t>Tirante 39"  Galv.</t>
  </si>
  <si>
    <t>8321220140-8</t>
  </si>
  <si>
    <t>Tirante 39"  Azul/Rojo</t>
  </si>
  <si>
    <t>8321250142-8</t>
  </si>
  <si>
    <t>Tuerca c/Inserto 1.1/2</t>
  </si>
  <si>
    <t>3461048000-6</t>
  </si>
  <si>
    <t>TUERCAS TRE NG C</t>
  </si>
  <si>
    <t>Tuerca c/Inserto 2"</t>
  </si>
  <si>
    <t>3461064000-3</t>
  </si>
  <si>
    <t>Tuerca Cuad Ref 1/2</t>
  </si>
  <si>
    <t>3323216000-K</t>
  </si>
  <si>
    <t>TUERCAS GV C</t>
  </si>
  <si>
    <t>Tuerca Cuad Ref 1/2 Rebajada</t>
  </si>
  <si>
    <t>3321216000-3</t>
  </si>
  <si>
    <t>Tuerca Cuad Ref 5/8</t>
  </si>
  <si>
    <t>3321220000-5</t>
  </si>
  <si>
    <t>Tuerca Cuad Ref 7/8 NG</t>
  </si>
  <si>
    <t>3321028000-1</t>
  </si>
  <si>
    <t>TUERCAS NG C</t>
  </si>
  <si>
    <t>Tuerca Cuad Ref Especial 7/8</t>
  </si>
  <si>
    <t>6321028000-8</t>
  </si>
  <si>
    <t>Tuerca Hex 3/4 Bulldog</t>
  </si>
  <si>
    <t>6321524000-4</t>
  </si>
  <si>
    <t>Tuerca Hex Bulldog 1"</t>
  </si>
  <si>
    <t>6321532000-8</t>
  </si>
  <si>
    <t>Tuerca Hex Bulldog 3/4"</t>
  </si>
  <si>
    <t>Tuerca Hex Bulldog 7/8"</t>
  </si>
  <si>
    <t>6321528000-6</t>
  </si>
  <si>
    <t>Tuerca Hex Bulldog 1.1/8"</t>
  </si>
  <si>
    <t>6331536000-7</t>
  </si>
  <si>
    <t>Tuerca Hex Cte 1/2  BSW</t>
  </si>
  <si>
    <t>3023216000-0</t>
  </si>
  <si>
    <t>Tuerca Hex Cte 5/8  BSW</t>
  </si>
  <si>
    <t>3023220000-2</t>
  </si>
  <si>
    <t>Tuerca Hex Cte 1  BSW</t>
  </si>
  <si>
    <t>3023232000-8</t>
  </si>
  <si>
    <t>Tuerca Hex Cte 1/2  UNC</t>
  </si>
  <si>
    <t>3021216000-4</t>
  </si>
  <si>
    <t xml:space="preserve">Tuerca Hex Cte M16 </t>
  </si>
  <si>
    <t>3024216000-9</t>
  </si>
  <si>
    <t>Tuerca Hex Cte G-2 7/8 UNC</t>
  </si>
  <si>
    <t>3021228000-K</t>
  </si>
  <si>
    <t>Tuerca Hex Ref 3/4"</t>
  </si>
  <si>
    <t>3121024000-7</t>
  </si>
  <si>
    <t>Tuerca Hex Ref 1"</t>
  </si>
  <si>
    <t>3121032000-0</t>
  </si>
  <si>
    <t>Tuerca Hex Ref 7/8"</t>
  </si>
  <si>
    <t>3121028000-9</t>
  </si>
  <si>
    <t>Tuerca Hex Ref 7/8" Zn</t>
  </si>
  <si>
    <t>3321328000-2</t>
  </si>
  <si>
    <t>Tuerca Hex Ref TRE 2"</t>
  </si>
  <si>
    <t>34C2064000-2</t>
  </si>
  <si>
    <t>Tuerca Hex Ref  G-2  Inditecnor 7/8</t>
  </si>
  <si>
    <t>3421328100-5</t>
  </si>
  <si>
    <t>Tuerca Hex Ref  G-2  1" c/Perf.</t>
  </si>
  <si>
    <t>3421332100-7</t>
  </si>
  <si>
    <t>Tuerca Hex Ref G-3  M18</t>
  </si>
  <si>
    <t>3434118000-9</t>
  </si>
  <si>
    <t>Tuerca Ojo 1/2</t>
  </si>
  <si>
    <t>9023716000-1</t>
  </si>
  <si>
    <t>TUERCAS OJO GV C</t>
  </si>
  <si>
    <t>Tuerca Ojo 5/8</t>
  </si>
  <si>
    <t>9023720010-0</t>
  </si>
  <si>
    <t>Tuerca Ojo 3/4</t>
  </si>
  <si>
    <t>9023724000-5</t>
  </si>
  <si>
    <t>Viga Porta Transf. C 100x40x6x2320</t>
  </si>
  <si>
    <t>A321010100-3</t>
  </si>
  <si>
    <t>Viga Porta Transf. U 125x60x5x2320</t>
  </si>
  <si>
    <t>A321020100-8</t>
  </si>
  <si>
    <t>Viga Porta Transf. C 100x40x6x2350</t>
  </si>
  <si>
    <t>A321010120-8</t>
  </si>
  <si>
    <t>Vigueta Afianza L 50x50x6x600</t>
  </si>
  <si>
    <t>A321420100-2</t>
  </si>
  <si>
    <t>VIGUETAS GV F</t>
  </si>
  <si>
    <t>Vigueta Afianza L 65x65x5x690</t>
  </si>
  <si>
    <t>A321420105-3</t>
  </si>
  <si>
    <t>Vigueta Afianza L 65x65x8x630</t>
  </si>
  <si>
    <t>A321420120-7</t>
  </si>
  <si>
    <t>Vigueta C 150x50x6x900mm</t>
  </si>
  <si>
    <t>A321410082-6</t>
  </si>
  <si>
    <t>Vigueta C Doble 150x50x5x6000mm</t>
  </si>
  <si>
    <t>A321410084-8</t>
  </si>
  <si>
    <t>Vigueta C tipo 1 125x50x5x6600mm</t>
  </si>
  <si>
    <t>A321410090-K</t>
  </si>
  <si>
    <t>Vigueta C tipo 2 125x50x5x6600mm</t>
  </si>
  <si>
    <t>A321410095-3</t>
  </si>
  <si>
    <t>Vigueta Canal C 34x34x3x480mm</t>
  </si>
  <si>
    <t>A321400225-5</t>
  </si>
  <si>
    <t>Vigueta PortaViga C 100x40x6x480</t>
  </si>
  <si>
    <t>A321410100-8</t>
  </si>
  <si>
    <t>Vigueta Canal C 150x5x50x740</t>
  </si>
  <si>
    <t>A321410093-1</t>
  </si>
  <si>
    <t>Vigueta Tipo Z 40x30x4x480mm</t>
  </si>
  <si>
    <t>A321400229-8</t>
  </si>
  <si>
    <t>OT</t>
  </si>
  <si>
    <t>%</t>
  </si>
  <si>
    <t>CANTIDAD</t>
  </si>
  <si>
    <t>PROCESO</t>
  </si>
  <si>
    <t>ESTAMPAR</t>
  </si>
  <si>
    <t>Kgs/Und</t>
  </si>
  <si>
    <t>REBABA INT</t>
  </si>
  <si>
    <t>REBABA EXT</t>
  </si>
  <si>
    <t>TERRAJAR</t>
  </si>
  <si>
    <t>REBABAR</t>
  </si>
  <si>
    <t>PUNTEAR</t>
  </si>
  <si>
    <t>MAQUINA PRE</t>
  </si>
  <si>
    <t>MAQUINA ASIG</t>
  </si>
  <si>
    <t>STD</t>
  </si>
  <si>
    <t>ETAPA</t>
  </si>
  <si>
    <t>ENDEREZAR</t>
  </si>
  <si>
    <t>PUNT TIRAFONDOS</t>
  </si>
  <si>
    <t>LAMIN TIRAFONDO</t>
  </si>
  <si>
    <t>PUNT PER</t>
  </si>
  <si>
    <t>TERR PER - 01</t>
  </si>
  <si>
    <t>TERR PER - 02</t>
  </si>
  <si>
    <t>TERR PER - 03</t>
  </si>
  <si>
    <t>TERR PER - 04</t>
  </si>
  <si>
    <t>TERR PER - 05</t>
  </si>
  <si>
    <t>TERR PER - 06</t>
  </si>
  <si>
    <t>TERR PER - 07</t>
  </si>
  <si>
    <t>TERR PER - 08</t>
  </si>
  <si>
    <t>DESCRIPCION</t>
  </si>
  <si>
    <t>SALDO</t>
  </si>
  <si>
    <t>CÓD-MAQ</t>
  </si>
  <si>
    <t>SUMA OT</t>
  </si>
  <si>
    <t>PERFORAR18</t>
  </si>
  <si>
    <t>PERF OVALADA</t>
  </si>
  <si>
    <t>KGS x UND</t>
  </si>
  <si>
    <t>OT MAQUINA</t>
  </si>
  <si>
    <t>PRODUCTO ETAPA</t>
  </si>
  <si>
    <t>ESTAPA PRENSA</t>
  </si>
  <si>
    <t>DOBLAR</t>
  </si>
  <si>
    <t>CORTAR</t>
  </si>
  <si>
    <t>N° ETAPA</t>
  </si>
  <si>
    <t>LAMINAR</t>
  </si>
  <si>
    <t>REPASAR</t>
  </si>
  <si>
    <t>9822420010-3</t>
  </si>
  <si>
    <t>LAMIN ZURZOLO</t>
  </si>
  <si>
    <t>PROCESO FINAL</t>
  </si>
  <si>
    <t>T</t>
  </si>
  <si>
    <t>PRI</t>
  </si>
  <si>
    <t>KGS/UND</t>
  </si>
  <si>
    <t xml:space="preserve">ITEM 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</si>
  <si>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</si>
  <si>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</si>
  <si>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</si>
  <si>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</si>
  <si>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</si>
  <si>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</si>
  <si>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</si>
  <si>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</si>
  <si>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</si>
  <si>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</si>
  <si>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</si>
  <si>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</si>
  <si>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</si>
  <si>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</si>
  <si>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</si>
  <si>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</si>
  <si>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</si>
  <si>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</si>
  <si>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</si>
  <si>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ORDEN</t>
  </si>
  <si>
    <t xml:space="preserve">PRODUCCIÓN EN PROCESO [Kgs] </t>
  </si>
  <si>
    <t>PRODUCCIÓN TERMINADA [Kgs/Turno]</t>
  </si>
  <si>
    <t>PRODUCCIÓN VALORIZADA [MM/Turno]</t>
  </si>
  <si>
    <t>$ KG</t>
  </si>
  <si>
    <t>IT</t>
  </si>
  <si>
    <t>REBAJAR</t>
  </si>
  <si>
    <t>ESTRIAR</t>
  </si>
  <si>
    <t>PUNT 2 CAB</t>
  </si>
  <si>
    <t>1° GOLPE</t>
  </si>
  <si>
    <t>2° GOLPE</t>
  </si>
  <si>
    <t xml:space="preserve">PERFORAR </t>
  </si>
  <si>
    <t>FORJAR</t>
  </si>
  <si>
    <t>PRENSA EX - 16</t>
  </si>
  <si>
    <t>REBABAR EXT</t>
  </si>
  <si>
    <t>REBABAR INT</t>
  </si>
  <si>
    <t>AVANCE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</si>
</sst>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#,##0.000"/>
    <numFmt numFmtId="165" formatCode="_-[$€]\ * #,##0.00_-;\-[$€]\ * #,##0.00_-;_-[$€]\ * &quot;-&quot;??_-;_-@_-"/>
    <numFmt numFmtId="166" formatCode="mmm"/>
    <numFmt numFmtId="167" formatCode="#,##0.0"/>
    <numFmt numFmtId="168" formatCode="0.000"/>
    <numFmt numFmtId="169" formatCode="ddd/dd"/>
    <numFmt numFmtId="170" formatCode="ddd/dd/mm"/>
  </numFmts>
  <fonts count="2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name val="Calibri"/>
      <family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name val="Calibri"/>
      <family val="2"/>
      <scheme val="minor"/>
    </font>
    <font>
      <b/>
      <sz val="9"/>
      <color theme="1"/>
      <name val="Arial"/>
      <family val="2"/>
    </font>
    <font>
      <sz val="11"/>
      <name val="Calibri"/>
      <family val="2"/>
      <scheme val="minor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sz val="10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/>
      <right/>
      <top style="hair">
        <color rgb="FFFF0000"/>
      </top>
      <bottom style="hair">
        <color rgb="FFFF0000"/>
      </bottom>
      <diagonal/>
    </border>
    <border>
      <left/>
      <right style="hair">
        <color rgb="FFFF0000"/>
      </right>
      <top style="hair">
        <color rgb="FFFF0000"/>
      </top>
      <bottom style="hair">
        <color rgb="FFFF0000"/>
      </bottom>
      <diagonal/>
    </border>
    <border>
      <left style="hair">
        <color rgb="FFFF0000"/>
      </left>
      <right/>
      <top style="hair">
        <color rgb="FFFF0000"/>
      </top>
      <bottom style="hair">
        <color rgb="FFFF0000"/>
      </bottom>
      <diagonal/>
    </border>
    <border>
      <left style="thin">
        <color theme="0"/>
      </left>
      <right style="thin">
        <color theme="0"/>
      </right>
      <top/>
      <bottom style="hair">
        <color rgb="FFFF0000"/>
      </bottom>
      <diagonal/>
    </border>
    <border>
      <left/>
      <right style="thin">
        <color theme="0"/>
      </right>
      <top/>
      <bottom style="hair">
        <color rgb="FFFF0000"/>
      </bottom>
      <diagonal/>
    </border>
    <border>
      <left style="thin">
        <color theme="0"/>
      </left>
      <right/>
      <top/>
      <bottom style="hair">
        <color rgb="FFFF0000"/>
      </bottom>
      <diagonal/>
    </border>
    <border>
      <left style="thin">
        <color theme="0"/>
      </left>
      <right/>
      <top/>
      <bottom/>
      <diagonal/>
    </border>
  </borders>
  <cellStyleXfs count="6">
    <xf numFmtId="0" fontId="0" fillId="0" borderId="0"/>
    <xf numFmtId="165" fontId="2" fillId="0" borderId="0" applyFont="0" applyFill="0" applyBorder="0" applyAlignment="0" applyProtection="0"/>
    <xf numFmtId="0" fontId="2" fillId="0" borderId="0"/>
    <xf numFmtId="0" fontId="2" fillId="0" borderId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1">
    <xf numFmtId="0" fontId="0" fillId="0" borderId="0" xfId="0"/>
    <xf numFmtId="0" fontId="10" fillId="0" borderId="0" xfId="0" applyFont="1" applyAlignment="1">
      <alignment horizontal="left"/>
    </xf>
    <xf numFmtId="0" fontId="2" fillId="0" borderId="1" xfId="2" applyBorder="1" applyAlignment="1">
      <alignment vertical="center"/>
    </xf>
    <xf numFmtId="1" fontId="0" fillId="0" borderId="0" xfId="0" applyNumberFormat="1"/>
    <xf numFmtId="0" fontId="2" fillId="0" borderId="0" xfId="2" applyAlignment="1">
      <alignment vertical="center"/>
    </xf>
    <xf numFmtId="16" fontId="0" fillId="0" borderId="0" xfId="0" applyNumberFormat="1"/>
    <xf numFmtId="0" fontId="11" fillId="0" borderId="2" xfId="0" applyFont="1" applyBorder="1"/>
    <xf numFmtId="169" fontId="0" fillId="0" borderId="0" xfId="0" applyNumberFormat="1"/>
    <xf numFmtId="166" fontId="0" fillId="0" borderId="0" xfId="0" applyNumberFormat="1"/>
    <xf numFmtId="0" fontId="0" fillId="2" borderId="0" xfId="0" applyFill="1"/>
    <xf numFmtId="0" fontId="8" fillId="3" borderId="0" xfId="0" applyFont="1" applyFill="1"/>
    <xf numFmtId="0" fontId="0" fillId="0" borderId="3" xfId="0" applyBorder="1"/>
    <xf numFmtId="0" fontId="10" fillId="0" borderId="3" xfId="0" applyFont="1" applyBorder="1" applyAlignment="1">
      <alignment horizontal="left"/>
    </xf>
    <xf numFmtId="0" fontId="0" fillId="0" borderId="4" xfId="0" applyBorder="1"/>
    <xf numFmtId="0" fontId="10" fillId="0" borderId="4" xfId="0" applyFont="1" applyBorder="1" applyAlignment="1">
      <alignment horizontal="left"/>
    </xf>
    <xf numFmtId="0" fontId="0" fillId="0" borderId="5" xfId="0" applyBorder="1"/>
    <xf numFmtId="0" fontId="10" fillId="0" borderId="5" xfId="0" applyFont="1" applyBorder="1" applyAlignment="1">
      <alignment horizontal="left"/>
    </xf>
    <xf numFmtId="0" fontId="0" fillId="4" borderId="0" xfId="0" applyFill="1"/>
    <xf numFmtId="0" fontId="2" fillId="2" borderId="0" xfId="2" applyFill="1" applyAlignment="1">
      <alignment vertical="center"/>
    </xf>
    <xf numFmtId="16" fontId="0" fillId="2" borderId="0" xfId="0" applyNumberFormat="1" applyFill="1"/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3" fillId="0" borderId="0" xfId="2" applyFont="1" applyAlignment="1">
      <alignment horizontal="center" vertical="center"/>
    </xf>
    <xf numFmtId="0" fontId="3" fillId="2" borderId="0" xfId="2" applyFont="1" applyFill="1" applyAlignment="1">
      <alignment horizontal="center" vertical="center"/>
    </xf>
    <xf numFmtId="0" fontId="9" fillId="4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13" fillId="0" borderId="0" xfId="0" applyFont="1"/>
    <xf numFmtId="0" fontId="4" fillId="0" borderId="0" xfId="0" applyFont="1" applyAlignment="1">
      <alignment horizontal="left"/>
    </xf>
    <xf numFmtId="0" fontId="14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 wrapText="1"/>
    </xf>
    <xf numFmtId="0" fontId="1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8" fillId="0" borderId="0" xfId="2" applyFont="1" applyAlignment="1">
      <alignment horizontal="center" vertical="center" wrapText="1"/>
    </xf>
    <xf numFmtId="0" fontId="2" fillId="0" borderId="0" xfId="2" applyAlignment="1">
      <alignment horizontal="center" vertical="center"/>
    </xf>
    <xf numFmtId="1" fontId="1" fillId="0" borderId="0" xfId="2" applyNumberFormat="1" applyFont="1" applyAlignment="1">
      <alignment horizontal="center" vertical="center"/>
    </xf>
    <xf numFmtId="164" fontId="2" fillId="0" borderId="0" xfId="2" applyNumberFormat="1" applyAlignment="1">
      <alignment horizontal="center" vertical="center"/>
    </xf>
    <xf numFmtId="49" fontId="2" fillId="0" borderId="0" xfId="2" applyNumberFormat="1" applyAlignment="1">
      <alignment horizontal="center" vertical="center"/>
    </xf>
    <xf numFmtId="3" fontId="2" fillId="0" borderId="0" xfId="2" applyNumberFormat="1" applyAlignment="1">
      <alignment horizontal="center" vertical="center"/>
    </xf>
    <xf numFmtId="164" fontId="13" fillId="0" borderId="0" xfId="0" applyNumberFormat="1" applyFont="1"/>
    <xf numFmtId="49" fontId="2" fillId="0" borderId="0" xfId="2" applyNumberFormat="1" applyAlignment="1">
      <alignment horizontal="center"/>
    </xf>
    <xf numFmtId="3" fontId="2" fillId="0" borderId="0" xfId="2" applyNumberFormat="1" applyAlignment="1">
      <alignment horizontal="center"/>
    </xf>
    <xf numFmtId="0" fontId="1" fillId="0" borderId="0" xfId="2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9" xfId="0" applyFill="1" applyBorder="1"/>
    <xf numFmtId="0" fontId="2" fillId="5" borderId="0" xfId="2" applyFill="1" applyAlignment="1">
      <alignment vertical="center"/>
    </xf>
    <xf numFmtId="0" fontId="2" fillId="5" borderId="0" xfId="2" applyFill="1" applyAlignment="1">
      <alignment horizontal="center" vertical="center"/>
    </xf>
    <xf numFmtId="1" fontId="1" fillId="5" borderId="0" xfId="2" applyNumberFormat="1" applyFont="1" applyFill="1" applyAlignment="1">
      <alignment horizontal="center" vertical="center"/>
    </xf>
    <xf numFmtId="164" fontId="2" fillId="5" borderId="0" xfId="2" applyNumberFormat="1" applyFill="1" applyAlignment="1">
      <alignment horizontal="center" vertical="center"/>
    </xf>
    <xf numFmtId="49" fontId="2" fillId="5" borderId="0" xfId="2" applyNumberFormat="1" applyFill="1" applyAlignment="1">
      <alignment horizontal="center" vertical="center"/>
    </xf>
    <xf numFmtId="3" fontId="2" fillId="5" borderId="0" xfId="2" applyNumberFormat="1" applyFill="1" applyAlignment="1">
      <alignment horizontal="center" vertical="center"/>
    </xf>
    <xf numFmtId="164" fontId="13" fillId="5" borderId="0" xfId="0" applyNumberFormat="1" applyFont="1" applyFill="1"/>
    <xf numFmtId="0" fontId="13" fillId="5" borderId="0" xfId="0" applyFont="1" applyFill="1"/>
    <xf numFmtId="0" fontId="4" fillId="5" borderId="0" xfId="0" applyFont="1" applyFill="1" applyAlignment="1">
      <alignment horizontal="left"/>
    </xf>
    <xf numFmtId="0" fontId="0" fillId="2" borderId="10" xfId="0" applyFill="1" applyBorder="1"/>
    <xf numFmtId="0" fontId="0" fillId="2" borderId="11" xfId="0" applyFill="1" applyBorder="1"/>
    <xf numFmtId="0" fontId="11" fillId="0" borderId="0" xfId="0" applyFont="1" applyAlignment="1">
      <alignment horizontal="center"/>
    </xf>
    <xf numFmtId="0" fontId="11" fillId="0" borderId="0" xfId="0" applyFont="1"/>
    <xf numFmtId="0" fontId="5" fillId="0" borderId="0" xfId="0" applyFont="1"/>
    <xf numFmtId="0" fontId="14" fillId="0" borderId="1" xfId="2" applyFont="1" applyBorder="1" applyAlignment="1">
      <alignment horizontal="center" vertical="center" wrapText="1"/>
    </xf>
    <xf numFmtId="0" fontId="5" fillId="5" borderId="0" xfId="0" applyFont="1" applyFill="1"/>
    <xf numFmtId="0" fontId="10" fillId="5" borderId="0" xfId="0" applyFont="1" applyFill="1" applyAlignment="1">
      <alignment horizontal="left"/>
    </xf>
    <xf numFmtId="166" fontId="17" fillId="0" borderId="0" xfId="0" applyNumberFormat="1" applyFont="1"/>
    <xf numFmtId="0" fontId="0" fillId="2" borderId="10" xfId="0" applyFill="1" applyBorder="1" applyAlignment="1">
      <alignment horizontal="right"/>
    </xf>
    <xf numFmtId="0" fontId="0" fillId="0" borderId="0" xfId="0" applyAlignment="1">
      <alignment horizontal="right"/>
    </xf>
    <xf numFmtId="0" fontId="13" fillId="2" borderId="0" xfId="0" applyFont="1" applyFill="1"/>
    <xf numFmtId="0" fontId="13" fillId="4" borderId="0" xfId="0" applyFont="1" applyFill="1"/>
    <xf numFmtId="1" fontId="13" fillId="0" borderId="0" xfId="0" applyNumberFormat="1" applyFont="1"/>
    <xf numFmtId="0" fontId="11" fillId="2" borderId="0" xfId="0" applyFont="1" applyFill="1"/>
    <xf numFmtId="0" fontId="18" fillId="0" borderId="0" xfId="0" applyFont="1"/>
    <xf numFmtId="0" fontId="18" fillId="2" borderId="0" xfId="0" applyFont="1" applyFill="1"/>
    <xf numFmtId="0" fontId="6" fillId="0" borderId="0" xfId="0" applyFont="1" applyAlignment="1">
      <alignment horizontal="left"/>
    </xf>
    <xf numFmtId="0" fontId="3" fillId="0" borderId="0" xfId="2" applyFont="1" applyAlignment="1">
      <alignment vertical="center"/>
    </xf>
    <xf numFmtId="16" fontId="11" fillId="0" borderId="0" xfId="0" applyNumberFormat="1" applyFont="1"/>
    <xf numFmtId="0" fontId="11" fillId="0" borderId="7" xfId="0" applyFont="1" applyBorder="1" applyAlignment="1">
      <alignment horizontal="center"/>
    </xf>
    <xf numFmtId="0" fontId="7" fillId="0" borderId="0" xfId="4" applyNumberFormat="1" applyFont="1"/>
    <xf numFmtId="0" fontId="13" fillId="0" borderId="0" xfId="4" applyNumberFormat="1" applyFont="1"/>
    <xf numFmtId="0" fontId="18" fillId="0" borderId="0" xfId="4" applyNumberFormat="1" applyFont="1"/>
    <xf numFmtId="0" fontId="11" fillId="0" borderId="0" xfId="4" applyNumberFormat="1" applyFont="1"/>
    <xf numFmtId="0" fontId="9" fillId="0" borderId="0" xfId="4" applyNumberFormat="1" applyFont="1" applyAlignment="1">
      <alignment horizontal="center"/>
    </xf>
    <xf numFmtId="0" fontId="11" fillId="0" borderId="0" xfId="4" applyNumberFormat="1" applyFont="1" applyFill="1"/>
    <xf numFmtId="1" fontId="9" fillId="0" borderId="2" xfId="0" applyNumberFormat="1" applyFont="1" applyBorder="1"/>
    <xf numFmtId="1" fontId="7" fillId="0" borderId="0" xfId="4" applyNumberFormat="1" applyFont="1"/>
    <xf numFmtId="0" fontId="0" fillId="0" borderId="8" xfId="0" applyBorder="1" applyAlignment="1">
      <alignment horizontal="center"/>
    </xf>
    <xf numFmtId="170" fontId="19" fillId="0" borderId="0" xfId="0" applyNumberFormat="1" applyFont="1"/>
    <xf numFmtId="0" fontId="0" fillId="2" borderId="9" xfId="0" applyFill="1" applyBorder="1" applyAlignment="1">
      <alignment horizontal="right"/>
    </xf>
    <xf numFmtId="0" fontId="20" fillId="2" borderId="0" xfId="0" applyFont="1" applyFill="1" applyAlignment="1">
      <alignment horizontal="right"/>
    </xf>
    <xf numFmtId="167" fontId="21" fillId="0" borderId="0" xfId="0" applyNumberFormat="1" applyFont="1"/>
    <xf numFmtId="167" fontId="22" fillId="0" borderId="0" xfId="0" applyNumberFormat="1" applyFont="1"/>
    <xf numFmtId="168" fontId="22" fillId="0" borderId="0" xfId="0" applyNumberFormat="1" applyFont="1"/>
    <xf numFmtId="0" fontId="0" fillId="0" borderId="0" xfId="0" applyProtection="1">
      <protection hidden="1"/>
    </xf>
    <xf numFmtId="1" fontId="9" fillId="0" borderId="2" xfId="0" applyNumberFormat="1" applyFont="1" applyBorder="1" applyProtection="1">
      <protection hidden="1"/>
    </xf>
    <xf numFmtId="1" fontId="0" fillId="0" borderId="0" xfId="0" applyNumberFormat="1" applyProtection="1">
      <protection hidden="1"/>
    </xf>
    <xf numFmtId="0" fontId="7" fillId="0" borderId="0" xfId="4" applyNumberFormat="1" applyFont="1" applyProtection="1"/>
    <xf numFmtId="0" fontId="9" fillId="0" borderId="0" xfId="4" applyNumberFormat="1" applyFont="1" applyAlignment="1" applyProtection="1">
      <alignment horizontal="center"/>
    </xf>
    <xf numFmtId="0" fontId="11" fillId="0" borderId="0" xfId="4" applyNumberFormat="1" applyFont="1" applyFill="1" applyProtection="1"/>
    <xf numFmtId="169" fontId="17" fillId="0" borderId="0" xfId="0" applyNumberFormat="1" applyFont="1"/>
    <xf numFmtId="0" fontId="0" fillId="2" borderId="1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/>
    </xf>
    <xf numFmtId="0" fontId="24" fillId="6" borderId="0" xfId="0" applyFont="1" applyFill="1" applyAlignment="1">
      <alignment horizontal="left"/>
    </xf>
    <xf numFmtId="0" fontId="25" fillId="0" borderId="0" xfId="0" applyFont="1" applyAlignment="1">
      <alignment horizontal="left"/>
    </xf>
    <xf numFmtId="0" fontId="17" fillId="0" borderId="0" xfId="0" applyFont="1"/>
    <xf numFmtId="0" fontId="0" fillId="6" borderId="0" xfId="0" applyFill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8" fillId="6" borderId="15" xfId="0" applyFont="1" applyFill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167" fontId="22" fillId="4" borderId="0" xfId="0" applyNumberFormat="1" applyFont="1" applyFill="1"/>
    <xf numFmtId="164" fontId="22" fillId="4" borderId="0" xfId="0" applyNumberFormat="1" applyFont="1" applyFill="1"/>
    <xf numFmtId="0" fontId="27" fillId="0" borderId="0" xfId="0" applyFont="1"/>
    <xf numFmtId="1" fontId="1" fillId="7" borderId="0" xfId="2" applyNumberFormat="1" applyFont="1" applyFill="1" applyAlignment="1">
      <alignment horizontal="center" vertical="center"/>
    </xf>
    <xf numFmtId="0" fontId="13" fillId="7" borderId="0" xfId="0" applyFont="1" applyFill="1"/>
    <xf numFmtId="0" fontId="2" fillId="7" borderId="0" xfId="2" applyFill="1" applyAlignment="1">
      <alignment vertical="center"/>
    </xf>
    <xf numFmtId="0" fontId="2" fillId="7" borderId="0" xfId="2" applyFill="1" applyAlignment="1">
      <alignment horizontal="center" vertical="center"/>
    </xf>
    <xf numFmtId="164" fontId="2" fillId="7" borderId="0" xfId="2" applyNumberFormat="1" applyFill="1" applyAlignment="1">
      <alignment horizontal="center" vertical="center"/>
    </xf>
    <xf numFmtId="49" fontId="2" fillId="7" borderId="0" xfId="2" applyNumberFormat="1" applyFill="1" applyAlignment="1">
      <alignment horizontal="center" vertical="center"/>
    </xf>
    <xf numFmtId="3" fontId="2" fillId="7" borderId="0" xfId="2" applyNumberFormat="1" applyFill="1" applyAlignment="1">
      <alignment horizontal="center" vertical="center"/>
    </xf>
    <xf numFmtId="0" fontId="1" fillId="5" borderId="0" xfId="2" applyFont="1" applyFill="1" applyAlignment="1">
      <alignment horizontal="center" vertical="center"/>
    </xf>
    <xf numFmtId="3" fontId="2" fillId="5" borderId="0" xfId="2" applyNumberFormat="1" applyFill="1" applyAlignment="1">
      <alignment horizontal="center"/>
    </xf>
    <xf numFmtId="170" fontId="19" fillId="0" borderId="0" xfId="0" applyNumberFormat="1" applyFont="1" applyAlignment="1">
      <alignment horizontal="center"/>
    </xf>
  </cellXfs>
  <cellStyles count="6">
    <cellStyle name="Euro" xfId="1" xr:uid="{00000000-0005-0000-0000-000000000000}"/>
    <cellStyle name="Normal" xfId="0" builtinId="0"/>
    <cellStyle name="Normal 2" xfId="2" xr:uid="{00000000-0005-0000-0000-000002000000}"/>
    <cellStyle name="Normal 3" xfId="3" xr:uid="{00000000-0005-0000-0000-000003000000}"/>
    <cellStyle name="Porcentaje" xfId="4" builtinId="5"/>
    <cellStyle name="Porcentual 2" xfId="5" xr:uid="{00000000-0005-0000-0000-000005000000}"/>
  </cellStyles>
  <dxfs count="42">
    <dxf>
      <font>
        <b/>
        <i val="0"/>
        <color rgb="FFC00000"/>
      </font>
    </dxf>
    <dxf>
      <font>
        <b/>
        <i val="0"/>
        <color rgb="FFC00000"/>
      </font>
    </dxf>
    <dxf>
      <font>
        <color theme="0"/>
      </font>
    </dxf>
    <dxf>
      <font>
        <b/>
        <i val="0"/>
        <color theme="0"/>
      </font>
      <fill>
        <gradientFill degree="90">
          <stop position="0">
            <color theme="0"/>
          </stop>
          <stop position="0.5">
            <color rgb="FF02AE12"/>
          </stop>
          <stop position="1">
            <color theme="0"/>
          </stop>
        </gradientFill>
      </fill>
    </dxf>
    <dxf>
      <font>
        <b/>
        <i val="0"/>
        <color theme="0"/>
      </font>
      <fill>
        <gradientFill degree="90">
          <stop position="0">
            <color theme="0"/>
          </stop>
          <stop position="0.5">
            <color rgb="FF07A922"/>
          </stop>
          <stop position="1">
            <color theme="0"/>
          </stop>
        </gradientFill>
      </fill>
    </dxf>
    <dxf>
      <font>
        <b/>
        <i val="0"/>
        <color theme="0"/>
      </font>
      <fill>
        <gradientFill degree="90">
          <stop position="0">
            <color theme="0"/>
          </stop>
          <stop position="0.5">
            <color rgb="FF07A922"/>
          </stop>
          <stop position="1">
            <color theme="0"/>
          </stop>
        </gradientFill>
      </fill>
    </dxf>
    <dxf>
      <font>
        <b/>
        <i val="0"/>
        <color theme="0"/>
      </font>
      <fill>
        <gradientFill degree="90">
          <stop position="0">
            <color theme="0"/>
          </stop>
          <stop position="0.5">
            <color rgb="FF07A922"/>
          </stop>
          <stop position="1">
            <color theme="0"/>
          </stop>
        </gradient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gradientFill degree="90">
          <stop position="0">
            <color theme="0"/>
          </stop>
          <stop position="0.5">
            <color rgb="FF009900"/>
          </stop>
          <stop position="1">
            <color theme="0"/>
          </stop>
        </gradientFill>
      </fill>
    </dxf>
    <dxf>
      <font>
        <b/>
        <i val="0"/>
        <color theme="1"/>
        <name val="Cambria"/>
        <scheme val="none"/>
      </font>
      <fill>
        <patternFill>
          <bgColor rgb="FF99FF66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gradientFill degree="90">
          <stop position="0">
            <color theme="0"/>
          </stop>
          <stop position="0.5">
            <color rgb="FF009900"/>
          </stop>
          <stop position="1">
            <color theme="0"/>
          </stop>
        </gradientFill>
      </fill>
    </dxf>
    <dxf>
      <fill>
        <patternFill patternType="gray125">
          <fgColor theme="5" tint="-0.24994659260841701"/>
          <bgColor theme="6" tint="0.79998168889431442"/>
        </patternFill>
      </fill>
    </dxf>
    <dxf>
      <font>
        <b/>
        <i val="0"/>
        <color theme="0"/>
      </font>
      <fill>
        <gradientFill degree="90">
          <stop position="0">
            <color theme="0"/>
          </stop>
          <stop position="0.5">
            <color rgb="FF009900"/>
          </stop>
          <stop position="1">
            <color theme="0"/>
          </stop>
        </gradientFill>
      </fill>
    </dxf>
    <dxf>
      <font>
        <b/>
        <i val="0"/>
        <color theme="1"/>
        <name val="Cambria"/>
        <scheme val="none"/>
      </font>
      <fill>
        <patternFill>
          <bgColor rgb="FF99FF66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C00000"/>
      </font>
    </dxf>
    <dxf>
      <font>
        <color theme="0" tint="-0.499984740745262"/>
      </font>
    </dxf>
    <dxf>
      <font>
        <strike val="0"/>
        <outline val="0"/>
        <shadow val="0"/>
        <u val="none"/>
        <vertAlign val="baseline"/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</dxf>
    <dxf>
      <font>
        <strike val="0"/>
        <outline val="0"/>
        <shadow val="0"/>
        <u val="none"/>
        <vertAlign val="baseline"/>
        <color auto="1"/>
      </font>
    </dxf>
    <dxf>
      <font>
        <strike val="0"/>
        <outline val="0"/>
        <shadow val="0"/>
        <u val="none"/>
        <vertAlign val="baseline"/>
        <color auto="1"/>
      </font>
    </dxf>
    <dxf>
      <font>
        <strike val="0"/>
        <outline val="0"/>
        <shadow val="0"/>
        <u val="none"/>
        <vertAlign val="baseline"/>
        <color auto="1"/>
      </font>
      <numFmt numFmtId="164" formatCode="#,##0.000"/>
    </dxf>
    <dxf>
      <font>
        <strike val="0"/>
        <outline val="0"/>
        <shadow val="0"/>
        <u val="none"/>
        <vertAlign val="baseline"/>
        <color auto="1"/>
      </font>
      <numFmt numFmtId="3" formatCode="#,##0"/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numFmt numFmtId="30" formatCode="@"/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#,##0.0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relative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relative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medium">
          <color indexed="64"/>
        </top>
        <bottom style="hair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1" defaultTableStyle="TableStyleMedium9" defaultPivotStyle="PivotStyleLight16">
    <tableStyle name="Estilo de tabla 1" pivot="0" count="0" xr9:uid="{00000000-0011-0000-FFFF-FFFF00000000}"/>
  </tableStyles>
  <colors>
    <mruColors>
      <color rgb="FF07A922"/>
      <color rgb="FF02AE12"/>
      <color rgb="FF6EA92D"/>
      <color rgb="FF7EC234"/>
      <color rgb="FF80C5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47625</xdr:rowOff>
        </xdr:from>
        <xdr:to>
          <xdr:col>18</xdr:col>
          <xdr:colOff>76200</xdr:colOff>
          <xdr:row>1</xdr:row>
          <xdr:rowOff>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6A62EAEB-33E0-E43E-0C00-879E3575A6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ORGANIZAR</a:t>
              </a:r>
            </a:p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 MAQUINA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123825</xdr:colOff>
          <xdr:row>0</xdr:row>
          <xdr:rowOff>38100</xdr:rowOff>
        </xdr:from>
        <xdr:to>
          <xdr:col>20</xdr:col>
          <xdr:colOff>609600</xdr:colOff>
          <xdr:row>0</xdr:row>
          <xdr:rowOff>485775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EFC5178D-ED36-3A0F-AB98-97CB203E13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ORGANIZAR  PRIORIDAD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752475</xdr:colOff>
          <xdr:row>0</xdr:row>
          <xdr:rowOff>38100</xdr:rowOff>
        </xdr:from>
        <xdr:to>
          <xdr:col>22</xdr:col>
          <xdr:colOff>323850</xdr:colOff>
          <xdr:row>0</xdr:row>
          <xdr:rowOff>485775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BCE21727-CD78-3C2D-1FE6-BD621DAC35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PROGRAMAR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0</xdr:row>
          <xdr:rowOff>28575</xdr:rowOff>
        </xdr:from>
        <xdr:to>
          <xdr:col>22</xdr:col>
          <xdr:colOff>742950</xdr:colOff>
          <xdr:row>0</xdr:row>
          <xdr:rowOff>485775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62BBE0D8-603A-C5F5-1EEA-13AD87E65F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1790700</xdr:colOff>
          <xdr:row>1</xdr:row>
          <xdr:rowOff>0</xdr:rowOff>
        </xdr:from>
        <xdr:to>
          <xdr:col>7</xdr:col>
          <xdr:colOff>9525</xdr:colOff>
          <xdr:row>3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C0FAC767-E43A-C3C1-01A9-9D1D72AE65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IR A FABRICAR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E62" totalsRowShown="0" headerRowDxfId="41" headerRowBorderDxfId="40" tableBorderDxfId="39">
  <autoFilter ref="A1:E62" xr:uid="{00000000-0009-0000-0100-000001000000}"/>
  <tableColumns count="5">
    <tableColumn id="1" xr3:uid="{00000000-0010-0000-0000-000001000000}" name="ITEM " dataDxfId="38"/>
    <tableColumn id="2" xr3:uid="{00000000-0010-0000-0000-000002000000}" name="CÓD-MAQ" dataDxfId="37"/>
    <tableColumn id="3" xr3:uid="{00000000-0010-0000-0000-000003000000}" name="MAQUINA" dataDxfId="36"/>
    <tableColumn id="4" xr3:uid="{00000000-0010-0000-0000-000004000000}" name="SUMA OT" dataDxfId="35">
      <calculatedColumnFormula>COUNTIFS(FABRICAR!H:H,MAQUINAS!C2,FABRICAR!B:B,"")</calculatedColumnFormula>
    </tableColumn>
    <tableColumn id="6" xr3:uid="{00000000-0010-0000-0000-000006000000}" name="ORDEN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a5" displayName="Tabla5" ref="B1:M753" totalsRowShown="0" headerRowDxfId="34" dataDxfId="33" headerRowCellStyle="Normal 2">
  <autoFilter ref="B1:M753" xr:uid="{00000000-0009-0000-0100-000005000000}"/>
  <tableColumns count="12">
    <tableColumn id="1" xr3:uid="{00000000-0010-0000-0100-000001000000}" name="PRODUCTO" dataDxfId="32" dataCellStyle="Normal 2"/>
    <tableColumn id="2" xr3:uid="{00000000-0010-0000-0100-000002000000}" name="OT REFERENCIA" dataDxfId="31" dataCellStyle="Normal 2"/>
    <tableColumn id="3" xr3:uid="{00000000-0010-0000-0100-000003000000}" name="CODIGO" dataDxfId="30" dataCellStyle="Normal 2"/>
    <tableColumn id="4" xr3:uid="{00000000-0010-0000-0100-000004000000}" name="PESO" dataDxfId="29" dataCellStyle="Normal 2"/>
    <tableColumn id="5" xr3:uid="{00000000-0010-0000-0100-000005000000}" name="MATERIA PRIMA" dataDxfId="28" dataCellStyle="Normal 2"/>
    <tableColumn id="6" xr3:uid="{00000000-0010-0000-0100-000006000000}" name="PROCESO FINAL" dataDxfId="27" dataCellStyle="Normal 2"/>
    <tableColumn id="7" xr3:uid="{00000000-0010-0000-0100-000007000000}" name="PESO ARMADO " dataDxfId="26"/>
    <tableColumn id="8" xr3:uid="{00000000-0010-0000-0100-000008000000}" name="FAMILIA" dataDxfId="25"/>
    <tableColumn id="9" xr3:uid="{00000000-0010-0000-0100-000009000000}" name="MAQUINA" dataDxfId="24"/>
    <tableColumn id="10" xr3:uid="{00000000-0010-0000-0100-00000A000000}" name="ETAPA" dataDxfId="23"/>
    <tableColumn id="11" xr3:uid="{00000000-0010-0000-0100-00000B000000}" name="STD" dataDxfId="22"/>
    <tableColumn id="12" xr3:uid="{00000000-0010-0000-0100-00000C000000}" name="N° ETAPA" dataDxfId="21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64"/>
  <sheetViews>
    <sheetView workbookViewId="0">
      <pane ySplit="1" topLeftCell="A2" activePane="bottomLeft" state="frozen"/>
      <selection pane="bottomLeft" activeCell="I47" sqref="I47"/>
    </sheetView>
  </sheetViews>
  <sheetFormatPr baseColWidth="10" defaultRowHeight="15" x14ac:dyDescent="0.25"/>
  <cols>
    <col min="2" max="2" width="12.42578125" bestFit="1" customWidth="1"/>
    <col min="3" max="3" width="24.85546875" bestFit="1" customWidth="1"/>
    <col min="4" max="4" width="13" customWidth="1"/>
    <col min="5" max="5" width="8.5703125" customWidth="1"/>
  </cols>
  <sheetData>
    <row r="1" spans="1:5" ht="26.25" customHeight="1" thickBot="1" x14ac:dyDescent="0.3">
      <c r="A1" s="43" t="s">
        <v>1641</v>
      </c>
      <c r="B1" s="43" t="s">
        <v>1622</v>
      </c>
      <c r="C1" s="43" t="s">
        <v>110</v>
      </c>
      <c r="D1" s="43" t="s">
        <v>1623</v>
      </c>
      <c r="E1" s="43" t="s">
        <v>1661</v>
      </c>
    </row>
    <row r="2" spans="1:5" x14ac:dyDescent="0.25">
      <c r="A2" s="13">
        <v>1</v>
      </c>
      <c r="B2" s="14" t="s">
        <v>0</v>
      </c>
      <c r="C2" s="14" t="s">
        <v>91</v>
      </c>
      <c r="D2" s="13">
        <f>COUNTIFS(FABRICAR!H:H,MAQUINAS!C2,FABRICAR!B:B,"")</f>
        <v>0</v>
      </c>
    </row>
    <row r="3" spans="1:5" x14ac:dyDescent="0.25">
      <c r="A3" s="11">
        <v>2</v>
      </c>
      <c r="B3" s="12" t="s">
        <v>1</v>
      </c>
      <c r="C3" s="12" t="s">
        <v>92</v>
      </c>
      <c r="D3" s="13">
        <f>COUNTIFS(FABRICAR!H:H,MAQUINAS!C3,FABRICAR!B:B,"")</f>
        <v>0</v>
      </c>
    </row>
    <row r="4" spans="1:5" x14ac:dyDescent="0.25">
      <c r="A4" s="11">
        <v>3</v>
      </c>
      <c r="B4" s="12" t="s">
        <v>2</v>
      </c>
      <c r="C4" s="12" t="s">
        <v>93</v>
      </c>
      <c r="D4" s="13">
        <f>COUNTIFS(FABRICAR!H:H,MAQUINAS!C4,FABRICAR!B:B,"")</f>
        <v>0</v>
      </c>
    </row>
    <row r="5" spans="1:5" x14ac:dyDescent="0.25">
      <c r="A5" s="11">
        <v>4</v>
      </c>
      <c r="B5" s="12" t="s">
        <v>3</v>
      </c>
      <c r="C5" s="12" t="s">
        <v>74</v>
      </c>
      <c r="D5" s="13">
        <f>COUNTIFS(FABRICAR!H:H,MAQUINAS!C5,FABRICAR!B:B,"")</f>
        <v>0</v>
      </c>
      <c r="E5" t="s">
        <v>1642</v>
      </c>
    </row>
    <row r="6" spans="1:5" x14ac:dyDescent="0.25">
      <c r="A6" s="11">
        <v>5</v>
      </c>
      <c r="B6" s="12" t="s">
        <v>4</v>
      </c>
      <c r="C6" s="12" t="s">
        <v>75</v>
      </c>
      <c r="D6" s="13">
        <f>COUNTIFS(FABRICAR!H:H,MAQUINAS!C6,FABRICAR!B:B,"")</f>
        <v>0</v>
      </c>
      <c r="E6" t="s">
        <v>1643</v>
      </c>
    </row>
    <row r="7" spans="1:5" x14ac:dyDescent="0.25">
      <c r="A7" s="11">
        <v>6</v>
      </c>
      <c r="B7" s="12" t="s">
        <v>5</v>
      </c>
      <c r="C7" s="12" t="s">
        <v>5</v>
      </c>
      <c r="D7" s="13">
        <f>COUNTIFS(FABRICAR!H:H,MAQUINAS!C7,FABRICAR!B:B,"")</f>
        <v>0</v>
      </c>
    </row>
    <row r="8" spans="1:5" x14ac:dyDescent="0.25">
      <c r="A8" s="11">
        <v>7</v>
      </c>
      <c r="B8" s="12" t="s">
        <v>6</v>
      </c>
      <c r="C8" s="12" t="s">
        <v>76</v>
      </c>
      <c r="D8" s="13">
        <f>COUNTIFS(FABRICAR!H:H,MAQUINAS!C8,FABRICAR!B:B,"")</f>
        <v>1</v>
      </c>
      <c r="E8" t="s">
        <v>1644</v>
      </c>
    </row>
    <row r="9" spans="1:5" x14ac:dyDescent="0.25">
      <c r="A9" s="11">
        <v>8</v>
      </c>
      <c r="B9" s="12" t="s">
        <v>7</v>
      </c>
      <c r="C9" s="12" t="s">
        <v>7</v>
      </c>
      <c r="D9" s="13">
        <f>COUNTIFS(FABRICAR!H:H,MAQUINAS!C9,FABRICAR!B:B,"")</f>
        <v>0</v>
      </c>
    </row>
    <row r="10" spans="1:5" x14ac:dyDescent="0.25">
      <c r="A10" s="11">
        <v>9</v>
      </c>
      <c r="B10" s="12" t="s">
        <v>8</v>
      </c>
      <c r="C10" s="12" t="s">
        <v>77</v>
      </c>
      <c r="D10" s="13">
        <f>COUNTIFS(FABRICAR!H:H,MAQUINAS!C10,FABRICAR!B:B,"")</f>
        <v>2</v>
      </c>
      <c r="E10" t="s">
        <v>1645</v>
      </c>
    </row>
    <row r="11" spans="1:5" x14ac:dyDescent="0.25">
      <c r="A11" s="11">
        <v>10</v>
      </c>
      <c r="B11" s="12" t="s">
        <v>9</v>
      </c>
      <c r="C11" s="12" t="s">
        <v>78</v>
      </c>
      <c r="D11" s="13">
        <f>COUNTIFS(FABRICAR!H:H,MAQUINAS!C11,FABRICAR!B:B,"")</f>
        <v>1</v>
      </c>
      <c r="E11" t="s">
        <v>1646</v>
      </c>
    </row>
    <row r="12" spans="1:5" x14ac:dyDescent="0.25">
      <c r="A12" s="11">
        <v>11</v>
      </c>
      <c r="B12" s="12" t="s">
        <v>10</v>
      </c>
      <c r="C12" s="12" t="s">
        <v>10</v>
      </c>
      <c r="D12" s="13">
        <f>COUNTIFS(FABRICAR!H:H,MAQUINAS!C12,FABRICAR!B:B,"")</f>
        <v>0</v>
      </c>
    </row>
    <row r="13" spans="1:5" x14ac:dyDescent="0.25">
      <c r="A13" s="11">
        <v>12</v>
      </c>
      <c r="B13" s="12" t="s">
        <v>11</v>
      </c>
      <c r="C13" s="12" t="s">
        <v>79</v>
      </c>
      <c r="D13" s="13">
        <f>COUNTIFS(FABRICAR!H:H,MAQUINAS!C13,FABRICAR!B:B,"")</f>
        <v>0</v>
      </c>
      <c r="E13" t="s">
        <v>1647</v>
      </c>
    </row>
    <row r="14" spans="1:5" x14ac:dyDescent="0.25">
      <c r="A14" s="11">
        <v>13</v>
      </c>
      <c r="B14" s="12" t="s">
        <v>12</v>
      </c>
      <c r="C14" s="12" t="s">
        <v>12</v>
      </c>
      <c r="D14" s="13">
        <f>COUNTIFS(FABRICAR!H:H,MAQUINAS!C14,FABRICAR!B:B,"")</f>
        <v>0</v>
      </c>
    </row>
    <row r="15" spans="1:5" x14ac:dyDescent="0.25">
      <c r="A15" s="11">
        <v>14</v>
      </c>
      <c r="B15" s="12" t="s">
        <v>13</v>
      </c>
      <c r="C15" s="12" t="s">
        <v>80</v>
      </c>
      <c r="D15" s="13">
        <f>COUNTIFS(FABRICAR!H:H,MAQUINAS!C15,FABRICAR!B:B,"")</f>
        <v>0</v>
      </c>
      <c r="E15" t="s">
        <v>1648</v>
      </c>
    </row>
    <row r="16" spans="1:5" x14ac:dyDescent="0.25">
      <c r="A16" s="11">
        <v>15</v>
      </c>
      <c r="B16" s="12" t="s">
        <v>14</v>
      </c>
      <c r="C16" s="12" t="s">
        <v>14</v>
      </c>
      <c r="D16" s="13">
        <f>COUNTIFS(FABRICAR!H:H,MAQUINAS!C16,FABRICAR!B:B,"")</f>
        <v>0</v>
      </c>
    </row>
    <row r="17" spans="1:5" x14ac:dyDescent="0.25">
      <c r="A17" s="11">
        <v>16</v>
      </c>
      <c r="B17" s="12" t="s">
        <v>15</v>
      </c>
      <c r="C17" s="12" t="s">
        <v>81</v>
      </c>
      <c r="D17" s="13">
        <f>COUNTIFS(FABRICAR!H:H,MAQUINAS!C17,FABRICAR!B:B,"")</f>
        <v>0</v>
      </c>
    </row>
    <row r="18" spans="1:5" x14ac:dyDescent="0.25">
      <c r="A18" s="11">
        <v>17</v>
      </c>
      <c r="B18" s="12" t="s">
        <v>16</v>
      </c>
      <c r="C18" s="12" t="s">
        <v>82</v>
      </c>
      <c r="D18" s="13">
        <f>COUNTIFS(FABRICAR!H:H,MAQUINAS!C18,FABRICAR!B:B,"")</f>
        <v>0</v>
      </c>
    </row>
    <row r="19" spans="1:5" x14ac:dyDescent="0.25">
      <c r="A19" s="11">
        <v>18</v>
      </c>
      <c r="B19" s="12" t="s">
        <v>17</v>
      </c>
      <c r="C19" s="12" t="s">
        <v>83</v>
      </c>
      <c r="D19" s="13">
        <f>COUNTIFS(FABRICAR!H:H,MAQUINAS!C19,FABRICAR!B:B,"")</f>
        <v>0</v>
      </c>
      <c r="E19" t="s">
        <v>1649</v>
      </c>
    </row>
    <row r="20" spans="1:5" x14ac:dyDescent="0.25">
      <c r="A20" s="11">
        <v>19</v>
      </c>
      <c r="B20" s="12" t="s">
        <v>18</v>
      </c>
      <c r="C20" s="12" t="s">
        <v>84</v>
      </c>
      <c r="D20" s="13">
        <f>COUNTIFS(FABRICAR!H:H,MAQUINAS!C20,FABRICAR!B:B,"")</f>
        <v>1</v>
      </c>
      <c r="E20" t="s">
        <v>1650</v>
      </c>
    </row>
    <row r="21" spans="1:5" x14ac:dyDescent="0.25">
      <c r="A21" s="11">
        <v>20</v>
      </c>
      <c r="B21" s="12" t="s">
        <v>19</v>
      </c>
      <c r="C21" s="12" t="s">
        <v>85</v>
      </c>
      <c r="D21" s="13">
        <f>COUNTIFS(FABRICAR!H:H,MAQUINAS!C21,FABRICAR!B:B,"")</f>
        <v>0</v>
      </c>
      <c r="E21" t="s">
        <v>1651</v>
      </c>
    </row>
    <row r="22" spans="1:5" x14ac:dyDescent="0.25">
      <c r="A22" s="11">
        <v>21</v>
      </c>
      <c r="B22" s="12" t="s">
        <v>20</v>
      </c>
      <c r="C22" s="12" t="s">
        <v>20</v>
      </c>
      <c r="D22" s="13">
        <f>COUNTIFS(FABRICAR!H:H,MAQUINAS!C22,FABRICAR!B:B,"")</f>
        <v>0</v>
      </c>
    </row>
    <row r="23" spans="1:5" x14ac:dyDescent="0.25">
      <c r="A23" s="11">
        <v>22</v>
      </c>
      <c r="B23" s="12" t="s">
        <v>21</v>
      </c>
      <c r="C23" s="12" t="s">
        <v>67</v>
      </c>
      <c r="D23" s="13">
        <f>COUNTIFS(FABRICAR!H:H,MAQUINAS!C23,FABRICAR!B:B,"")</f>
        <v>0</v>
      </c>
      <c r="E23" t="s">
        <v>1652</v>
      </c>
    </row>
    <row r="24" spans="1:5" x14ac:dyDescent="0.25">
      <c r="A24" s="11">
        <v>23</v>
      </c>
      <c r="B24" s="12" t="s">
        <v>22</v>
      </c>
      <c r="C24" s="12" t="s">
        <v>68</v>
      </c>
      <c r="D24" s="13">
        <f>COUNTIFS(FABRICAR!H:H,MAQUINAS!C24,FABRICAR!B:B,"")</f>
        <v>0</v>
      </c>
      <c r="E24" t="s">
        <v>1653</v>
      </c>
    </row>
    <row r="25" spans="1:5" x14ac:dyDescent="0.25">
      <c r="A25" s="11">
        <v>24</v>
      </c>
      <c r="B25" s="12" t="s">
        <v>23</v>
      </c>
      <c r="C25" s="12" t="s">
        <v>69</v>
      </c>
      <c r="D25" s="13">
        <f>COUNTIFS(FABRICAR!H:H,MAQUINAS!C25,FABRICAR!B:B,"")</f>
        <v>1</v>
      </c>
      <c r="E25" t="s">
        <v>1654</v>
      </c>
    </row>
    <row r="26" spans="1:5" x14ac:dyDescent="0.25">
      <c r="A26" s="11">
        <v>25</v>
      </c>
      <c r="B26" s="12" t="s">
        <v>97</v>
      </c>
      <c r="C26" s="12" t="s">
        <v>70</v>
      </c>
      <c r="D26" s="13">
        <f>COUNTIFS(FABRICAR!H:H,MAQUINAS!C26,FABRICAR!B:B,"")</f>
        <v>0</v>
      </c>
      <c r="E26" t="s">
        <v>1655</v>
      </c>
    </row>
    <row r="27" spans="1:5" x14ac:dyDescent="0.25">
      <c r="A27" s="11">
        <v>26</v>
      </c>
      <c r="B27" s="12" t="s">
        <v>24</v>
      </c>
      <c r="C27" s="12" t="s">
        <v>71</v>
      </c>
      <c r="D27" s="13">
        <f>COUNTIFS(FABRICAR!H:H,MAQUINAS!C27,FABRICAR!B:B,"")</f>
        <v>1</v>
      </c>
      <c r="E27" t="s">
        <v>1656</v>
      </c>
    </row>
    <row r="28" spans="1:5" x14ac:dyDescent="0.25">
      <c r="A28" s="11">
        <v>27</v>
      </c>
      <c r="B28" s="12" t="s">
        <v>25</v>
      </c>
      <c r="C28" s="12" t="s">
        <v>72</v>
      </c>
      <c r="D28" s="13">
        <f>COUNTIFS(FABRICAR!H:H,MAQUINAS!C28,FABRICAR!B:B,"")</f>
        <v>2</v>
      </c>
      <c r="E28" t="s">
        <v>1657</v>
      </c>
    </row>
    <row r="29" spans="1:5" x14ac:dyDescent="0.25">
      <c r="A29" s="11">
        <v>28</v>
      </c>
      <c r="B29" s="12" t="s">
        <v>26</v>
      </c>
      <c r="C29" s="12" t="s">
        <v>73</v>
      </c>
      <c r="D29" s="13">
        <f>COUNTIFS(FABRICAR!H:H,MAQUINAS!C29,FABRICAR!B:B,"")</f>
        <v>6</v>
      </c>
      <c r="E29" t="s">
        <v>1658</v>
      </c>
    </row>
    <row r="30" spans="1:5" x14ac:dyDescent="0.25">
      <c r="A30" s="11">
        <v>29</v>
      </c>
      <c r="B30" s="12" t="s">
        <v>27</v>
      </c>
      <c r="C30" s="12" t="s">
        <v>62</v>
      </c>
      <c r="D30" s="13">
        <f>COUNTIFS(FABRICAR!H:H,MAQUINAS!C30,FABRICAR!B:B,"")</f>
        <v>3</v>
      </c>
    </row>
    <row r="31" spans="1:5" x14ac:dyDescent="0.25">
      <c r="A31" s="11">
        <v>30</v>
      </c>
      <c r="B31" s="12" t="s">
        <v>28</v>
      </c>
      <c r="C31" s="12" t="s">
        <v>63</v>
      </c>
      <c r="D31" s="13">
        <f>COUNTIFS(FABRICAR!H:H,MAQUINAS!C31,FABRICAR!B:B,"")</f>
        <v>0</v>
      </c>
    </row>
    <row r="32" spans="1:5" x14ac:dyDescent="0.25">
      <c r="A32" s="11">
        <v>31</v>
      </c>
      <c r="B32" s="12" t="s">
        <v>29</v>
      </c>
      <c r="C32" s="12" t="s">
        <v>95</v>
      </c>
      <c r="D32" s="13">
        <f>COUNTIFS(FABRICAR!H:H,MAQUINAS!C32,FABRICAR!B:B,"")</f>
        <v>0</v>
      </c>
    </row>
    <row r="33" spans="1:4" x14ac:dyDescent="0.25">
      <c r="A33" s="11">
        <v>32</v>
      </c>
      <c r="B33" s="12" t="s">
        <v>30</v>
      </c>
      <c r="C33" s="12" t="s">
        <v>1669</v>
      </c>
      <c r="D33" s="13">
        <f>COUNTIFS(FABRICAR!H:H,MAQUINAS!C33,FABRICAR!B:B,"")</f>
        <v>1</v>
      </c>
    </row>
    <row r="34" spans="1:4" x14ac:dyDescent="0.25">
      <c r="A34" s="11">
        <v>33</v>
      </c>
      <c r="B34" s="12" t="s">
        <v>31</v>
      </c>
      <c r="C34" s="12" t="s">
        <v>1611</v>
      </c>
      <c r="D34" s="13">
        <f>COUNTIFS(FABRICAR!H:H,MAQUINAS!C34,FABRICAR!B:B,"")</f>
        <v>4</v>
      </c>
    </row>
    <row r="35" spans="1:4" x14ac:dyDescent="0.25">
      <c r="A35" s="11">
        <v>34</v>
      </c>
      <c r="B35" s="12" t="s">
        <v>32</v>
      </c>
      <c r="C35" s="12" t="s">
        <v>86</v>
      </c>
      <c r="D35" s="13">
        <f>COUNTIFS(FABRICAR!H:H,MAQUINAS!C35,FABRICAR!B:B,"")</f>
        <v>0</v>
      </c>
    </row>
    <row r="36" spans="1:4" x14ac:dyDescent="0.25">
      <c r="A36" s="11">
        <v>35</v>
      </c>
      <c r="B36" s="12" t="s">
        <v>33</v>
      </c>
      <c r="C36" s="12" t="s">
        <v>1609</v>
      </c>
      <c r="D36" s="13">
        <f>COUNTIFS(FABRICAR!H:H,MAQUINAS!C36,FABRICAR!B:B,"")</f>
        <v>0</v>
      </c>
    </row>
    <row r="37" spans="1:4" x14ac:dyDescent="0.25">
      <c r="A37" s="11">
        <v>36</v>
      </c>
      <c r="B37" s="12" t="s">
        <v>34</v>
      </c>
      <c r="C37" s="12" t="s">
        <v>1610</v>
      </c>
      <c r="D37" s="13">
        <f>COUNTIFS(FABRICAR!H:H,MAQUINAS!C37,FABRICAR!B:B,"")</f>
        <v>0</v>
      </c>
    </row>
    <row r="38" spans="1:4" x14ac:dyDescent="0.25">
      <c r="A38" s="11">
        <v>37</v>
      </c>
      <c r="B38" s="12" t="s">
        <v>35</v>
      </c>
      <c r="C38" s="12" t="s">
        <v>65</v>
      </c>
      <c r="D38" s="13">
        <f>COUNTIFS(FABRICAR!H:H,MAQUINAS!C38,FABRICAR!B:B,"")</f>
        <v>0</v>
      </c>
    </row>
    <row r="39" spans="1:4" x14ac:dyDescent="0.25">
      <c r="A39" s="11">
        <v>38</v>
      </c>
      <c r="B39" s="12" t="s">
        <v>36</v>
      </c>
      <c r="C39" s="12" t="s">
        <v>1636</v>
      </c>
      <c r="D39" s="13">
        <f>COUNTIFS(FABRICAR!H:H,MAQUINAS!C39,FABRICAR!B:B,"")</f>
        <v>1</v>
      </c>
    </row>
    <row r="40" spans="1:4" x14ac:dyDescent="0.25">
      <c r="A40" s="11">
        <v>39</v>
      </c>
      <c r="B40" s="12" t="s">
        <v>37</v>
      </c>
      <c r="C40" s="12" t="s">
        <v>1612</v>
      </c>
      <c r="D40" s="13">
        <f>COUNTIFS(FABRICAR!H:H,MAQUINAS!C40,FABRICAR!B:B,"")</f>
        <v>0</v>
      </c>
    </row>
    <row r="41" spans="1:4" x14ac:dyDescent="0.25">
      <c r="A41" s="11">
        <v>40</v>
      </c>
      <c r="B41" s="12" t="s">
        <v>38</v>
      </c>
      <c r="C41" s="12" t="s">
        <v>1613</v>
      </c>
      <c r="D41" s="13">
        <f>COUNTIFS(FABRICAR!H:H,MAQUINAS!C41,FABRICAR!B:B,"")</f>
        <v>0</v>
      </c>
    </row>
    <row r="42" spans="1:4" x14ac:dyDescent="0.25">
      <c r="A42" s="11">
        <v>41</v>
      </c>
      <c r="B42" s="12" t="s">
        <v>39</v>
      </c>
      <c r="C42" s="12" t="s">
        <v>1614</v>
      </c>
      <c r="D42" s="13">
        <f>COUNTIFS(FABRICAR!H:H,MAQUINAS!C42,FABRICAR!B:B,"")</f>
        <v>3</v>
      </c>
    </row>
    <row r="43" spans="1:4" x14ac:dyDescent="0.25">
      <c r="A43" s="11">
        <v>42</v>
      </c>
      <c r="B43" s="12" t="s">
        <v>40</v>
      </c>
      <c r="C43" s="12" t="s">
        <v>1615</v>
      </c>
      <c r="D43" s="13">
        <f>COUNTIFS(FABRICAR!H:H,MAQUINAS!C43,FABRICAR!B:B,"")</f>
        <v>1</v>
      </c>
    </row>
    <row r="44" spans="1:4" x14ac:dyDescent="0.25">
      <c r="A44" s="11">
        <v>43</v>
      </c>
      <c r="B44" s="12" t="s">
        <v>41</v>
      </c>
      <c r="C44" s="12" t="s">
        <v>1616</v>
      </c>
      <c r="D44" s="13">
        <f>COUNTIFS(FABRICAR!H:H,MAQUINAS!C44,FABRICAR!B:B,"")</f>
        <v>1</v>
      </c>
    </row>
    <row r="45" spans="1:4" x14ac:dyDescent="0.25">
      <c r="A45" s="11">
        <v>44</v>
      </c>
      <c r="B45" s="12" t="s">
        <v>42</v>
      </c>
      <c r="C45" s="12" t="s">
        <v>1617</v>
      </c>
      <c r="D45" s="13">
        <f>COUNTIFS(FABRICAR!H:H,MAQUINAS!C45,FABRICAR!B:B,"")</f>
        <v>0</v>
      </c>
    </row>
    <row r="46" spans="1:4" x14ac:dyDescent="0.25">
      <c r="A46" s="11">
        <v>45</v>
      </c>
      <c r="B46" s="12" t="s">
        <v>43</v>
      </c>
      <c r="C46" s="12" t="s">
        <v>1618</v>
      </c>
      <c r="D46" s="13">
        <f>COUNTIFS(FABRICAR!H:H,MAQUINAS!C46,FABRICAR!B:B,"")</f>
        <v>0</v>
      </c>
    </row>
    <row r="47" spans="1:4" x14ac:dyDescent="0.25">
      <c r="A47" s="11">
        <v>46</v>
      </c>
      <c r="B47" s="12" t="s">
        <v>44</v>
      </c>
      <c r="C47" s="12" t="s">
        <v>1619</v>
      </c>
      <c r="D47" s="13">
        <f>COUNTIFS(FABRICAR!H:H,MAQUINAS!C47,FABRICAR!B:B,"")</f>
        <v>0</v>
      </c>
    </row>
    <row r="48" spans="1:4" x14ac:dyDescent="0.25">
      <c r="A48" s="11">
        <v>47</v>
      </c>
      <c r="B48" s="12" t="s">
        <v>45</v>
      </c>
      <c r="C48" s="12" t="s">
        <v>90</v>
      </c>
      <c r="D48" s="13">
        <f>COUNTIFS(FABRICAR!H:H,MAQUINAS!C48,FABRICAR!B:B,"")</f>
        <v>0</v>
      </c>
    </row>
    <row r="49" spans="1:5" x14ac:dyDescent="0.25">
      <c r="A49" s="11">
        <v>48</v>
      </c>
      <c r="B49" s="12" t="s">
        <v>46</v>
      </c>
      <c r="C49" s="12" t="s">
        <v>59</v>
      </c>
      <c r="D49" s="13">
        <f>COUNTIFS(FABRICAR!H:H,MAQUINAS!C49,FABRICAR!B:B,"")</f>
        <v>0</v>
      </c>
    </row>
    <row r="50" spans="1:5" x14ac:dyDescent="0.25">
      <c r="A50" s="11">
        <v>49</v>
      </c>
      <c r="B50" s="12" t="s">
        <v>47</v>
      </c>
      <c r="C50" s="12" t="s">
        <v>98</v>
      </c>
      <c r="D50" s="13">
        <f>COUNTIFS(FABRICAR!H:H,MAQUINAS!C50,FABRICAR!B:B,"")</f>
        <v>0</v>
      </c>
    </row>
    <row r="51" spans="1:5" x14ac:dyDescent="0.25">
      <c r="A51" s="11">
        <v>50</v>
      </c>
      <c r="B51" s="12" t="s">
        <v>100</v>
      </c>
      <c r="C51" s="12" t="s">
        <v>101</v>
      </c>
      <c r="D51" s="13">
        <f>COUNTIFS(FABRICAR!H:H,MAQUINAS!C51,FABRICAR!B:B,"")</f>
        <v>0</v>
      </c>
    </row>
    <row r="52" spans="1:5" x14ac:dyDescent="0.25">
      <c r="A52" s="11">
        <v>51</v>
      </c>
      <c r="B52" s="12" t="s">
        <v>48</v>
      </c>
      <c r="C52" s="12" t="s">
        <v>87</v>
      </c>
      <c r="D52" s="13">
        <f>COUNTIFS(FABRICAR!H:H,MAQUINAS!C52,FABRICAR!B:B,"")</f>
        <v>0</v>
      </c>
    </row>
    <row r="53" spans="1:5" x14ac:dyDescent="0.25">
      <c r="A53" s="11">
        <v>52</v>
      </c>
      <c r="B53" s="12" t="s">
        <v>49</v>
      </c>
      <c r="C53" s="12" t="s">
        <v>66</v>
      </c>
      <c r="D53" s="13">
        <f>COUNTIFS(FABRICAR!H:H,MAQUINAS!C53,FABRICAR!B:B,"")</f>
        <v>0</v>
      </c>
      <c r="E53" t="s">
        <v>1659</v>
      </c>
    </row>
    <row r="54" spans="1:5" x14ac:dyDescent="0.25">
      <c r="A54" s="11">
        <v>53</v>
      </c>
      <c r="B54" s="12" t="s">
        <v>50</v>
      </c>
      <c r="C54" s="12" t="s">
        <v>99</v>
      </c>
      <c r="D54" s="13">
        <f>COUNTIFS(FABRICAR!H:H,MAQUINAS!C54,FABRICAR!B:B,"")</f>
        <v>0</v>
      </c>
      <c r="E54" t="s">
        <v>1660</v>
      </c>
    </row>
    <row r="55" spans="1:5" x14ac:dyDescent="0.25">
      <c r="A55" s="11">
        <v>54</v>
      </c>
      <c r="B55" s="12" t="s">
        <v>51</v>
      </c>
      <c r="C55" s="12" t="s">
        <v>89</v>
      </c>
      <c r="D55" s="13">
        <f>COUNTIFS(FABRICAR!H:H,MAQUINAS!C55,FABRICAR!B:B,"")</f>
        <v>0</v>
      </c>
    </row>
    <row r="56" spans="1:5" x14ac:dyDescent="0.25">
      <c r="A56" s="11">
        <v>55</v>
      </c>
      <c r="B56" s="12" t="s">
        <v>52</v>
      </c>
      <c r="C56" s="12" t="s">
        <v>60</v>
      </c>
      <c r="D56" s="13">
        <f>COUNTIFS(FABRICAR!H:H,MAQUINAS!C56,FABRICAR!B:B,"")</f>
        <v>0</v>
      </c>
    </row>
    <row r="57" spans="1:5" x14ac:dyDescent="0.25">
      <c r="A57" s="11">
        <v>56</v>
      </c>
      <c r="B57" s="12" t="s">
        <v>53</v>
      </c>
      <c r="C57" s="12" t="s">
        <v>94</v>
      </c>
      <c r="D57" s="13">
        <f>COUNTIFS(FABRICAR!H:H,MAQUINAS!C57,FABRICAR!B:B,"")</f>
        <v>0</v>
      </c>
    </row>
    <row r="58" spans="1:5" x14ac:dyDescent="0.25">
      <c r="A58" s="11">
        <v>57</v>
      </c>
      <c r="B58" s="12" t="s">
        <v>54</v>
      </c>
      <c r="C58" s="12" t="s">
        <v>88</v>
      </c>
      <c r="D58" s="13">
        <f>COUNTIFS(FABRICAR!H:H,MAQUINAS!C58,FABRICAR!B:B,"")</f>
        <v>0</v>
      </c>
    </row>
    <row r="59" spans="1:5" x14ac:dyDescent="0.25">
      <c r="A59" s="11">
        <v>58</v>
      </c>
      <c r="B59" s="12" t="s">
        <v>55</v>
      </c>
      <c r="C59" s="12" t="s">
        <v>102</v>
      </c>
      <c r="D59" s="13">
        <f>COUNTIFS(FABRICAR!H:H,MAQUINAS!C59,FABRICAR!B:B,"")</f>
        <v>0</v>
      </c>
    </row>
    <row r="60" spans="1:5" x14ac:dyDescent="0.25">
      <c r="A60" s="11">
        <v>59</v>
      </c>
      <c r="B60" s="12" t="s">
        <v>56</v>
      </c>
      <c r="C60" s="12" t="s">
        <v>64</v>
      </c>
      <c r="D60" s="13">
        <f>COUNTIFS(FABRICAR!H:H,MAQUINAS!C60,FABRICAR!B:B,"")</f>
        <v>0</v>
      </c>
    </row>
    <row r="61" spans="1:5" x14ac:dyDescent="0.25">
      <c r="A61" s="11">
        <v>60</v>
      </c>
      <c r="B61" s="12" t="s">
        <v>57</v>
      </c>
      <c r="C61" s="12" t="s">
        <v>96</v>
      </c>
      <c r="D61" s="13">
        <f>COUNTIFS(FABRICAR!H:H,MAQUINAS!C61,FABRICAR!B:B,"")</f>
        <v>0</v>
      </c>
    </row>
    <row r="62" spans="1:5" x14ac:dyDescent="0.25">
      <c r="A62" s="15">
        <v>61</v>
      </c>
      <c r="B62" s="16" t="s">
        <v>58</v>
      </c>
      <c r="C62" s="16" t="s">
        <v>61</v>
      </c>
      <c r="D62" s="13">
        <f>COUNTIFS(FABRICAR!H:H,MAQUINAS!C62,FABRICAR!B:B,"")</f>
        <v>0</v>
      </c>
    </row>
    <row r="63" spans="1:5" x14ac:dyDescent="0.25">
      <c r="B63" s="1"/>
    </row>
    <row r="64" spans="1:5" x14ac:dyDescent="0.25">
      <c r="C64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M753"/>
  <sheetViews>
    <sheetView workbookViewId="0">
      <pane ySplit="1" topLeftCell="A14" activePane="bottomLeft" state="frozen"/>
      <selection activeCell="B1" sqref="B1"/>
      <selection pane="bottomLeft" activeCell="L3" sqref="L3"/>
    </sheetView>
  </sheetViews>
  <sheetFormatPr baseColWidth="10" defaultRowHeight="15" x14ac:dyDescent="0.25"/>
  <cols>
    <col min="1" max="1" width="44.42578125" style="26" customWidth="1"/>
    <col min="2" max="2" width="43.7109375" style="26" bestFit="1" customWidth="1"/>
    <col min="3" max="3" width="14.85546875" style="26" customWidth="1"/>
    <col min="4" max="4" width="13.140625" style="26" customWidth="1"/>
    <col min="5" max="5" width="11.42578125" style="26"/>
    <col min="6" max="6" width="11.42578125" style="26" customWidth="1"/>
    <col min="7" max="7" width="10.85546875" style="26" customWidth="1"/>
    <col min="8" max="8" width="11.42578125" style="26" hidden="1" customWidth="1"/>
    <col min="9" max="9" width="28.85546875" style="26" hidden="1" customWidth="1"/>
    <col min="10" max="10" width="17.140625" style="26" bestFit="1" customWidth="1"/>
    <col min="11" max="12" width="14.140625" style="26" customWidth="1"/>
    <col min="13" max="16384" width="11.42578125" style="26"/>
  </cols>
  <sheetData>
    <row r="1" spans="1:13" ht="28.5" customHeight="1" x14ac:dyDescent="0.25">
      <c r="B1" s="28" t="s">
        <v>103</v>
      </c>
      <c r="C1" s="29" t="s">
        <v>104</v>
      </c>
      <c r="D1" s="30" t="s">
        <v>105</v>
      </c>
      <c r="E1" s="31" t="s">
        <v>106</v>
      </c>
      <c r="F1" s="32" t="s">
        <v>107</v>
      </c>
      <c r="G1" s="32" t="s">
        <v>1637</v>
      </c>
      <c r="H1" s="32" t="s">
        <v>108</v>
      </c>
      <c r="I1" s="32" t="s">
        <v>109</v>
      </c>
      <c r="J1" s="32" t="s">
        <v>110</v>
      </c>
      <c r="K1" s="32" t="s">
        <v>1607</v>
      </c>
      <c r="L1" s="33" t="s">
        <v>1606</v>
      </c>
      <c r="M1" s="59" t="s">
        <v>1632</v>
      </c>
    </row>
    <row r="2" spans="1:13" x14ac:dyDescent="0.25">
      <c r="A2" s="26" t="str">
        <f t="shared" ref="A2:A11" si="0">B2&amp;K2</f>
        <v>Abrazadera 1/2x10.1/2CORTAR</v>
      </c>
      <c r="B2" s="4" t="s">
        <v>111</v>
      </c>
      <c r="C2" s="34">
        <v>34419</v>
      </c>
      <c r="D2" s="35" t="s">
        <v>112</v>
      </c>
      <c r="E2" s="36">
        <v>0.72</v>
      </c>
      <c r="F2" s="37" t="s">
        <v>113</v>
      </c>
      <c r="G2" s="38"/>
      <c r="H2" s="39">
        <v>0.72</v>
      </c>
      <c r="I2" s="26" t="s">
        <v>114</v>
      </c>
      <c r="J2" s="26" t="s">
        <v>93</v>
      </c>
      <c r="K2" s="26" t="s">
        <v>1631</v>
      </c>
      <c r="M2" s="58"/>
    </row>
    <row r="3" spans="1:13" x14ac:dyDescent="0.25">
      <c r="A3" s="52" t="str">
        <f t="shared" si="0"/>
        <v>Abrazadera 1/2x10.1/2DOBLAR</v>
      </c>
      <c r="B3" s="45" t="s">
        <v>111</v>
      </c>
      <c r="C3" s="46">
        <v>34419</v>
      </c>
      <c r="D3" s="47" t="s">
        <v>112</v>
      </c>
      <c r="E3" s="48">
        <v>0.72</v>
      </c>
      <c r="F3" s="49" t="s">
        <v>113</v>
      </c>
      <c r="G3" s="50"/>
      <c r="H3" s="51">
        <v>0.72</v>
      </c>
      <c r="I3" s="52" t="s">
        <v>114</v>
      </c>
      <c r="J3" s="52" t="s">
        <v>80</v>
      </c>
      <c r="K3" s="52" t="s">
        <v>1630</v>
      </c>
      <c r="L3" s="52">
        <v>250</v>
      </c>
      <c r="M3" s="58"/>
    </row>
    <row r="4" spans="1:13" x14ac:dyDescent="0.25">
      <c r="A4" s="52" t="str">
        <f t="shared" si="0"/>
        <v>Abrazadera 1/2x10.1/2PUNTEAR</v>
      </c>
      <c r="B4" s="45" t="s">
        <v>111</v>
      </c>
      <c r="C4" s="46">
        <v>34419</v>
      </c>
      <c r="D4" s="47" t="s">
        <v>112</v>
      </c>
      <c r="E4" s="48">
        <v>0.72</v>
      </c>
      <c r="F4" s="49" t="s">
        <v>113</v>
      </c>
      <c r="G4" s="50"/>
      <c r="H4" s="51">
        <v>0.72</v>
      </c>
      <c r="I4" s="52" t="s">
        <v>114</v>
      </c>
      <c r="J4" s="52" t="s">
        <v>1611</v>
      </c>
      <c r="K4" s="52" t="s">
        <v>1603</v>
      </c>
      <c r="L4" s="52"/>
      <c r="M4" s="58"/>
    </row>
    <row r="5" spans="1:13" x14ac:dyDescent="0.25">
      <c r="A5" s="52" t="str">
        <f t="shared" si="0"/>
        <v>Abrazadera 1/2x10.1/2TERRAJAR</v>
      </c>
      <c r="B5" s="45" t="s">
        <v>111</v>
      </c>
      <c r="C5" s="46">
        <v>34419</v>
      </c>
      <c r="D5" s="47" t="s">
        <v>112</v>
      </c>
      <c r="E5" s="48">
        <v>0.72</v>
      </c>
      <c r="F5" s="49" t="s">
        <v>113</v>
      </c>
      <c r="G5" s="50" t="s">
        <v>1638</v>
      </c>
      <c r="H5" s="51">
        <v>0.72</v>
      </c>
      <c r="I5" s="52" t="s">
        <v>114</v>
      </c>
      <c r="J5" s="52" t="s">
        <v>1613</v>
      </c>
      <c r="K5" s="52" t="s">
        <v>1601</v>
      </c>
      <c r="L5" s="52"/>
      <c r="M5" s="58"/>
    </row>
    <row r="6" spans="1:13" x14ac:dyDescent="0.25">
      <c r="A6" s="26" t="str">
        <f t="shared" si="0"/>
        <v>Abrazadera 1/2x13</v>
      </c>
      <c r="B6" s="4" t="s">
        <v>115</v>
      </c>
      <c r="C6" s="34">
        <v>34664</v>
      </c>
      <c r="D6" s="35" t="s">
        <v>116</v>
      </c>
      <c r="E6" s="36">
        <v>0.9</v>
      </c>
      <c r="F6" s="37" t="s">
        <v>113</v>
      </c>
      <c r="G6" s="38"/>
      <c r="H6" s="39">
        <v>0.9</v>
      </c>
      <c r="I6" s="26" t="s">
        <v>114</v>
      </c>
      <c r="M6" s="58"/>
    </row>
    <row r="7" spans="1:13" x14ac:dyDescent="0.25">
      <c r="A7" s="26" t="str">
        <f t="shared" si="0"/>
        <v>Abrazadera 1/2x9.1/2</v>
      </c>
      <c r="B7" s="4" t="s">
        <v>117</v>
      </c>
      <c r="C7" s="34">
        <v>34382</v>
      </c>
      <c r="D7" s="35" t="s">
        <v>118</v>
      </c>
      <c r="E7" s="36">
        <v>0.60499999999999998</v>
      </c>
      <c r="F7" s="37" t="s">
        <v>113</v>
      </c>
      <c r="G7" s="38"/>
      <c r="H7" s="39">
        <v>0.60499999999999998</v>
      </c>
      <c r="I7" s="26" t="s">
        <v>114</v>
      </c>
      <c r="M7" s="58"/>
    </row>
    <row r="8" spans="1:13" x14ac:dyDescent="0.25">
      <c r="A8" s="26" t="str">
        <f t="shared" si="0"/>
        <v>Abrazadera 1/2x12.1/2</v>
      </c>
      <c r="B8" s="4" t="s">
        <v>119</v>
      </c>
      <c r="C8" s="34">
        <v>35782</v>
      </c>
      <c r="D8" s="35" t="s">
        <v>120</v>
      </c>
      <c r="E8" s="34">
        <v>0.88</v>
      </c>
      <c r="F8" s="37"/>
      <c r="G8" s="38"/>
      <c r="H8" s="39">
        <v>0.88</v>
      </c>
      <c r="I8" s="26" t="s">
        <v>114</v>
      </c>
      <c r="M8" s="58"/>
    </row>
    <row r="9" spans="1:13" x14ac:dyDescent="0.25">
      <c r="A9" s="26" t="str">
        <f t="shared" si="0"/>
        <v>Abrazadera 5/8x10.1/2</v>
      </c>
      <c r="B9" s="4" t="s">
        <v>121</v>
      </c>
      <c r="C9" s="34">
        <v>34864</v>
      </c>
      <c r="D9" s="35" t="s">
        <v>122</v>
      </c>
      <c r="E9" s="36">
        <v>1.2</v>
      </c>
      <c r="F9" s="37" t="s">
        <v>123</v>
      </c>
      <c r="G9" s="38"/>
      <c r="H9" s="39">
        <v>1.2</v>
      </c>
      <c r="I9" s="26" t="s">
        <v>114</v>
      </c>
      <c r="M9" s="58"/>
    </row>
    <row r="10" spans="1:13" x14ac:dyDescent="0.25">
      <c r="A10" s="26" t="str">
        <f t="shared" si="0"/>
        <v>Abrazadera 5/8x9.1/2</v>
      </c>
      <c r="B10" s="4" t="s">
        <v>124</v>
      </c>
      <c r="C10" s="34">
        <v>34423</v>
      </c>
      <c r="D10" s="35" t="s">
        <v>125</v>
      </c>
      <c r="E10" s="34">
        <v>0.995</v>
      </c>
      <c r="F10" s="37" t="s">
        <v>123</v>
      </c>
      <c r="G10" s="38"/>
      <c r="H10" s="39">
        <v>0.995</v>
      </c>
      <c r="I10" s="26" t="s">
        <v>114</v>
      </c>
      <c r="M10" s="58"/>
    </row>
    <row r="11" spans="1:13" x14ac:dyDescent="0.25">
      <c r="A11" s="26" t="str">
        <f t="shared" si="0"/>
        <v>Abrazadera 5/8x390</v>
      </c>
      <c r="B11" s="4" t="s">
        <v>126</v>
      </c>
      <c r="C11" s="34">
        <v>37810</v>
      </c>
      <c r="D11" s="35" t="s">
        <v>127</v>
      </c>
      <c r="E11" s="34">
        <v>1.54</v>
      </c>
      <c r="F11" s="37"/>
      <c r="G11" s="38"/>
      <c r="H11" s="39">
        <v>1.54</v>
      </c>
      <c r="I11" s="26" t="s">
        <v>114</v>
      </c>
      <c r="M11" s="58"/>
    </row>
    <row r="12" spans="1:13" x14ac:dyDescent="0.25">
      <c r="A12" s="26" t="str">
        <f t="shared" ref="A12:A80" si="1">B12&amp;K12</f>
        <v>Abrazadera Curva 1/2x8x5.1/2</v>
      </c>
      <c r="B12" s="4" t="s">
        <v>128</v>
      </c>
      <c r="C12" s="34">
        <v>36150</v>
      </c>
      <c r="D12" s="35" t="s">
        <v>129</v>
      </c>
      <c r="E12" s="34">
        <v>0.54859999999999998</v>
      </c>
      <c r="F12" s="37"/>
      <c r="G12" s="38"/>
      <c r="H12" s="39">
        <v>0.54859999999999998</v>
      </c>
      <c r="I12" s="26" t="s">
        <v>114</v>
      </c>
      <c r="M12" s="58"/>
    </row>
    <row r="13" spans="1:13" x14ac:dyDescent="0.25">
      <c r="A13" s="26" t="str">
        <f t="shared" si="1"/>
        <v>Abrazadera Curva BT 5/8x8</v>
      </c>
      <c r="B13" s="4" t="s">
        <v>130</v>
      </c>
      <c r="C13" s="34">
        <v>38354</v>
      </c>
      <c r="D13" s="35" t="s">
        <v>131</v>
      </c>
      <c r="E13" s="34">
        <v>1.125</v>
      </c>
      <c r="F13" s="37"/>
      <c r="G13" s="38"/>
      <c r="H13" s="39">
        <v>1.125</v>
      </c>
      <c r="I13" s="26" t="s">
        <v>114</v>
      </c>
      <c r="M13" s="58"/>
    </row>
    <row r="14" spans="1:13" x14ac:dyDescent="0.25">
      <c r="A14" s="26" t="str">
        <f t="shared" si="1"/>
        <v>Abrazadera Curva AT 5/8x8.1/2</v>
      </c>
      <c r="B14" s="4" t="s">
        <v>132</v>
      </c>
      <c r="C14" s="34">
        <v>35293</v>
      </c>
      <c r="D14" s="35" t="s">
        <v>131</v>
      </c>
      <c r="E14" s="34">
        <v>1.125</v>
      </c>
      <c r="F14" s="37" t="s">
        <v>123</v>
      </c>
      <c r="G14" s="38"/>
      <c r="H14" s="39">
        <v>1.125</v>
      </c>
      <c r="I14" s="26" t="s">
        <v>114</v>
      </c>
      <c r="M14" s="58"/>
    </row>
    <row r="15" spans="1:13" x14ac:dyDescent="0.25">
      <c r="A15" s="26" t="str">
        <f t="shared" si="1"/>
        <v>Abrazadera p/Cruceta 1/2x280x127x65</v>
      </c>
      <c r="B15" s="4" t="s">
        <v>133</v>
      </c>
      <c r="C15" s="34">
        <v>35789</v>
      </c>
      <c r="D15" s="35" t="s">
        <v>134</v>
      </c>
      <c r="E15" s="34">
        <v>0.52</v>
      </c>
      <c r="F15" s="37"/>
      <c r="G15" s="38"/>
      <c r="H15" s="39">
        <v>0.52</v>
      </c>
      <c r="I15" s="26" t="s">
        <v>114</v>
      </c>
      <c r="M15" s="58"/>
    </row>
    <row r="16" spans="1:13" x14ac:dyDescent="0.25">
      <c r="A16" s="26" t="str">
        <f t="shared" si="1"/>
        <v>Abrazadera p/Cruceta 1/2x400x324x127</v>
      </c>
      <c r="B16" s="4" t="s">
        <v>135</v>
      </c>
      <c r="C16" s="34">
        <v>35785</v>
      </c>
      <c r="D16" s="35" t="s">
        <v>136</v>
      </c>
      <c r="E16" s="34">
        <v>1</v>
      </c>
      <c r="F16" s="37"/>
      <c r="G16" s="38"/>
      <c r="H16" s="39">
        <v>1</v>
      </c>
      <c r="I16" s="26" t="s">
        <v>114</v>
      </c>
      <c r="M16" s="58"/>
    </row>
    <row r="17" spans="1:13" x14ac:dyDescent="0.25">
      <c r="A17" s="26" t="str">
        <f t="shared" si="1"/>
        <v>Abrazadera p/Cruceta 1/2x410x370x127</v>
      </c>
      <c r="B17" s="4" t="s">
        <v>137</v>
      </c>
      <c r="C17" s="34">
        <v>35794</v>
      </c>
      <c r="D17" s="35" t="s">
        <v>138</v>
      </c>
      <c r="E17" s="34">
        <v>1.1559999999999999</v>
      </c>
      <c r="F17" s="37"/>
      <c r="G17" s="38"/>
      <c r="H17" s="39">
        <v>1.1559999999999999</v>
      </c>
      <c r="I17" s="26" t="s">
        <v>114</v>
      </c>
      <c r="M17" s="58"/>
    </row>
    <row r="18" spans="1:13" x14ac:dyDescent="0.25">
      <c r="A18" s="26" t="str">
        <f t="shared" si="1"/>
        <v>Abrazadera p/Cruceta Paso Esp 1/2x280x335x127</v>
      </c>
      <c r="B18" s="4" t="s">
        <v>139</v>
      </c>
      <c r="C18" s="34">
        <v>35858</v>
      </c>
      <c r="D18" s="35" t="s">
        <v>140</v>
      </c>
      <c r="E18" s="34">
        <v>0.94399999999999995</v>
      </c>
      <c r="F18" s="37"/>
      <c r="G18" s="38"/>
      <c r="H18" s="39">
        <v>0.94399999999999995</v>
      </c>
      <c r="I18" s="26" t="s">
        <v>114</v>
      </c>
      <c r="M18" s="58"/>
    </row>
    <row r="19" spans="1:13" x14ac:dyDescent="0.25">
      <c r="A19" s="26" t="str">
        <f t="shared" si="1"/>
        <v>Abrazadera p/Cruceta Paso Esp 5/8x280x335x127</v>
      </c>
      <c r="B19" s="4" t="s">
        <v>141</v>
      </c>
      <c r="C19" s="34">
        <v>35851</v>
      </c>
      <c r="D19" s="35" t="s">
        <v>142</v>
      </c>
      <c r="E19" s="34">
        <v>1.371</v>
      </c>
      <c r="F19" s="37"/>
      <c r="G19" s="38"/>
      <c r="H19" s="39">
        <v>1.371</v>
      </c>
      <c r="I19" s="26" t="s">
        <v>114</v>
      </c>
      <c r="M19" s="58"/>
    </row>
    <row r="20" spans="1:13" x14ac:dyDescent="0.25">
      <c r="A20" s="26" t="str">
        <f t="shared" si="1"/>
        <v>Abrazadera p/Cruceta BT 5/8x9.1/2x8.1/4x6.1/2H</v>
      </c>
      <c r="B20" s="4" t="s">
        <v>143</v>
      </c>
      <c r="C20" s="34">
        <v>38545</v>
      </c>
      <c r="D20" s="35" t="s">
        <v>144</v>
      </c>
      <c r="E20" s="34">
        <v>0.995</v>
      </c>
      <c r="F20" s="37"/>
      <c r="G20" s="38"/>
      <c r="H20" s="39">
        <v>0.995</v>
      </c>
      <c r="I20" s="26" t="s">
        <v>114</v>
      </c>
      <c r="M20" s="58"/>
    </row>
    <row r="21" spans="1:13" x14ac:dyDescent="0.25">
      <c r="A21" s="26" t="str">
        <f t="shared" si="1"/>
        <v>Abrazadera U p/Cruceta 5/8x300x450x100H</v>
      </c>
      <c r="B21" s="4" t="s">
        <v>145</v>
      </c>
      <c r="C21" s="34">
        <v>38616</v>
      </c>
      <c r="D21" s="35" t="s">
        <v>146</v>
      </c>
      <c r="E21" s="34">
        <v>1.9950000000000001</v>
      </c>
      <c r="F21" s="37"/>
      <c r="G21" s="38"/>
      <c r="H21" s="39">
        <v>1.9950000000000001</v>
      </c>
      <c r="I21" s="26" t="s">
        <v>114</v>
      </c>
      <c r="M21" s="58"/>
    </row>
    <row r="22" spans="1:13" x14ac:dyDescent="0.25">
      <c r="A22" s="26" t="str">
        <f t="shared" si="1"/>
        <v>Adaptador p/Espiga Punta Poste</v>
      </c>
      <c r="B22" s="4" t="s">
        <v>147</v>
      </c>
      <c r="C22" s="34">
        <v>34708</v>
      </c>
      <c r="D22" s="35" t="s">
        <v>148</v>
      </c>
      <c r="E22" s="36">
        <v>1.29</v>
      </c>
      <c r="F22" s="37"/>
      <c r="G22" s="38"/>
      <c r="H22" s="39">
        <v>1.29</v>
      </c>
      <c r="I22" s="26" t="s">
        <v>149</v>
      </c>
      <c r="M22" s="58"/>
    </row>
    <row r="23" spans="1:13" x14ac:dyDescent="0.25">
      <c r="A23" s="26" t="str">
        <f t="shared" si="1"/>
        <v>Ancla 1x1</v>
      </c>
      <c r="B23" s="4" t="s">
        <v>150</v>
      </c>
      <c r="C23" s="34">
        <v>34611</v>
      </c>
      <c r="D23" s="35" t="s">
        <v>151</v>
      </c>
      <c r="E23" s="36">
        <v>7.6999999999999999E-2</v>
      </c>
      <c r="F23" s="37"/>
      <c r="G23" s="38"/>
      <c r="H23" s="39">
        <v>7.6999999999999999E-2</v>
      </c>
      <c r="I23" s="26" t="s">
        <v>152</v>
      </c>
      <c r="M23" s="58"/>
    </row>
    <row r="24" spans="1:13" x14ac:dyDescent="0.25">
      <c r="A24" s="26" t="str">
        <f t="shared" si="1"/>
        <v>Ancla Mural Tipo A</v>
      </c>
      <c r="B24" s="4" t="s">
        <v>153</v>
      </c>
      <c r="C24" s="34">
        <v>36422</v>
      </c>
      <c r="D24" s="35" t="s">
        <v>154</v>
      </c>
      <c r="E24" s="36">
        <v>0.38</v>
      </c>
      <c r="F24" s="37"/>
      <c r="G24" s="38"/>
      <c r="H24" s="39">
        <v>0.38</v>
      </c>
      <c r="I24" s="26" t="s">
        <v>155</v>
      </c>
      <c r="M24" s="58"/>
    </row>
    <row r="25" spans="1:13" x14ac:dyDescent="0.25">
      <c r="A25" s="26" t="str">
        <f t="shared" si="1"/>
        <v>Anclaje p/Tirante a Poste Mozo</v>
      </c>
      <c r="B25" s="4" t="s">
        <v>156</v>
      </c>
      <c r="C25" s="34">
        <v>33960</v>
      </c>
      <c r="D25" s="35" t="s">
        <v>157</v>
      </c>
      <c r="E25" s="36">
        <v>2.35</v>
      </c>
      <c r="F25" s="40"/>
      <c r="G25" s="41"/>
      <c r="H25" s="39">
        <v>2.35</v>
      </c>
      <c r="I25" s="26" t="s">
        <v>149</v>
      </c>
      <c r="M25" s="58"/>
    </row>
    <row r="26" spans="1:13" x14ac:dyDescent="0.25">
      <c r="A26" s="26" t="str">
        <f t="shared" si="1"/>
        <v>Aletas p/Soporte Rack 32x5x97mm</v>
      </c>
      <c r="B26" s="4" t="s">
        <v>158</v>
      </c>
      <c r="C26" s="34">
        <v>36556</v>
      </c>
      <c r="D26" s="35" t="s">
        <v>159</v>
      </c>
      <c r="E26" s="36">
        <v>0.1</v>
      </c>
      <c r="F26" s="40"/>
      <c r="G26" s="41"/>
      <c r="H26" s="39">
        <v>0.1</v>
      </c>
      <c r="I26" s="26" t="s">
        <v>149</v>
      </c>
      <c r="M26" s="58"/>
    </row>
    <row r="27" spans="1:13" x14ac:dyDescent="0.25">
      <c r="A27" s="26" t="str">
        <f t="shared" si="1"/>
        <v>Aletas p/Soporte de Paso 8 Aletas 38x5x105mm</v>
      </c>
      <c r="B27" s="4" t="s">
        <v>160</v>
      </c>
      <c r="C27" s="34">
        <v>36030</v>
      </c>
      <c r="D27" s="35" t="s">
        <v>161</v>
      </c>
      <c r="E27" s="36">
        <v>0.13600000000000001</v>
      </c>
      <c r="F27" s="40"/>
      <c r="G27" s="41"/>
      <c r="H27" s="39">
        <v>0.13600000000000001</v>
      </c>
      <c r="I27" s="26" t="s">
        <v>149</v>
      </c>
      <c r="M27" s="58"/>
    </row>
    <row r="28" spans="1:13" x14ac:dyDescent="0.25">
      <c r="A28" s="26" t="str">
        <f t="shared" si="1"/>
        <v>Arranque 38x5x427</v>
      </c>
      <c r="B28" s="4" t="s">
        <v>162</v>
      </c>
      <c r="C28" s="34">
        <v>34769</v>
      </c>
      <c r="D28" s="35" t="s">
        <v>163</v>
      </c>
      <c r="E28" s="36">
        <v>0.627</v>
      </c>
      <c r="F28" s="37"/>
      <c r="G28" s="38"/>
      <c r="H28" s="39">
        <v>0.627</v>
      </c>
      <c r="I28" s="26" t="s">
        <v>149</v>
      </c>
      <c r="M28" s="58"/>
    </row>
    <row r="29" spans="1:13" x14ac:dyDescent="0.25">
      <c r="A29" s="26" t="str">
        <f t="shared" si="1"/>
        <v>Barra Lisa Tomatierra 1/2x7000</v>
      </c>
      <c r="B29" s="4" t="s">
        <v>164</v>
      </c>
      <c r="C29" s="34">
        <v>34890</v>
      </c>
      <c r="D29" s="35" t="s">
        <v>165</v>
      </c>
      <c r="E29" s="36">
        <v>6.95</v>
      </c>
      <c r="F29" s="37"/>
      <c r="G29" s="38"/>
      <c r="H29" s="39">
        <v>6.95</v>
      </c>
      <c r="I29" s="26" t="s">
        <v>149</v>
      </c>
      <c r="M29" s="58"/>
    </row>
    <row r="30" spans="1:13" x14ac:dyDescent="0.25">
      <c r="A30" s="26" t="str">
        <f t="shared" si="1"/>
        <v>Barra Ojo 3/4x2,40mtrs</v>
      </c>
      <c r="B30" s="4" t="s">
        <v>166</v>
      </c>
      <c r="C30" s="34">
        <v>34551</v>
      </c>
      <c r="D30" s="35" t="s">
        <v>167</v>
      </c>
      <c r="E30" s="36">
        <v>5.8</v>
      </c>
      <c r="F30" s="37"/>
      <c r="G30" s="38"/>
      <c r="H30" s="39">
        <v>5.8</v>
      </c>
      <c r="I30" s="26" t="s">
        <v>168</v>
      </c>
      <c r="M30" s="58"/>
    </row>
    <row r="31" spans="1:13" x14ac:dyDescent="0.25">
      <c r="A31" s="26" t="str">
        <f t="shared" si="1"/>
        <v>Barra Ojo 3/4x3,20mtrs</v>
      </c>
      <c r="B31" s="4" t="s">
        <v>169</v>
      </c>
      <c r="C31" s="34">
        <v>34935</v>
      </c>
      <c r="D31" s="35" t="s">
        <v>170</v>
      </c>
      <c r="E31" s="36">
        <v>7.5</v>
      </c>
      <c r="F31" s="37"/>
      <c r="G31" s="38"/>
      <c r="H31" s="39">
        <v>7.5</v>
      </c>
      <c r="I31" s="26" t="s">
        <v>168</v>
      </c>
      <c r="M31" s="58"/>
    </row>
    <row r="32" spans="1:13" x14ac:dyDescent="0.25">
      <c r="A32" s="26" t="str">
        <f t="shared" si="1"/>
        <v>Barra Ojo 5/8x1.30mtrs</v>
      </c>
      <c r="B32" s="4" t="s">
        <v>171</v>
      </c>
      <c r="C32" s="34">
        <v>35505</v>
      </c>
      <c r="D32" s="35" t="s">
        <v>172</v>
      </c>
      <c r="E32" s="36">
        <v>2.6</v>
      </c>
      <c r="F32" s="37"/>
      <c r="G32" s="38"/>
      <c r="H32" s="39">
        <v>2.6</v>
      </c>
      <c r="I32" s="26" t="s">
        <v>168</v>
      </c>
      <c r="M32" s="58"/>
    </row>
    <row r="33" spans="1:13" x14ac:dyDescent="0.25">
      <c r="A33" s="26" t="str">
        <f t="shared" si="1"/>
        <v>Barra Ojo 5/8x1,80mtrsESTAMPAR</v>
      </c>
      <c r="B33" s="4" t="s">
        <v>173</v>
      </c>
      <c r="C33" s="34">
        <v>34977</v>
      </c>
      <c r="D33" s="35" t="s">
        <v>174</v>
      </c>
      <c r="E33" s="36">
        <v>3.0369999999999999</v>
      </c>
      <c r="F33" s="37" t="s">
        <v>123</v>
      </c>
      <c r="G33" s="38"/>
      <c r="H33" s="39">
        <v>3.0369999999999999</v>
      </c>
      <c r="I33" s="26" t="s">
        <v>168</v>
      </c>
      <c r="J33" s="27" t="s">
        <v>74</v>
      </c>
      <c r="K33" s="27" t="s">
        <v>1597</v>
      </c>
      <c r="L33" s="26">
        <v>44</v>
      </c>
      <c r="M33" s="58"/>
    </row>
    <row r="34" spans="1:13" x14ac:dyDescent="0.25">
      <c r="A34" s="52" t="str">
        <f>B34&amp;K34</f>
        <v>Barra Ojo 5/8x1,80mtrsREBABAR</v>
      </c>
      <c r="B34" s="45" t="s">
        <v>173</v>
      </c>
      <c r="C34" s="46">
        <v>34977</v>
      </c>
      <c r="D34" s="47" t="s">
        <v>174</v>
      </c>
      <c r="E34" s="48">
        <v>3.0369999999999999</v>
      </c>
      <c r="F34" s="49" t="s">
        <v>123</v>
      </c>
      <c r="G34" s="50"/>
      <c r="H34" s="51">
        <v>3.0369999999999999</v>
      </c>
      <c r="I34" s="52" t="s">
        <v>168</v>
      </c>
      <c r="J34" s="53" t="s">
        <v>73</v>
      </c>
      <c r="K34" s="53" t="s">
        <v>1602</v>
      </c>
      <c r="L34" s="52">
        <v>125</v>
      </c>
      <c r="M34" s="58"/>
    </row>
    <row r="35" spans="1:13" x14ac:dyDescent="0.25">
      <c r="A35" s="26" t="str">
        <f t="shared" si="1"/>
        <v>Barra Ojo 5/8x2,25mtrsESTAMPAR</v>
      </c>
      <c r="B35" s="4" t="s">
        <v>175</v>
      </c>
      <c r="C35" s="34">
        <v>35011</v>
      </c>
      <c r="D35" s="42" t="s">
        <v>176</v>
      </c>
      <c r="E35" s="34">
        <v>3.7040000000000002</v>
      </c>
      <c r="F35" s="37" t="s">
        <v>123</v>
      </c>
      <c r="G35" s="38"/>
      <c r="H35" s="39">
        <v>3.7040000000000002</v>
      </c>
      <c r="I35" s="26" t="s">
        <v>168</v>
      </c>
      <c r="J35" s="27" t="s">
        <v>74</v>
      </c>
      <c r="K35" s="27" t="s">
        <v>1597</v>
      </c>
      <c r="L35" s="26">
        <v>44</v>
      </c>
      <c r="M35" s="58"/>
    </row>
    <row r="36" spans="1:13" x14ac:dyDescent="0.25">
      <c r="A36" s="26" t="str">
        <f t="shared" si="1"/>
        <v>Barra Ojo 5/8x2,40mtrsESTAMPAR</v>
      </c>
      <c r="B36" s="4" t="s">
        <v>177</v>
      </c>
      <c r="C36" s="34">
        <v>34997</v>
      </c>
      <c r="D36" s="42" t="s">
        <v>178</v>
      </c>
      <c r="E36" s="34">
        <v>4.0423999999999998</v>
      </c>
      <c r="F36" s="37" t="s">
        <v>123</v>
      </c>
      <c r="G36" s="41"/>
      <c r="H36" s="39">
        <v>4.0423999999999998</v>
      </c>
      <c r="I36" s="26" t="s">
        <v>168</v>
      </c>
      <c r="J36" s="27" t="s">
        <v>74</v>
      </c>
      <c r="K36" s="27" t="s">
        <v>1597</v>
      </c>
      <c r="L36" s="26">
        <v>44</v>
      </c>
      <c r="M36" s="58">
        <v>1</v>
      </c>
    </row>
    <row r="37" spans="1:13" x14ac:dyDescent="0.25">
      <c r="A37" s="52" t="str">
        <f t="shared" ref="A37:A40" si="2">B37&amp;K37</f>
        <v>Barra Ojo 5/8x2,40mtrsREBABAR EXT</v>
      </c>
      <c r="B37" s="45" t="s">
        <v>177</v>
      </c>
      <c r="C37" s="46">
        <v>34997</v>
      </c>
      <c r="D37" s="118" t="s">
        <v>178</v>
      </c>
      <c r="E37" s="46">
        <v>4.0423999999999998</v>
      </c>
      <c r="F37" s="49" t="s">
        <v>123</v>
      </c>
      <c r="G37" s="119"/>
      <c r="H37" s="51"/>
      <c r="I37" s="52"/>
      <c r="J37" s="53" t="s">
        <v>71</v>
      </c>
      <c r="K37" s="53" t="s">
        <v>1675</v>
      </c>
      <c r="L37" s="26">
        <v>125</v>
      </c>
      <c r="M37" s="58">
        <v>2</v>
      </c>
    </row>
    <row r="38" spans="1:13" x14ac:dyDescent="0.25">
      <c r="A38" s="52" t="str">
        <f t="shared" si="2"/>
        <v>Barra Ojo 5/8x2,40mtrsREBABAR INT</v>
      </c>
      <c r="B38" s="45" t="s">
        <v>177</v>
      </c>
      <c r="C38" s="46">
        <v>34997</v>
      </c>
      <c r="D38" s="118" t="s">
        <v>178</v>
      </c>
      <c r="E38" s="46">
        <v>4.0423999999999998</v>
      </c>
      <c r="F38" s="49" t="s">
        <v>123</v>
      </c>
      <c r="G38" s="119"/>
      <c r="H38" s="51"/>
      <c r="I38" s="52"/>
      <c r="J38" s="53" t="s">
        <v>71</v>
      </c>
      <c r="K38" s="53" t="s">
        <v>1676</v>
      </c>
      <c r="L38" s="26">
        <v>125</v>
      </c>
      <c r="M38" s="58">
        <v>3</v>
      </c>
    </row>
    <row r="39" spans="1:13" x14ac:dyDescent="0.25">
      <c r="A39" s="52" t="str">
        <f t="shared" si="2"/>
        <v>Barra Ojo 5/8x2,40mtrsPUNTEAR</v>
      </c>
      <c r="B39" s="45" t="s">
        <v>177</v>
      </c>
      <c r="C39" s="46">
        <v>34997</v>
      </c>
      <c r="D39" s="118" t="s">
        <v>178</v>
      </c>
      <c r="E39" s="46">
        <v>4.0423999999999998</v>
      </c>
      <c r="F39" s="49" t="s">
        <v>123</v>
      </c>
      <c r="G39" s="119"/>
      <c r="H39" s="51"/>
      <c r="I39" s="52"/>
      <c r="J39" s="52" t="s">
        <v>1611</v>
      </c>
      <c r="K39" s="53" t="s">
        <v>1603</v>
      </c>
      <c r="L39" s="26">
        <v>205</v>
      </c>
      <c r="M39" s="58">
        <v>4</v>
      </c>
    </row>
    <row r="40" spans="1:13" x14ac:dyDescent="0.25">
      <c r="A40" s="52" t="str">
        <f t="shared" si="2"/>
        <v>Barra Ojo 5/8x2,40mtrsTERRAJAR</v>
      </c>
      <c r="B40" s="45" t="s">
        <v>177</v>
      </c>
      <c r="C40" s="46">
        <v>34997</v>
      </c>
      <c r="D40" s="118" t="s">
        <v>178</v>
      </c>
      <c r="E40" s="46">
        <v>4.0423999999999998</v>
      </c>
      <c r="F40" s="49" t="s">
        <v>123</v>
      </c>
      <c r="G40" s="119"/>
      <c r="H40" s="51"/>
      <c r="I40" s="52"/>
      <c r="J40" s="53" t="s">
        <v>1616</v>
      </c>
      <c r="K40" s="53" t="s">
        <v>1601</v>
      </c>
      <c r="L40" s="26">
        <v>79</v>
      </c>
      <c r="M40" s="58">
        <v>5</v>
      </c>
    </row>
    <row r="41" spans="1:13" x14ac:dyDescent="0.25">
      <c r="A41" s="26" t="str">
        <f t="shared" si="1"/>
        <v>Barra Ojo 7/8x2,40mtrs</v>
      </c>
      <c r="B41" s="4" t="s">
        <v>179</v>
      </c>
      <c r="C41" s="34">
        <v>34712</v>
      </c>
      <c r="D41" s="35" t="s">
        <v>180</v>
      </c>
      <c r="E41" s="36">
        <v>7.7460000000000004</v>
      </c>
      <c r="F41" s="37"/>
      <c r="G41" s="38"/>
      <c r="H41" s="39">
        <v>7.7460000000000004</v>
      </c>
      <c r="I41" s="26" t="s">
        <v>168</v>
      </c>
      <c r="M41" s="58"/>
    </row>
    <row r="42" spans="1:13" x14ac:dyDescent="0.25">
      <c r="A42" s="26" t="str">
        <f t="shared" si="1"/>
        <v>Barra Ojo Soldado 7/8x2,70mtrs</v>
      </c>
      <c r="B42" s="4" t="s">
        <v>181</v>
      </c>
      <c r="C42" s="34">
        <v>39062</v>
      </c>
      <c r="D42" s="35" t="s">
        <v>182</v>
      </c>
      <c r="E42" s="36">
        <v>8.66</v>
      </c>
      <c r="F42" s="37"/>
      <c r="G42" s="38"/>
      <c r="H42" s="39">
        <v>8.66</v>
      </c>
      <c r="I42" s="26" t="s">
        <v>168</v>
      </c>
      <c r="M42" s="58"/>
    </row>
    <row r="43" spans="1:13" x14ac:dyDescent="0.25">
      <c r="A43" s="26" t="str">
        <f t="shared" si="1"/>
        <v>Barra Ojo Soldado 7/8x3,20mtrs</v>
      </c>
      <c r="B43" s="4" t="s">
        <v>183</v>
      </c>
      <c r="C43" s="34">
        <v>38062</v>
      </c>
      <c r="D43" s="35" t="s">
        <v>184</v>
      </c>
      <c r="E43" s="36">
        <v>12</v>
      </c>
      <c r="F43" s="37"/>
      <c r="G43" s="38"/>
      <c r="H43" s="39">
        <v>12</v>
      </c>
      <c r="I43" s="26" t="s">
        <v>168</v>
      </c>
      <c r="M43" s="58"/>
    </row>
    <row r="44" spans="1:13" x14ac:dyDescent="0.25">
      <c r="A44" s="26" t="str">
        <f t="shared" si="1"/>
        <v>Barra Ojo C/Guardacabo 5/8x2,0ESTAMPAR</v>
      </c>
      <c r="B44" s="4" t="s">
        <v>185</v>
      </c>
      <c r="C44" s="34">
        <v>34497</v>
      </c>
      <c r="D44" s="35" t="s">
        <v>186</v>
      </c>
      <c r="E44" s="36">
        <v>3.47</v>
      </c>
      <c r="F44" s="37" t="s">
        <v>123</v>
      </c>
      <c r="G44" s="38"/>
      <c r="H44" s="39">
        <v>3.47</v>
      </c>
      <c r="I44" s="26" t="s">
        <v>168</v>
      </c>
      <c r="J44" s="27" t="s">
        <v>74</v>
      </c>
      <c r="K44" s="27" t="s">
        <v>1597</v>
      </c>
      <c r="L44" s="26">
        <v>35</v>
      </c>
      <c r="M44" s="58"/>
    </row>
    <row r="45" spans="1:13" x14ac:dyDescent="0.25">
      <c r="A45" s="26" t="str">
        <f t="shared" si="1"/>
        <v>Barra Ojo Soldado 3/4x2.40mtrs</v>
      </c>
      <c r="B45" s="4" t="s">
        <v>187</v>
      </c>
      <c r="C45" s="34">
        <v>38068</v>
      </c>
      <c r="D45" s="35" t="s">
        <v>167</v>
      </c>
      <c r="E45" s="36">
        <v>5.8</v>
      </c>
      <c r="F45" s="37"/>
      <c r="G45" s="38"/>
      <c r="H45" s="39">
        <v>5.8</v>
      </c>
      <c r="I45" s="26" t="s">
        <v>168</v>
      </c>
      <c r="M45" s="58"/>
    </row>
    <row r="46" spans="1:13" x14ac:dyDescent="0.25">
      <c r="A46" s="26" t="str">
        <f t="shared" si="1"/>
        <v>Barra Ojo Soldado 3/4x2.94mtrs</v>
      </c>
      <c r="B46" s="4" t="s">
        <v>188</v>
      </c>
      <c r="C46" s="34">
        <v>35222</v>
      </c>
      <c r="D46" s="35" t="s">
        <v>189</v>
      </c>
      <c r="E46" s="36">
        <v>7.2450000000000001</v>
      </c>
      <c r="F46" s="37" t="s">
        <v>190</v>
      </c>
      <c r="G46" s="38"/>
      <c r="H46" s="39">
        <v>7.2450000000000001</v>
      </c>
      <c r="I46" s="26" t="s">
        <v>168</v>
      </c>
      <c r="M46" s="58"/>
    </row>
    <row r="47" spans="1:13" x14ac:dyDescent="0.25">
      <c r="A47" s="26" t="str">
        <f t="shared" si="1"/>
        <v>Barra Ojo Soldado 3/4x3,0mtrs</v>
      </c>
      <c r="B47" s="4" t="s">
        <v>191</v>
      </c>
      <c r="C47" s="34">
        <v>34489</v>
      </c>
      <c r="D47" s="35" t="s">
        <v>192</v>
      </c>
      <c r="E47" s="36">
        <v>6.4219999999999997</v>
      </c>
      <c r="F47" s="37"/>
      <c r="G47" s="38"/>
      <c r="H47" s="39">
        <v>6.4219999999999997</v>
      </c>
      <c r="I47" s="26" t="s">
        <v>168</v>
      </c>
      <c r="M47" s="58"/>
    </row>
    <row r="48" spans="1:13" x14ac:dyDescent="0.25">
      <c r="A48" s="26" t="str">
        <f t="shared" si="1"/>
        <v>Brazo Horizontal 50x50x120</v>
      </c>
      <c r="B48" s="4" t="s">
        <v>193</v>
      </c>
      <c r="C48" s="34">
        <v>35958</v>
      </c>
      <c r="D48" s="35" t="s">
        <v>194</v>
      </c>
      <c r="E48" s="36">
        <v>0.55100000000000005</v>
      </c>
      <c r="F48" s="37"/>
      <c r="G48" s="38"/>
      <c r="H48" s="39">
        <v>0.55100000000000005</v>
      </c>
      <c r="I48" s="26" t="s">
        <v>149</v>
      </c>
      <c r="M48" s="58"/>
    </row>
    <row r="49" spans="1:13" x14ac:dyDescent="0.25">
      <c r="A49" s="26" t="str">
        <f t="shared" si="1"/>
        <v>Brazo Horizontal 50x50x190</v>
      </c>
      <c r="B49" s="4" t="s">
        <v>195</v>
      </c>
      <c r="C49" s="34">
        <v>35421</v>
      </c>
      <c r="D49" s="35" t="s">
        <v>196</v>
      </c>
      <c r="E49" s="36">
        <v>1</v>
      </c>
      <c r="F49" s="37" t="s">
        <v>197</v>
      </c>
      <c r="G49" s="38"/>
      <c r="H49" s="39">
        <v>1</v>
      </c>
      <c r="I49" s="26" t="s">
        <v>149</v>
      </c>
      <c r="M49" s="58"/>
    </row>
    <row r="50" spans="1:13" x14ac:dyDescent="0.25">
      <c r="A50" s="26" t="str">
        <f t="shared" si="1"/>
        <v>Brazo Horizontal 50x50x240</v>
      </c>
      <c r="B50" s="4" t="s">
        <v>198</v>
      </c>
      <c r="C50" s="34">
        <v>36261</v>
      </c>
      <c r="D50" s="35" t="s">
        <v>199</v>
      </c>
      <c r="E50" s="36">
        <v>0.98</v>
      </c>
      <c r="F50" s="37" t="s">
        <v>200</v>
      </c>
      <c r="G50" s="38"/>
      <c r="H50" s="39">
        <v>0.98</v>
      </c>
      <c r="I50" s="26" t="s">
        <v>149</v>
      </c>
      <c r="M50" s="58"/>
    </row>
    <row r="51" spans="1:13" x14ac:dyDescent="0.25">
      <c r="A51" s="26" t="str">
        <f t="shared" si="1"/>
        <v>Brazo Lateral Tipo L 690x950x5 Coopelan</v>
      </c>
      <c r="B51" s="4" t="s">
        <v>201</v>
      </c>
      <c r="C51" s="34">
        <v>34915</v>
      </c>
      <c r="D51" s="35" t="s">
        <v>202</v>
      </c>
      <c r="E51" s="36">
        <v>11</v>
      </c>
      <c r="F51" s="37"/>
      <c r="G51" s="38"/>
      <c r="H51" s="39">
        <v>11</v>
      </c>
      <c r="I51" s="26" t="s">
        <v>149</v>
      </c>
      <c r="M51" s="58"/>
    </row>
    <row r="52" spans="1:13" x14ac:dyDescent="0.25">
      <c r="A52" s="26" t="str">
        <f t="shared" si="1"/>
        <v>Brazo Lateral c/Refuerzo 690x950x6 Coopelan</v>
      </c>
      <c r="B52" s="4" t="s">
        <v>203</v>
      </c>
      <c r="C52" s="34">
        <v>36358</v>
      </c>
      <c r="D52" s="35" t="s">
        <v>204</v>
      </c>
      <c r="E52" s="36">
        <v>19</v>
      </c>
      <c r="F52" s="37"/>
      <c r="G52" s="38"/>
      <c r="H52" s="39">
        <v>19</v>
      </c>
      <c r="I52" s="26" t="s">
        <v>149</v>
      </c>
      <c r="M52" s="58"/>
    </row>
    <row r="53" spans="1:13" x14ac:dyDescent="0.25">
      <c r="A53" s="26" t="str">
        <f t="shared" si="1"/>
        <v>Brazo Soporte p/Caja Blindada 750x500x150</v>
      </c>
      <c r="B53" s="4" t="s">
        <v>205</v>
      </c>
      <c r="C53" s="34">
        <v>37052</v>
      </c>
      <c r="D53" s="35" t="s">
        <v>206</v>
      </c>
      <c r="E53" s="36">
        <v>6.57</v>
      </c>
      <c r="F53" s="37"/>
      <c r="G53" s="38"/>
      <c r="H53" s="39">
        <v>6.57</v>
      </c>
      <c r="I53" s="26" t="s">
        <v>149</v>
      </c>
      <c r="M53" s="58"/>
    </row>
    <row r="54" spans="1:13" x14ac:dyDescent="0.25">
      <c r="A54" s="26" t="str">
        <f t="shared" si="1"/>
        <v>Brazo Tipo L 622x650mm 23kV</v>
      </c>
      <c r="B54" s="4" t="s">
        <v>207</v>
      </c>
      <c r="C54" s="34">
        <v>36372</v>
      </c>
      <c r="D54" s="35" t="s">
        <v>208</v>
      </c>
      <c r="E54" s="36">
        <v>9.5</v>
      </c>
      <c r="F54" s="37"/>
      <c r="G54" s="38"/>
      <c r="H54" s="39">
        <v>9.5</v>
      </c>
      <c r="I54" s="26" t="s">
        <v>149</v>
      </c>
      <c r="M54" s="58"/>
    </row>
    <row r="55" spans="1:13" x14ac:dyDescent="0.25">
      <c r="A55" s="26" t="str">
        <f t="shared" si="1"/>
        <v>Brazo Tipo L Copelec 40x600x440</v>
      </c>
      <c r="B55" s="4" t="s">
        <v>209</v>
      </c>
      <c r="C55" s="34">
        <v>34614</v>
      </c>
      <c r="D55" s="35" t="s">
        <v>210</v>
      </c>
      <c r="E55" s="36">
        <v>1.9</v>
      </c>
      <c r="F55" s="37"/>
      <c r="G55" s="38"/>
      <c r="H55" s="39">
        <v>1.9</v>
      </c>
      <c r="I55" s="26" t="s">
        <v>149</v>
      </c>
      <c r="M55" s="58"/>
    </row>
    <row r="56" spans="1:13" x14ac:dyDescent="0.25">
      <c r="A56" s="26" t="str">
        <f t="shared" si="1"/>
        <v>Brazo Tipo L Copelec 50x1190x610</v>
      </c>
      <c r="B56" s="4" t="s">
        <v>211</v>
      </c>
      <c r="C56" s="34">
        <v>35732</v>
      </c>
      <c r="D56" s="35" t="s">
        <v>212</v>
      </c>
      <c r="E56" s="36">
        <v>5.67</v>
      </c>
      <c r="F56" s="37"/>
      <c r="G56" s="38"/>
      <c r="H56" s="39">
        <v>5.67</v>
      </c>
      <c r="I56" s="26" t="s">
        <v>149</v>
      </c>
      <c r="M56" s="58"/>
    </row>
    <row r="57" spans="1:13" x14ac:dyDescent="0.25">
      <c r="A57" s="26" t="str">
        <f t="shared" si="1"/>
        <v>Brida 3 pernos Perf. Cuadrada 45x10x120 CNT</v>
      </c>
      <c r="B57" s="4" t="s">
        <v>213</v>
      </c>
      <c r="C57" s="34">
        <v>35008</v>
      </c>
      <c r="D57" s="35" t="s">
        <v>214</v>
      </c>
      <c r="E57" s="36">
        <v>0.31900000000000001</v>
      </c>
      <c r="F57" s="37"/>
      <c r="G57" s="38"/>
      <c r="H57" s="39">
        <v>0.31900000000000001</v>
      </c>
      <c r="I57" s="26" t="s">
        <v>215</v>
      </c>
      <c r="M57" s="58"/>
    </row>
    <row r="58" spans="1:13" x14ac:dyDescent="0.25">
      <c r="A58" s="26" t="str">
        <f t="shared" si="1"/>
        <v>Brida 3 pernos Perf. Redonda 45x10x120 CNT</v>
      </c>
      <c r="B58" s="4" t="s">
        <v>216</v>
      </c>
      <c r="C58" s="34">
        <v>35009</v>
      </c>
      <c r="D58" s="42" t="s">
        <v>217</v>
      </c>
      <c r="E58" s="34">
        <v>0.31900000000000001</v>
      </c>
      <c r="F58" s="37"/>
      <c r="G58" s="38"/>
      <c r="H58" s="39">
        <v>0.31900000000000001</v>
      </c>
      <c r="I58" s="26" t="s">
        <v>215</v>
      </c>
      <c r="M58" s="58"/>
    </row>
    <row r="59" spans="1:13" x14ac:dyDescent="0.25">
      <c r="A59" s="26" t="str">
        <f t="shared" si="1"/>
        <v>Brida 3 pernos Perforación Ovalada</v>
      </c>
      <c r="B59" s="4" t="s">
        <v>218</v>
      </c>
      <c r="C59" s="34">
        <v>35007</v>
      </c>
      <c r="D59" s="35" t="s">
        <v>219</v>
      </c>
      <c r="E59" s="36">
        <v>0.435</v>
      </c>
      <c r="F59" s="37"/>
      <c r="G59" s="38"/>
      <c r="H59" s="39">
        <v>0.435</v>
      </c>
      <c r="I59" s="26" t="s">
        <v>215</v>
      </c>
      <c r="M59" s="58"/>
    </row>
    <row r="60" spans="1:13" x14ac:dyDescent="0.25">
      <c r="A60" s="26" t="str">
        <f t="shared" si="1"/>
        <v>Brida 3 pernos Perforación Redonda</v>
      </c>
      <c r="B60" s="4" t="s">
        <v>220</v>
      </c>
      <c r="C60" s="34">
        <v>35006</v>
      </c>
      <c r="D60" s="42" t="s">
        <v>221</v>
      </c>
      <c r="E60" s="34">
        <v>0.44500000000000001</v>
      </c>
      <c r="F60" s="37"/>
      <c r="G60" s="38"/>
      <c r="H60" s="39">
        <v>0.44500000000000001</v>
      </c>
      <c r="I60" s="26" t="s">
        <v>215</v>
      </c>
      <c r="M60" s="58"/>
    </row>
    <row r="61" spans="1:13" x14ac:dyDescent="0.25">
      <c r="A61" s="26" t="str">
        <f t="shared" si="1"/>
        <v xml:space="preserve">Brida Cruce mensajero perf. Redonda </v>
      </c>
      <c r="B61" s="4" t="s">
        <v>222</v>
      </c>
      <c r="C61" s="34">
        <v>36949</v>
      </c>
      <c r="D61" s="42" t="s">
        <v>223</v>
      </c>
      <c r="E61" s="34">
        <v>0.22</v>
      </c>
      <c r="F61" s="37"/>
      <c r="G61" s="38"/>
      <c r="H61" s="39">
        <v>0.22</v>
      </c>
      <c r="I61" s="26" t="s">
        <v>224</v>
      </c>
      <c r="M61" s="58"/>
    </row>
    <row r="62" spans="1:13" x14ac:dyDescent="0.25">
      <c r="A62" s="26" t="str">
        <f t="shared" si="1"/>
        <v>Brida Cruce mensajero perf. Ovalada</v>
      </c>
      <c r="B62" s="4" t="s">
        <v>225</v>
      </c>
      <c r="C62" s="34">
        <v>36950</v>
      </c>
      <c r="D62" s="42" t="s">
        <v>226</v>
      </c>
      <c r="E62" s="34">
        <v>0.215</v>
      </c>
      <c r="F62" s="37"/>
      <c r="G62" s="38"/>
      <c r="H62" s="39">
        <v>0.215</v>
      </c>
      <c r="I62" s="26" t="s">
        <v>224</v>
      </c>
      <c r="M62" s="58"/>
    </row>
    <row r="63" spans="1:13" x14ac:dyDescent="0.25">
      <c r="A63" s="26" t="str">
        <f t="shared" si="1"/>
        <v>Brida Inferior 1 Perno t/CTC</v>
      </c>
      <c r="B63" s="4" t="s">
        <v>227</v>
      </c>
      <c r="C63" s="34">
        <v>34884</v>
      </c>
      <c r="D63" s="42" t="s">
        <v>228</v>
      </c>
      <c r="E63" s="34">
        <v>0.22500000000000001</v>
      </c>
      <c r="F63" s="37"/>
      <c r="G63" s="38"/>
      <c r="H63" s="39">
        <v>0.22500000000000001</v>
      </c>
      <c r="I63" s="26" t="s">
        <v>224</v>
      </c>
      <c r="M63" s="58"/>
    </row>
    <row r="64" spans="1:13" x14ac:dyDescent="0.25">
      <c r="A64" s="26" t="str">
        <f t="shared" si="1"/>
        <v>Brida Inferior 1 perno t/Entel</v>
      </c>
      <c r="B64" s="4" t="s">
        <v>229</v>
      </c>
      <c r="C64" s="34">
        <v>34432</v>
      </c>
      <c r="D64" s="35" t="s">
        <v>230</v>
      </c>
      <c r="E64" s="36">
        <v>0.22500000000000001</v>
      </c>
      <c r="F64" s="37"/>
      <c r="G64" s="38"/>
      <c r="H64" s="39">
        <v>0.22500000000000001</v>
      </c>
      <c r="I64" s="26" t="s">
        <v>224</v>
      </c>
      <c r="M64" s="58"/>
    </row>
    <row r="65" spans="1:13" x14ac:dyDescent="0.25">
      <c r="A65" s="26" t="str">
        <f t="shared" si="1"/>
        <v>Brida Inferior 2 pernos</v>
      </c>
      <c r="B65" s="4" t="s">
        <v>231</v>
      </c>
      <c r="C65" s="34">
        <v>34580</v>
      </c>
      <c r="D65" s="35" t="s">
        <v>232</v>
      </c>
      <c r="E65" s="36">
        <v>0.41499999999999998</v>
      </c>
      <c r="F65" s="37"/>
      <c r="G65" s="38"/>
      <c r="H65" s="39">
        <v>0.41499999999999998</v>
      </c>
      <c r="I65" s="26" t="s">
        <v>224</v>
      </c>
      <c r="M65" s="58"/>
    </row>
    <row r="66" spans="1:13" x14ac:dyDescent="0.25">
      <c r="A66" s="26" t="str">
        <f t="shared" si="1"/>
        <v xml:space="preserve">Brida Inferior Multicable </v>
      </c>
      <c r="B66" s="4" t="s">
        <v>233</v>
      </c>
      <c r="C66" s="34">
        <v>34875</v>
      </c>
      <c r="D66" s="35" t="s">
        <v>234</v>
      </c>
      <c r="E66" s="36">
        <v>0.17299999999999999</v>
      </c>
      <c r="F66" s="37"/>
      <c r="G66" s="38"/>
      <c r="H66" s="39">
        <v>0.17299999999999999</v>
      </c>
      <c r="I66" s="26" t="s">
        <v>224</v>
      </c>
      <c r="M66" s="58"/>
    </row>
    <row r="67" spans="1:13" x14ac:dyDescent="0.25">
      <c r="A67" s="26" t="str">
        <f t="shared" si="1"/>
        <v>Brida Inferior Multicable 4mm</v>
      </c>
      <c r="B67" s="4" t="s">
        <v>235</v>
      </c>
      <c r="C67" s="34">
        <v>37957</v>
      </c>
      <c r="D67" s="35" t="s">
        <v>236</v>
      </c>
      <c r="E67" s="36">
        <v>0.11600000000000001</v>
      </c>
      <c r="F67" s="37"/>
      <c r="G67" s="38"/>
      <c r="H67" s="39">
        <v>0.11600000000000001</v>
      </c>
      <c r="I67" s="26" t="s">
        <v>224</v>
      </c>
      <c r="M67" s="58"/>
    </row>
    <row r="68" spans="1:13" x14ac:dyDescent="0.25">
      <c r="A68" s="26" t="str">
        <f t="shared" si="1"/>
        <v>Brida Inferior Suj. Doble 3 pernos</v>
      </c>
      <c r="B68" s="4" t="s">
        <v>237</v>
      </c>
      <c r="C68" s="34">
        <v>38542</v>
      </c>
      <c r="D68" s="35" t="s">
        <v>238</v>
      </c>
      <c r="E68" s="36">
        <v>0.33500000000000002</v>
      </c>
      <c r="F68" s="37"/>
      <c r="G68" s="38"/>
      <c r="H68" s="39">
        <v>0.33500000000000002</v>
      </c>
      <c r="I68" s="26" t="s">
        <v>224</v>
      </c>
      <c r="M68" s="58"/>
    </row>
    <row r="69" spans="1:13" x14ac:dyDescent="0.25">
      <c r="A69" s="26" t="str">
        <f t="shared" si="1"/>
        <v>Brida Suj. Plana 1 Perno perf. Redonda</v>
      </c>
      <c r="B69" s="4" t="s">
        <v>239</v>
      </c>
      <c r="C69" s="34">
        <v>38063</v>
      </c>
      <c r="D69" s="35" t="s">
        <v>240</v>
      </c>
      <c r="E69" s="36">
        <v>0.17</v>
      </c>
      <c r="F69" s="37"/>
      <c r="G69" s="38"/>
      <c r="H69" s="39">
        <v>0.17</v>
      </c>
      <c r="I69" s="26" t="s">
        <v>215</v>
      </c>
      <c r="M69" s="58"/>
    </row>
    <row r="70" spans="1:13" x14ac:dyDescent="0.25">
      <c r="A70" s="26" t="str">
        <f t="shared" si="1"/>
        <v>Brida Suj. Plana 1 Perno perf. Ovalada</v>
      </c>
      <c r="B70" s="4" t="s">
        <v>241</v>
      </c>
      <c r="C70" s="34">
        <v>38064</v>
      </c>
      <c r="D70" s="35" t="s">
        <v>242</v>
      </c>
      <c r="E70" s="36">
        <v>0.16400000000000001</v>
      </c>
      <c r="F70" s="37"/>
      <c r="G70" s="38"/>
      <c r="H70" s="39">
        <v>0.16400000000000001</v>
      </c>
      <c r="I70" s="26" t="s">
        <v>215</v>
      </c>
      <c r="M70" s="58"/>
    </row>
    <row r="71" spans="1:13" x14ac:dyDescent="0.25">
      <c r="A71" s="26" t="str">
        <f t="shared" si="1"/>
        <v>Brida Superior 1 Perno t/CTC</v>
      </c>
      <c r="B71" s="4" t="s">
        <v>243</v>
      </c>
      <c r="C71" s="34">
        <v>34883</v>
      </c>
      <c r="D71" s="42" t="s">
        <v>244</v>
      </c>
      <c r="E71" s="34">
        <v>0.14499999999999999</v>
      </c>
      <c r="F71" s="37"/>
      <c r="G71" s="38"/>
      <c r="H71" s="39">
        <v>0.14499999999999999</v>
      </c>
      <c r="I71" s="26" t="s">
        <v>224</v>
      </c>
      <c r="M71" s="58"/>
    </row>
    <row r="72" spans="1:13" x14ac:dyDescent="0.25">
      <c r="A72" s="26" t="str">
        <f t="shared" si="1"/>
        <v>Brida Superior 1 Perno T/Entel</v>
      </c>
      <c r="B72" s="4" t="s">
        <v>245</v>
      </c>
      <c r="C72" s="34">
        <v>34691</v>
      </c>
      <c r="D72" s="42" t="s">
        <v>246</v>
      </c>
      <c r="E72" s="34">
        <v>0.16600000000000001</v>
      </c>
      <c r="F72" s="37"/>
      <c r="G72" s="38"/>
      <c r="H72" s="39">
        <v>0.16600000000000001</v>
      </c>
      <c r="I72" s="26" t="s">
        <v>224</v>
      </c>
      <c r="M72" s="58"/>
    </row>
    <row r="73" spans="1:13" x14ac:dyDescent="0.25">
      <c r="A73" s="26" t="str">
        <f t="shared" si="1"/>
        <v>Brida Superior 2 Pernos</v>
      </c>
      <c r="B73" s="4" t="s">
        <v>247</v>
      </c>
      <c r="C73" s="34">
        <v>34581</v>
      </c>
      <c r="D73" s="35" t="s">
        <v>248</v>
      </c>
      <c r="E73" s="36">
        <v>0.35699999999999998</v>
      </c>
      <c r="F73" s="37"/>
      <c r="G73" s="38"/>
      <c r="H73" s="39">
        <v>0.35699999999999998</v>
      </c>
      <c r="I73" s="26" t="s">
        <v>224</v>
      </c>
      <c r="M73" s="58"/>
    </row>
    <row r="74" spans="1:13" x14ac:dyDescent="0.25">
      <c r="A74" s="26" t="str">
        <f t="shared" si="1"/>
        <v>Brida Superior Multicable</v>
      </c>
      <c r="B74" s="4" t="s">
        <v>249</v>
      </c>
      <c r="C74" s="34">
        <v>34842</v>
      </c>
      <c r="D74" s="35" t="s">
        <v>250</v>
      </c>
      <c r="E74" s="36">
        <v>0.105</v>
      </c>
      <c r="F74" s="37"/>
      <c r="G74" s="38"/>
      <c r="H74" s="39">
        <v>0.105</v>
      </c>
      <c r="I74" s="26" t="s">
        <v>224</v>
      </c>
      <c r="M74" s="58"/>
    </row>
    <row r="75" spans="1:13" x14ac:dyDescent="0.25">
      <c r="A75" s="26" t="str">
        <f t="shared" si="1"/>
        <v>Brida Superior Multicable 4mm</v>
      </c>
      <c r="B75" s="4" t="s">
        <v>251</v>
      </c>
      <c r="C75" s="34">
        <v>37956</v>
      </c>
      <c r="D75" s="35" t="s">
        <v>252</v>
      </c>
      <c r="E75" s="36">
        <v>7.6999999999999999E-2</v>
      </c>
      <c r="F75" s="37"/>
      <c r="G75" s="38"/>
      <c r="H75" s="39">
        <v>7.6999999999999999E-2</v>
      </c>
      <c r="I75" s="26" t="s">
        <v>224</v>
      </c>
      <c r="M75" s="58"/>
    </row>
    <row r="76" spans="1:13" x14ac:dyDescent="0.25">
      <c r="A76" s="26" t="str">
        <f t="shared" si="1"/>
        <v>Brida Superior Suj. Doble 3 pernos</v>
      </c>
      <c r="B76" s="4" t="s">
        <v>253</v>
      </c>
      <c r="C76" s="34">
        <v>38543</v>
      </c>
      <c r="D76" s="35" t="s">
        <v>254</v>
      </c>
      <c r="E76" s="36">
        <v>0.20699999999999999</v>
      </c>
      <c r="F76" s="37"/>
      <c r="G76" s="38"/>
      <c r="H76" s="39">
        <v>0.20699999999999999</v>
      </c>
      <c r="I76" s="26" t="s">
        <v>224</v>
      </c>
      <c r="M76" s="58"/>
    </row>
    <row r="77" spans="1:13" x14ac:dyDescent="0.25">
      <c r="A77" s="26" t="str">
        <f t="shared" si="1"/>
        <v>Camisa Plomo p/Per Expan 1/2x38mm</v>
      </c>
      <c r="B77" s="4" t="s">
        <v>255</v>
      </c>
      <c r="C77" s="34">
        <v>35074</v>
      </c>
      <c r="D77" s="42" t="s">
        <v>256</v>
      </c>
      <c r="E77" s="34">
        <v>5.5E-2</v>
      </c>
      <c r="F77" s="40"/>
      <c r="G77" s="41"/>
      <c r="H77" s="39">
        <v>5.5E-2</v>
      </c>
      <c r="I77" s="26" t="s">
        <v>155</v>
      </c>
      <c r="M77" s="58"/>
    </row>
    <row r="78" spans="1:13" x14ac:dyDescent="0.25">
      <c r="A78" s="26" t="str">
        <f t="shared" si="1"/>
        <v>Canal Adaptadar p/Brazo Antibalanceo 65x40x5</v>
      </c>
      <c r="B78" s="4" t="s">
        <v>257</v>
      </c>
      <c r="C78" s="34">
        <v>35683</v>
      </c>
      <c r="D78" s="42" t="s">
        <v>258</v>
      </c>
      <c r="E78" s="34">
        <v>0.18540000000000001</v>
      </c>
      <c r="F78" s="40"/>
      <c r="G78" s="41"/>
      <c r="H78" s="39">
        <v>0.18540000000000001</v>
      </c>
      <c r="I78" s="26" t="s">
        <v>149</v>
      </c>
      <c r="M78" s="58"/>
    </row>
    <row r="79" spans="1:13" x14ac:dyDescent="0.25">
      <c r="A79" s="26" t="str">
        <f t="shared" si="1"/>
        <v>Cáncamo p/Madera 5/16x110x50mm</v>
      </c>
      <c r="B79" s="4" t="s">
        <v>259</v>
      </c>
      <c r="C79" s="34">
        <v>36180</v>
      </c>
      <c r="D79" s="42" t="s">
        <v>260</v>
      </c>
      <c r="E79" s="34">
        <v>5.7000000000000002E-2</v>
      </c>
      <c r="F79" s="40"/>
      <c r="G79" s="41"/>
      <c r="H79" s="39">
        <v>5.7000000000000002E-2</v>
      </c>
      <c r="I79" s="26" t="s">
        <v>155</v>
      </c>
      <c r="M79" s="58"/>
    </row>
    <row r="80" spans="1:13" x14ac:dyDescent="0.25">
      <c r="A80" s="26" t="str">
        <f t="shared" si="1"/>
        <v>Cáncamo 1/2x100 GV</v>
      </c>
      <c r="B80" s="4" t="s">
        <v>261</v>
      </c>
      <c r="C80" s="34">
        <v>34897</v>
      </c>
      <c r="D80" s="42" t="s">
        <v>262</v>
      </c>
      <c r="E80" s="34">
        <v>0.10977000000000001</v>
      </c>
      <c r="F80" s="37" t="s">
        <v>113</v>
      </c>
      <c r="G80" s="38"/>
      <c r="H80" s="39">
        <v>0.10977000000000001</v>
      </c>
      <c r="I80" s="26" t="s">
        <v>155</v>
      </c>
      <c r="M80" s="58"/>
    </row>
    <row r="81" spans="1:13" x14ac:dyDescent="0.25">
      <c r="A81" s="26" t="str">
        <f t="shared" ref="A81:A144" si="3">B81&amp;K81</f>
        <v>Cancamo 1/2x100 ZN</v>
      </c>
      <c r="B81" s="4" t="s">
        <v>263</v>
      </c>
      <c r="C81" s="34">
        <v>33940</v>
      </c>
      <c r="D81" s="35" t="s">
        <v>264</v>
      </c>
      <c r="E81" s="36">
        <v>0.109</v>
      </c>
      <c r="F81" s="37" t="s">
        <v>113</v>
      </c>
      <c r="G81" s="38"/>
      <c r="H81" s="39">
        <v>0.109</v>
      </c>
      <c r="I81" s="26" t="s">
        <v>155</v>
      </c>
      <c r="M81" s="58"/>
    </row>
    <row r="82" spans="1:13" x14ac:dyDescent="0.25">
      <c r="A82" s="26" t="str">
        <f t="shared" si="3"/>
        <v>Cáncamo 1/2x120 GV</v>
      </c>
      <c r="B82" s="4" t="s">
        <v>265</v>
      </c>
      <c r="C82" s="34">
        <v>34898</v>
      </c>
      <c r="D82" s="42" t="s">
        <v>266</v>
      </c>
      <c r="E82" s="34">
        <v>0.1099</v>
      </c>
      <c r="F82" s="37" t="s">
        <v>113</v>
      </c>
      <c r="G82" s="38"/>
      <c r="H82" s="39">
        <v>0.1099</v>
      </c>
      <c r="I82" s="26" t="s">
        <v>155</v>
      </c>
      <c r="M82" s="58"/>
    </row>
    <row r="83" spans="1:13" x14ac:dyDescent="0.25">
      <c r="A83" s="26" t="str">
        <f t="shared" si="3"/>
        <v>Cáncamo 1/2x120 ZN</v>
      </c>
      <c r="B83" s="4" t="s">
        <v>267</v>
      </c>
      <c r="C83" s="34">
        <v>33941</v>
      </c>
      <c r="D83" s="35" t="s">
        <v>268</v>
      </c>
      <c r="E83" s="36">
        <v>0.1099</v>
      </c>
      <c r="F83" s="37" t="s">
        <v>113</v>
      </c>
      <c r="G83" s="38"/>
      <c r="H83" s="39">
        <v>0.1099</v>
      </c>
      <c r="I83" s="26" t="s">
        <v>155</v>
      </c>
      <c r="M83" s="58"/>
    </row>
    <row r="84" spans="1:13" x14ac:dyDescent="0.25">
      <c r="A84" s="26" t="str">
        <f t="shared" si="3"/>
        <v>Cápsula de Plomo Cañería 1/2</v>
      </c>
      <c r="B84" s="4" t="s">
        <v>269</v>
      </c>
      <c r="C84" s="34">
        <v>34655</v>
      </c>
      <c r="D84" s="35" t="s">
        <v>256</v>
      </c>
      <c r="E84" s="36">
        <v>5.5E-2</v>
      </c>
      <c r="F84" s="37"/>
      <c r="G84" s="38"/>
      <c r="H84" s="39">
        <v>5.5E-2</v>
      </c>
      <c r="I84" s="26" t="s">
        <v>270</v>
      </c>
      <c r="M84" s="58"/>
    </row>
    <row r="85" spans="1:13" x14ac:dyDescent="0.25">
      <c r="A85" s="26" t="str">
        <f t="shared" si="3"/>
        <v>Chavetas Zinc 1/8x1</v>
      </c>
      <c r="B85" s="4" t="s">
        <v>271</v>
      </c>
      <c r="C85" s="34">
        <v>34764</v>
      </c>
      <c r="D85" s="35" t="s">
        <v>272</v>
      </c>
      <c r="E85" s="36">
        <v>2E-3</v>
      </c>
      <c r="F85" s="37"/>
      <c r="G85" s="38"/>
      <c r="H85" s="39">
        <v>2E-3</v>
      </c>
      <c r="I85" s="26" t="s">
        <v>270</v>
      </c>
      <c r="M85" s="58"/>
    </row>
    <row r="86" spans="1:13" x14ac:dyDescent="0.25">
      <c r="A86" s="26" t="str">
        <f t="shared" si="3"/>
        <v>Chavetas Zinc 1/8x1.1/2</v>
      </c>
      <c r="B86" s="4" t="s">
        <v>273</v>
      </c>
      <c r="C86" s="34">
        <v>34373</v>
      </c>
      <c r="D86" s="35" t="s">
        <v>274</v>
      </c>
      <c r="E86" s="36">
        <v>2.5000000000000001E-3</v>
      </c>
      <c r="F86" s="37"/>
      <c r="G86" s="38"/>
      <c r="H86" s="39">
        <v>2.5000000000000001E-3</v>
      </c>
      <c r="I86" s="26" t="s">
        <v>270</v>
      </c>
      <c r="M86" s="58"/>
    </row>
    <row r="87" spans="1:13" x14ac:dyDescent="0.25">
      <c r="A87" s="26" t="str">
        <f t="shared" si="3"/>
        <v>Chavetas Zinc 1/8x1.1/4</v>
      </c>
      <c r="B87" s="4" t="s">
        <v>275</v>
      </c>
      <c r="C87" s="34">
        <v>33844</v>
      </c>
      <c r="D87" s="35" t="s">
        <v>276</v>
      </c>
      <c r="E87" s="36">
        <v>3.0000000000000001E-3</v>
      </c>
      <c r="F87" s="37"/>
      <c r="G87" s="38"/>
      <c r="H87" s="39">
        <v>3.0000000000000001E-3</v>
      </c>
      <c r="I87" s="26" t="s">
        <v>270</v>
      </c>
      <c r="M87" s="58"/>
    </row>
    <row r="88" spans="1:13" x14ac:dyDescent="0.25">
      <c r="A88" s="26" t="str">
        <f t="shared" si="3"/>
        <v>Chavetas Zinc 5/32x1.1/4</v>
      </c>
      <c r="B88" s="4" t="s">
        <v>277</v>
      </c>
      <c r="C88" s="34">
        <v>34380</v>
      </c>
      <c r="D88" s="35" t="s">
        <v>278</v>
      </c>
      <c r="E88" s="36">
        <v>4.0000000000000001E-3</v>
      </c>
      <c r="F88" s="37"/>
      <c r="G88" s="38"/>
      <c r="H88" s="39">
        <v>4.0000000000000001E-3</v>
      </c>
      <c r="I88" s="26" t="s">
        <v>270</v>
      </c>
      <c r="M88" s="58"/>
    </row>
    <row r="89" spans="1:13" x14ac:dyDescent="0.25">
      <c r="A89" s="26" t="str">
        <f t="shared" si="3"/>
        <v>Cincel Recto 5/8x343</v>
      </c>
      <c r="B89" s="4" t="s">
        <v>279</v>
      </c>
      <c r="C89" s="34">
        <v>34381</v>
      </c>
      <c r="D89" s="35" t="s">
        <v>280</v>
      </c>
      <c r="E89" s="36">
        <v>0.8</v>
      </c>
      <c r="F89" s="37"/>
      <c r="G89" s="38"/>
      <c r="H89" s="39">
        <v>0.8</v>
      </c>
      <c r="I89" s="26" t="s">
        <v>270</v>
      </c>
      <c r="M89" s="58"/>
    </row>
    <row r="90" spans="1:13" x14ac:dyDescent="0.25">
      <c r="A90" s="26" t="str">
        <f t="shared" si="3"/>
        <v>Cincel Recto 5/8x343</v>
      </c>
      <c r="B90" s="4" t="s">
        <v>279</v>
      </c>
      <c r="C90" s="34">
        <v>34381</v>
      </c>
      <c r="D90" s="35" t="s">
        <v>280</v>
      </c>
      <c r="E90" s="36">
        <v>0.8</v>
      </c>
      <c r="F90" s="37"/>
      <c r="G90" s="38"/>
      <c r="H90" s="39">
        <v>0.8</v>
      </c>
      <c r="I90" s="26" t="s">
        <v>270</v>
      </c>
      <c r="M90" s="58"/>
    </row>
    <row r="91" spans="1:13" x14ac:dyDescent="0.25">
      <c r="A91" s="26" t="str">
        <f t="shared" si="3"/>
        <v>Clavicote 1/2xM220 NG</v>
      </c>
      <c r="B91" s="4" t="s">
        <v>281</v>
      </c>
      <c r="C91" s="34">
        <v>37623</v>
      </c>
      <c r="D91" s="35" t="s">
        <v>282</v>
      </c>
      <c r="E91" s="36">
        <v>0.193</v>
      </c>
      <c r="F91" s="37"/>
      <c r="G91" s="38"/>
      <c r="H91" s="39">
        <v>0.193</v>
      </c>
      <c r="I91" s="26" t="s">
        <v>152</v>
      </c>
      <c r="M91" s="58"/>
    </row>
    <row r="92" spans="1:13" x14ac:dyDescent="0.25">
      <c r="A92" s="26" t="str">
        <f t="shared" si="3"/>
        <v>Clavicote 1/2x8 NG Pta plana</v>
      </c>
      <c r="B92" s="4" t="s">
        <v>283</v>
      </c>
      <c r="C92" s="34">
        <v>38137</v>
      </c>
      <c r="D92" s="35" t="s">
        <v>284</v>
      </c>
      <c r="E92" s="36">
        <v>0.20910999999999999</v>
      </c>
      <c r="F92" s="37"/>
      <c r="G92" s="38"/>
      <c r="H92" s="39">
        <v>0.20910999999999999</v>
      </c>
      <c r="I92" s="26" t="s">
        <v>152</v>
      </c>
      <c r="M92" s="58"/>
    </row>
    <row r="93" spans="1:13" x14ac:dyDescent="0.25">
      <c r="A93" s="26" t="str">
        <f t="shared" si="3"/>
        <v>Clavicote Estriado Pta.Piramidal 1/2x250</v>
      </c>
      <c r="B93" s="4" t="s">
        <v>285</v>
      </c>
      <c r="C93" s="34">
        <v>34554</v>
      </c>
      <c r="D93" s="35" t="s">
        <v>286</v>
      </c>
      <c r="E93" s="36">
        <v>0.25700000000000001</v>
      </c>
      <c r="F93" s="37"/>
      <c r="G93" s="38"/>
      <c r="H93" s="39">
        <v>0.25700000000000001</v>
      </c>
      <c r="I93" s="26" t="s">
        <v>152</v>
      </c>
      <c r="M93" s="58"/>
    </row>
    <row r="94" spans="1:13" x14ac:dyDescent="0.25">
      <c r="A94" s="26" t="str">
        <f t="shared" si="3"/>
        <v>Clavo riel FFCC 5/8x4</v>
      </c>
      <c r="B94" s="4" t="s">
        <v>287</v>
      </c>
      <c r="C94" s="34">
        <v>36134</v>
      </c>
      <c r="D94" s="35" t="s">
        <v>288</v>
      </c>
      <c r="E94" s="36">
        <v>0.28799999999999998</v>
      </c>
      <c r="F94" s="37"/>
      <c r="G94" s="38"/>
      <c r="H94" s="39">
        <v>0.28799999999999998</v>
      </c>
      <c r="I94" s="26" t="s">
        <v>289</v>
      </c>
      <c r="M94" s="58"/>
    </row>
    <row r="95" spans="1:13" x14ac:dyDescent="0.25">
      <c r="A95" s="26" t="str">
        <f t="shared" si="3"/>
        <v>Clavo riel FFCC 5/8x5</v>
      </c>
      <c r="B95" s="4" t="s">
        <v>290</v>
      </c>
      <c r="C95" s="34">
        <v>34964</v>
      </c>
      <c r="D95" s="42" t="s">
        <v>291</v>
      </c>
      <c r="E95" s="34">
        <v>0.34499999999999997</v>
      </c>
      <c r="F95" s="37"/>
      <c r="G95" s="38"/>
      <c r="H95" s="39">
        <v>0.34499999999999997</v>
      </c>
      <c r="I95" s="26" t="s">
        <v>289</v>
      </c>
      <c r="M95" s="58"/>
    </row>
    <row r="96" spans="1:13" x14ac:dyDescent="0.25">
      <c r="A96" s="26" t="str">
        <f t="shared" si="3"/>
        <v>Clavo riel FFCC 9/16x4.1/2</v>
      </c>
      <c r="B96" s="4" t="s">
        <v>292</v>
      </c>
      <c r="C96" s="34">
        <v>35417</v>
      </c>
      <c r="D96" s="42" t="s">
        <v>293</v>
      </c>
      <c r="E96" s="34">
        <v>0.23</v>
      </c>
      <c r="F96" s="37"/>
      <c r="G96" s="38"/>
      <c r="H96" s="39">
        <v>0.23</v>
      </c>
      <c r="I96" s="26" t="s">
        <v>289</v>
      </c>
      <c r="M96" s="58"/>
    </row>
    <row r="97" spans="1:13" x14ac:dyDescent="0.25">
      <c r="A97" s="26" t="str">
        <f t="shared" si="3"/>
        <v>Clavo riel NA 9/16x4.1/2</v>
      </c>
      <c r="B97" s="4" t="s">
        <v>294</v>
      </c>
      <c r="C97" s="34">
        <v>34809</v>
      </c>
      <c r="D97" s="35" t="s">
        <v>295</v>
      </c>
      <c r="E97" s="36">
        <v>0.29099999999999998</v>
      </c>
      <c r="F97" s="37"/>
      <c r="G97" s="38"/>
      <c r="H97" s="39">
        <v>0.29099999999999998</v>
      </c>
      <c r="I97" s="26" t="s">
        <v>289</v>
      </c>
      <c r="M97" s="58"/>
    </row>
    <row r="98" spans="1:13" x14ac:dyDescent="0.25">
      <c r="A98" s="26" t="str">
        <f t="shared" si="3"/>
        <v>Clavo riel NA 5/8x5</v>
      </c>
      <c r="B98" s="4" t="s">
        <v>296</v>
      </c>
      <c r="C98" s="34">
        <v>34807</v>
      </c>
      <c r="D98" s="35" t="s">
        <v>297</v>
      </c>
      <c r="E98" s="36">
        <v>0.32500000000000001</v>
      </c>
      <c r="F98" s="37"/>
      <c r="G98" s="38"/>
      <c r="H98" s="39">
        <v>0.32500000000000001</v>
      </c>
      <c r="I98" s="26" t="s">
        <v>289</v>
      </c>
      <c r="M98" s="58"/>
    </row>
    <row r="99" spans="1:13" x14ac:dyDescent="0.25">
      <c r="A99" s="26" t="str">
        <f t="shared" si="3"/>
        <v>Clavo riel NA 5/8x6</v>
      </c>
      <c r="B99" s="4" t="s">
        <v>298</v>
      </c>
      <c r="C99" s="34">
        <v>34823</v>
      </c>
      <c r="D99" s="42" t="s">
        <v>299</v>
      </c>
      <c r="E99" s="34">
        <v>0.36799999999999999</v>
      </c>
      <c r="F99" s="37"/>
      <c r="G99" s="38"/>
      <c r="H99" s="39">
        <v>0.36799999999999999</v>
      </c>
      <c r="I99" s="26" t="s">
        <v>289</v>
      </c>
      <c r="M99" s="58"/>
    </row>
    <row r="100" spans="1:13" x14ac:dyDescent="0.25">
      <c r="A100" s="26" t="str">
        <f t="shared" si="3"/>
        <v>Clip p/Prensa Conexión a tierra</v>
      </c>
      <c r="B100" s="4" t="s">
        <v>300</v>
      </c>
      <c r="C100" s="34">
        <v>34685</v>
      </c>
      <c r="D100" s="35" t="s">
        <v>301</v>
      </c>
      <c r="E100" s="36">
        <v>3.2000000000000001E-2</v>
      </c>
      <c r="F100" s="37"/>
      <c r="G100" s="38"/>
      <c r="H100" s="39">
        <v>3.2000000000000001E-2</v>
      </c>
      <c r="I100" s="26" t="s">
        <v>149</v>
      </c>
      <c r="M100" s="58"/>
    </row>
    <row r="101" spans="1:13" x14ac:dyDescent="0.25">
      <c r="A101" s="26" t="str">
        <f t="shared" si="3"/>
        <v>Complemento Elemento Montaje (Cubo)</v>
      </c>
      <c r="B101" s="4" t="s">
        <v>302</v>
      </c>
      <c r="C101" s="34">
        <v>34787</v>
      </c>
      <c r="D101" s="35" t="s">
        <v>303</v>
      </c>
      <c r="E101" s="36">
        <v>0.38500000000000001</v>
      </c>
      <c r="F101" s="37"/>
      <c r="G101" s="38"/>
      <c r="H101" s="39">
        <v>0.38500000000000001</v>
      </c>
      <c r="I101" s="26" t="s">
        <v>149</v>
      </c>
      <c r="M101" s="58"/>
    </row>
    <row r="102" spans="1:13" x14ac:dyDescent="0.25">
      <c r="A102" s="26" t="str">
        <f t="shared" si="3"/>
        <v>Cruceta BTAT 65x65x5x500-18</v>
      </c>
      <c r="B102" s="4" t="s">
        <v>304</v>
      </c>
      <c r="C102" s="34">
        <v>35267</v>
      </c>
      <c r="D102" s="35" t="s">
        <v>305</v>
      </c>
      <c r="E102" s="36">
        <v>2.11</v>
      </c>
      <c r="F102" s="37"/>
      <c r="G102" s="38"/>
      <c r="H102" s="39">
        <v>2.11</v>
      </c>
      <c r="I102" s="26" t="s">
        <v>306</v>
      </c>
      <c r="M102" s="58"/>
    </row>
    <row r="103" spans="1:13" x14ac:dyDescent="0.25">
      <c r="A103" s="26" t="str">
        <f t="shared" si="3"/>
        <v>Cruceta BTAT 65x65x6x500-18</v>
      </c>
      <c r="B103" s="4" t="s">
        <v>307</v>
      </c>
      <c r="C103" s="34">
        <v>31291</v>
      </c>
      <c r="D103" s="35" t="s">
        <v>308</v>
      </c>
      <c r="E103" s="36">
        <v>2.5299999999999998</v>
      </c>
      <c r="F103" s="37"/>
      <c r="G103" s="38"/>
      <c r="H103" s="39">
        <v>2.5299999999999998</v>
      </c>
      <c r="I103" s="26" t="s">
        <v>306</v>
      </c>
      <c r="M103" s="58"/>
    </row>
    <row r="104" spans="1:13" x14ac:dyDescent="0.25">
      <c r="A104" s="26" t="str">
        <f t="shared" si="3"/>
        <v>Cruceta BTAT 65x65x6x500 Am/Rey</v>
      </c>
      <c r="B104" s="4" t="s">
        <v>309</v>
      </c>
      <c r="C104" s="34">
        <v>34863</v>
      </c>
      <c r="D104" s="35" t="s">
        <v>310</v>
      </c>
      <c r="E104" s="36">
        <v>2.5299999999999998</v>
      </c>
      <c r="F104" s="37"/>
      <c r="G104" s="38"/>
      <c r="H104" s="39">
        <v>2.5299999999999998</v>
      </c>
      <c r="I104" s="26" t="s">
        <v>306</v>
      </c>
      <c r="M104" s="58"/>
    </row>
    <row r="105" spans="1:13" x14ac:dyDescent="0.25">
      <c r="A105" s="26" t="str">
        <f t="shared" si="3"/>
        <v>Cruceta BTAT 65x65x6x500 Az/Rojo</v>
      </c>
      <c r="B105" s="4" t="s">
        <v>311</v>
      </c>
      <c r="C105" s="34">
        <v>34577</v>
      </c>
      <c r="D105" s="35" t="s">
        <v>312</v>
      </c>
      <c r="E105" s="36">
        <v>2.5299999999999998</v>
      </c>
      <c r="F105" s="37"/>
      <c r="G105" s="38"/>
      <c r="H105" s="39">
        <v>2.5299999999999998</v>
      </c>
      <c r="I105" s="26" t="s">
        <v>306</v>
      </c>
      <c r="M105" s="58"/>
    </row>
    <row r="106" spans="1:13" x14ac:dyDescent="0.25">
      <c r="A106" s="26" t="str">
        <f t="shared" si="3"/>
        <v>Cruceta BTAT 65x65x6x575-18 Az/Rojo</v>
      </c>
      <c r="B106" s="4" t="s">
        <v>313</v>
      </c>
      <c r="C106" s="34">
        <v>35815</v>
      </c>
      <c r="D106" s="35" t="s">
        <v>314</v>
      </c>
      <c r="E106" s="36">
        <v>2.87</v>
      </c>
      <c r="F106" s="37"/>
      <c r="G106" s="38"/>
      <c r="H106" s="39">
        <v>2.87</v>
      </c>
      <c r="I106" s="26" t="s">
        <v>306</v>
      </c>
      <c r="M106" s="58"/>
    </row>
    <row r="107" spans="1:13" x14ac:dyDescent="0.25">
      <c r="A107" s="26" t="str">
        <f t="shared" si="3"/>
        <v>Cruceta BTAT 65x65x6x575</v>
      </c>
      <c r="B107" s="4" t="s">
        <v>315</v>
      </c>
      <c r="C107" s="34">
        <v>38613</v>
      </c>
      <c r="D107" s="35" t="s">
        <v>316</v>
      </c>
      <c r="E107" s="36">
        <v>2.87</v>
      </c>
      <c r="F107" s="37"/>
      <c r="G107" s="38"/>
      <c r="H107" s="39">
        <v>2.87</v>
      </c>
      <c r="I107" s="26" t="s">
        <v>306</v>
      </c>
      <c r="M107" s="58"/>
    </row>
    <row r="108" spans="1:13" x14ac:dyDescent="0.25">
      <c r="A108" s="26" t="str">
        <f t="shared" si="3"/>
        <v>Cruceta Extra Larga 50x50x4x965 Lila</v>
      </c>
      <c r="B108" s="4" t="s">
        <v>317</v>
      </c>
      <c r="C108" s="34">
        <v>36444</v>
      </c>
      <c r="D108" s="35" t="s">
        <v>318</v>
      </c>
      <c r="E108" s="36">
        <v>2.556</v>
      </c>
      <c r="F108" s="37"/>
      <c r="G108" s="38"/>
      <c r="H108" s="39">
        <v>2.556</v>
      </c>
      <c r="I108" s="26" t="s">
        <v>306</v>
      </c>
      <c r="M108" s="58"/>
    </row>
    <row r="109" spans="1:13" x14ac:dyDescent="0.25">
      <c r="A109" s="26" t="str">
        <f t="shared" si="3"/>
        <v>Cruceta Extra Larga 50x50x4x965 GV</v>
      </c>
      <c r="B109" s="4" t="s">
        <v>319</v>
      </c>
      <c r="C109" s="34">
        <v>38532</v>
      </c>
      <c r="D109" s="35" t="s">
        <v>320</v>
      </c>
      <c r="E109" s="36">
        <v>2.556</v>
      </c>
      <c r="F109" s="37"/>
      <c r="G109" s="38"/>
      <c r="H109" s="39">
        <v>2.556</v>
      </c>
      <c r="I109" s="26" t="s">
        <v>306</v>
      </c>
      <c r="M109" s="58"/>
    </row>
    <row r="110" spans="1:13" x14ac:dyDescent="0.25">
      <c r="A110" s="26" t="str">
        <f t="shared" si="3"/>
        <v>Cruceta Extra Larga 50x50x5x1489 GV t/GTD</v>
      </c>
      <c r="B110" s="4" t="s">
        <v>321</v>
      </c>
      <c r="C110" s="34">
        <v>38617</v>
      </c>
      <c r="D110" s="35" t="s">
        <v>322</v>
      </c>
      <c r="E110" s="36">
        <v>5.68</v>
      </c>
      <c r="F110" s="37"/>
      <c r="G110" s="38"/>
      <c r="H110" s="39">
        <v>5.68</v>
      </c>
      <c r="I110" s="26" t="s">
        <v>306</v>
      </c>
      <c r="M110" s="58"/>
    </row>
    <row r="111" spans="1:13" x14ac:dyDescent="0.25">
      <c r="A111" s="26" t="str">
        <f t="shared" si="3"/>
        <v>Cruceta Extra Larga 65x65x5x965 GV</v>
      </c>
      <c r="B111" s="4" t="s">
        <v>323</v>
      </c>
      <c r="C111" s="34">
        <v>36273</v>
      </c>
      <c r="D111" s="35" t="s">
        <v>324</v>
      </c>
      <c r="E111" s="36">
        <v>3.883</v>
      </c>
      <c r="F111" s="37"/>
      <c r="G111" s="38"/>
      <c r="H111" s="39">
        <v>3.883</v>
      </c>
      <c r="I111" s="26" t="s">
        <v>306</v>
      </c>
      <c r="M111" s="58"/>
    </row>
    <row r="112" spans="1:13" x14ac:dyDescent="0.25">
      <c r="A112" s="26" t="str">
        <f t="shared" si="3"/>
        <v>Cruceta Extra Larga 65x65x6x965 Am/Rey</v>
      </c>
      <c r="B112" s="4" t="s">
        <v>325</v>
      </c>
      <c r="C112" s="34">
        <v>34690</v>
      </c>
      <c r="D112" s="35" t="s">
        <v>326</v>
      </c>
      <c r="E112" s="36">
        <v>4.665</v>
      </c>
      <c r="F112" s="37"/>
      <c r="G112" s="38"/>
      <c r="H112" s="39">
        <v>4.665</v>
      </c>
      <c r="I112" s="26" t="s">
        <v>306</v>
      </c>
      <c r="M112" s="58"/>
    </row>
    <row r="113" spans="1:13" x14ac:dyDescent="0.25">
      <c r="A113" s="26" t="str">
        <f t="shared" si="3"/>
        <v>Cruceta Extra Larga 65x65x6x965 Az/Rojo</v>
      </c>
      <c r="B113" s="4" t="s">
        <v>327</v>
      </c>
      <c r="C113" s="34">
        <v>34578</v>
      </c>
      <c r="D113" s="35" t="s">
        <v>328</v>
      </c>
      <c r="E113" s="36">
        <v>4.665</v>
      </c>
      <c r="F113" s="37"/>
      <c r="G113" s="38"/>
      <c r="H113" s="39">
        <v>4.665</v>
      </c>
      <c r="I113" s="26" t="s">
        <v>306</v>
      </c>
      <c r="M113" s="58"/>
    </row>
    <row r="114" spans="1:13" x14ac:dyDescent="0.25">
      <c r="A114" s="26" t="str">
        <f t="shared" si="3"/>
        <v>Cruceta Extra Larga 65x65x6x965 GV</v>
      </c>
      <c r="B114" s="4" t="s">
        <v>329</v>
      </c>
      <c r="C114" s="34">
        <v>34978</v>
      </c>
      <c r="D114" s="42" t="s">
        <v>330</v>
      </c>
      <c r="E114" s="34">
        <v>4.665</v>
      </c>
      <c r="F114" s="37"/>
      <c r="G114" s="38"/>
      <c r="H114" s="39">
        <v>4.665</v>
      </c>
      <c r="I114" s="26" t="s">
        <v>306</v>
      </c>
      <c r="M114" s="58"/>
    </row>
    <row r="115" spans="1:13" x14ac:dyDescent="0.25">
      <c r="A115" s="26" t="str">
        <f t="shared" si="3"/>
        <v>Cruceta Remate p/Riostra 65x65x6x540 GV</v>
      </c>
      <c r="B115" s="4" t="s">
        <v>331</v>
      </c>
      <c r="C115" s="34">
        <v>38607</v>
      </c>
      <c r="D115" s="42" t="s">
        <v>332</v>
      </c>
      <c r="E115" s="34">
        <v>3.6</v>
      </c>
      <c r="F115" s="37"/>
      <c r="G115" s="38"/>
      <c r="H115" s="39">
        <v>3.6</v>
      </c>
      <c r="I115" s="26" t="s">
        <v>306</v>
      </c>
      <c r="M115" s="58"/>
    </row>
    <row r="116" spans="1:13" x14ac:dyDescent="0.25">
      <c r="A116" s="26" t="str">
        <f t="shared" si="3"/>
        <v>Cruceta de Paso 50x50x5x550-14 HOR</v>
      </c>
      <c r="B116" s="4" t="s">
        <v>333</v>
      </c>
      <c r="C116" s="34">
        <v>35781</v>
      </c>
      <c r="D116" s="42" t="s">
        <v>334</v>
      </c>
      <c r="E116" s="34">
        <v>1.76</v>
      </c>
      <c r="F116" s="37"/>
      <c r="G116" s="38"/>
      <c r="H116" s="39">
        <v>1.76</v>
      </c>
      <c r="I116" s="26" t="s">
        <v>306</v>
      </c>
      <c r="M116" s="58"/>
    </row>
    <row r="117" spans="1:13" x14ac:dyDescent="0.25">
      <c r="A117" s="26" t="str">
        <f t="shared" si="3"/>
        <v>Cruceta de Paso 50x50x5x550-14 TUB</v>
      </c>
      <c r="B117" s="4" t="s">
        <v>335</v>
      </c>
      <c r="C117" s="34">
        <v>35784</v>
      </c>
      <c r="D117" s="42" t="s">
        <v>336</v>
      </c>
      <c r="E117" s="34">
        <v>2.6</v>
      </c>
      <c r="F117" s="37"/>
      <c r="G117" s="38"/>
      <c r="H117" s="39">
        <v>2.6</v>
      </c>
      <c r="I117" s="26" t="s">
        <v>306</v>
      </c>
      <c r="M117" s="58"/>
    </row>
    <row r="118" spans="1:13" x14ac:dyDescent="0.25">
      <c r="A118" s="26" t="str">
        <f t="shared" si="3"/>
        <v>Cruceta de Paso 50X50X5x650-14 HOR</v>
      </c>
      <c r="B118" s="4" t="s">
        <v>337</v>
      </c>
      <c r="C118" s="34">
        <v>35870</v>
      </c>
      <c r="D118" s="42" t="s">
        <v>338</v>
      </c>
      <c r="E118" s="34">
        <v>2.75</v>
      </c>
      <c r="F118" s="37"/>
      <c r="G118" s="38"/>
      <c r="H118" s="39">
        <v>2.75</v>
      </c>
      <c r="I118" s="26" t="s">
        <v>306</v>
      </c>
      <c r="M118" s="58"/>
    </row>
    <row r="119" spans="1:13" x14ac:dyDescent="0.25">
      <c r="A119" s="26" t="str">
        <f t="shared" si="3"/>
        <v>Cruceta de Paso 50x50x5x700-14 HOR</v>
      </c>
      <c r="B119" s="4" t="s">
        <v>339</v>
      </c>
      <c r="C119" s="34">
        <v>35793</v>
      </c>
      <c r="D119" s="42" t="s">
        <v>340</v>
      </c>
      <c r="E119" s="34">
        <v>3.05</v>
      </c>
      <c r="F119" s="37"/>
      <c r="G119" s="38"/>
      <c r="H119" s="39">
        <v>3.05</v>
      </c>
      <c r="I119" s="26" t="s">
        <v>306</v>
      </c>
      <c r="M119" s="58"/>
    </row>
    <row r="120" spans="1:13" x14ac:dyDescent="0.25">
      <c r="A120" s="26" t="str">
        <f t="shared" si="3"/>
        <v>Cruceta Paso Ova 40x40x4x500</v>
      </c>
      <c r="B120" s="4" t="s">
        <v>341</v>
      </c>
      <c r="C120" s="34">
        <v>35025</v>
      </c>
      <c r="D120" s="42" t="s">
        <v>342</v>
      </c>
      <c r="E120" s="34">
        <v>1</v>
      </c>
      <c r="F120" s="37"/>
      <c r="G120" s="38"/>
      <c r="H120" s="39">
        <v>1</v>
      </c>
      <c r="I120" s="26" t="s">
        <v>306</v>
      </c>
      <c r="M120" s="58"/>
    </row>
    <row r="121" spans="1:13" x14ac:dyDescent="0.25">
      <c r="A121" s="26" t="str">
        <f t="shared" si="3"/>
        <v>Cruceta Paso Ova 40x40x4x500 Lila</v>
      </c>
      <c r="B121" s="4" t="s">
        <v>343</v>
      </c>
      <c r="C121" s="34">
        <v>36406</v>
      </c>
      <c r="D121" s="42" t="s">
        <v>344</v>
      </c>
      <c r="E121" s="34">
        <v>1</v>
      </c>
      <c r="F121" s="37"/>
      <c r="G121" s="38"/>
      <c r="H121" s="39">
        <v>1</v>
      </c>
      <c r="I121" s="26" t="s">
        <v>306</v>
      </c>
      <c r="M121" s="58"/>
    </row>
    <row r="122" spans="1:13" x14ac:dyDescent="0.25">
      <c r="A122" s="26" t="str">
        <f t="shared" si="3"/>
        <v>Cruceta Paso Ova 50x50x4x500-14 GV</v>
      </c>
      <c r="B122" s="4" t="s">
        <v>345</v>
      </c>
      <c r="C122" s="34">
        <v>34629</v>
      </c>
      <c r="D122" s="35" t="s">
        <v>346</v>
      </c>
      <c r="E122" s="36">
        <v>1.2370000000000001</v>
      </c>
      <c r="F122" s="37"/>
      <c r="G122" s="38"/>
      <c r="H122" s="39">
        <v>1.2370000000000001</v>
      </c>
      <c r="I122" s="26" t="s">
        <v>306</v>
      </c>
      <c r="M122" s="58"/>
    </row>
    <row r="123" spans="1:13" x14ac:dyDescent="0.25">
      <c r="A123" s="26" t="str">
        <f t="shared" si="3"/>
        <v>Cruceta Paso Ova 50x50x4x500-18 GV</v>
      </c>
      <c r="B123" s="4" t="s">
        <v>347</v>
      </c>
      <c r="C123" s="34">
        <v>36100</v>
      </c>
      <c r="D123" s="35" t="s">
        <v>348</v>
      </c>
      <c r="E123" s="36">
        <v>1.3069999999999999</v>
      </c>
      <c r="F123" s="37"/>
      <c r="G123" s="38"/>
      <c r="H123" s="39">
        <v>1.3069999999999999</v>
      </c>
      <c r="I123" s="26" t="s">
        <v>306</v>
      </c>
      <c r="M123" s="58"/>
    </row>
    <row r="124" spans="1:13" x14ac:dyDescent="0.25">
      <c r="A124" s="26" t="str">
        <f t="shared" si="3"/>
        <v>Cruceta Paso Ova 50x50x4x500-14 V/O</v>
      </c>
      <c r="B124" s="4" t="s">
        <v>349</v>
      </c>
      <c r="C124" s="34">
        <v>34783</v>
      </c>
      <c r="D124" s="35" t="s">
        <v>350</v>
      </c>
      <c r="E124" s="36">
        <v>1.2370000000000001</v>
      </c>
      <c r="F124" s="40"/>
      <c r="G124" s="41"/>
      <c r="H124" s="39">
        <v>1.2370000000000001</v>
      </c>
      <c r="I124" s="26" t="s">
        <v>306</v>
      </c>
      <c r="M124" s="58"/>
    </row>
    <row r="125" spans="1:13" x14ac:dyDescent="0.25">
      <c r="A125" s="26" t="str">
        <f t="shared" si="3"/>
        <v>Cruceta Paso Ova 50x50x5x500-14 GV</v>
      </c>
      <c r="B125" s="4" t="s">
        <v>351</v>
      </c>
      <c r="C125" s="34">
        <v>35745</v>
      </c>
      <c r="D125" s="35" t="s">
        <v>352</v>
      </c>
      <c r="E125" s="36">
        <v>1.6519999999999999</v>
      </c>
      <c r="F125" s="40"/>
      <c r="G125" s="41"/>
      <c r="H125" s="39">
        <v>1.6519999999999999</v>
      </c>
      <c r="I125" s="26" t="s">
        <v>306</v>
      </c>
      <c r="M125" s="58"/>
    </row>
    <row r="126" spans="1:13" x14ac:dyDescent="0.25">
      <c r="A126" s="26" t="str">
        <f t="shared" si="3"/>
        <v>Cruceta Paso Ova 50x50x4x510-18 GV</v>
      </c>
      <c r="B126" s="4" t="s">
        <v>353</v>
      </c>
      <c r="C126" s="34">
        <v>38165</v>
      </c>
      <c r="D126" s="35" t="s">
        <v>354</v>
      </c>
      <c r="E126" s="36">
        <v>1.286</v>
      </c>
      <c r="F126" s="40"/>
      <c r="G126" s="41"/>
      <c r="H126" s="39">
        <v>1.286</v>
      </c>
      <c r="I126" s="26" t="s">
        <v>306</v>
      </c>
      <c r="M126" s="58"/>
    </row>
    <row r="127" spans="1:13" x14ac:dyDescent="0.25">
      <c r="A127" s="26" t="str">
        <f t="shared" si="3"/>
        <v>Cruceta Paso Especial 50x50x6x650</v>
      </c>
      <c r="B127" s="4" t="s">
        <v>355</v>
      </c>
      <c r="C127" s="34">
        <v>37809</v>
      </c>
      <c r="D127" s="35" t="s">
        <v>356</v>
      </c>
      <c r="E127" s="36">
        <v>3.15</v>
      </c>
      <c r="F127" s="40"/>
      <c r="G127" s="41"/>
      <c r="H127" s="39">
        <v>3.15</v>
      </c>
      <c r="I127" s="26" t="s">
        <v>306</v>
      </c>
      <c r="M127" s="58"/>
    </row>
    <row r="128" spans="1:13" x14ac:dyDescent="0.25">
      <c r="A128" s="26" t="str">
        <f t="shared" si="3"/>
        <v>Cruceta Pletina 1/4x1.1/2x16.1/4 Az/Rojo</v>
      </c>
      <c r="B128" s="4" t="s">
        <v>357</v>
      </c>
      <c r="C128" s="34">
        <v>34933</v>
      </c>
      <c r="D128" s="42" t="s">
        <v>358</v>
      </c>
      <c r="E128" s="34">
        <v>0.67</v>
      </c>
      <c r="F128" s="40"/>
      <c r="G128" s="41"/>
      <c r="H128" s="39">
        <v>0.67</v>
      </c>
      <c r="I128" s="26" t="s">
        <v>306</v>
      </c>
      <c r="M128" s="58"/>
    </row>
    <row r="129" spans="1:13" x14ac:dyDescent="0.25">
      <c r="A129" s="26" t="str">
        <f t="shared" si="3"/>
        <v>Cruceta Pletina 1/4x1.1/2x16.1/4 GV</v>
      </c>
      <c r="B129" s="4" t="s">
        <v>359</v>
      </c>
      <c r="C129" s="34">
        <v>35087</v>
      </c>
      <c r="D129" s="42" t="s">
        <v>360</v>
      </c>
      <c r="E129" s="34">
        <v>0.67</v>
      </c>
      <c r="F129" s="37"/>
      <c r="G129" s="38"/>
      <c r="H129" s="39">
        <v>0.67</v>
      </c>
      <c r="I129" s="26" t="s">
        <v>306</v>
      </c>
      <c r="M129" s="58"/>
    </row>
    <row r="130" spans="1:13" x14ac:dyDescent="0.25">
      <c r="A130" s="26" t="str">
        <f t="shared" si="3"/>
        <v>Cruceta Pletina 1/4x1.1/2x16.1/4 Lila</v>
      </c>
      <c r="B130" s="4" t="s">
        <v>361</v>
      </c>
      <c r="C130" s="34">
        <v>34378</v>
      </c>
      <c r="D130" s="35" t="s">
        <v>362</v>
      </c>
      <c r="E130" s="36">
        <v>0.67</v>
      </c>
      <c r="F130" s="37"/>
      <c r="G130" s="38"/>
      <c r="H130" s="39">
        <v>0.67</v>
      </c>
      <c r="I130" s="26" t="s">
        <v>306</v>
      </c>
      <c r="M130" s="58"/>
    </row>
    <row r="131" spans="1:13" x14ac:dyDescent="0.25">
      <c r="A131" s="26" t="str">
        <f t="shared" si="3"/>
        <v>Cruceta Remate Final 65x65x5x500</v>
      </c>
      <c r="B131" s="4" t="s">
        <v>363</v>
      </c>
      <c r="C131" s="34">
        <v>35258</v>
      </c>
      <c r="D131" s="35" t="s">
        <v>364</v>
      </c>
      <c r="E131" s="36">
        <v>2.6059999999999999</v>
      </c>
      <c r="F131" s="37"/>
      <c r="G131" s="38"/>
      <c r="H131" s="39">
        <v>2.6059999999999999</v>
      </c>
      <c r="I131" s="26" t="s">
        <v>306</v>
      </c>
      <c r="M131" s="58"/>
    </row>
    <row r="132" spans="1:13" x14ac:dyDescent="0.25">
      <c r="A132" s="26" t="str">
        <f t="shared" si="3"/>
        <v>Cruceta Remate Final 65x65x6x500</v>
      </c>
      <c r="B132" s="4" t="s">
        <v>365</v>
      </c>
      <c r="C132" s="34">
        <v>34291</v>
      </c>
      <c r="D132" s="35" t="s">
        <v>366</v>
      </c>
      <c r="E132" s="36">
        <v>3.1269999999999998</v>
      </c>
      <c r="F132" s="37"/>
      <c r="G132" s="38"/>
      <c r="H132" s="39">
        <v>3.1269999999999998</v>
      </c>
      <c r="I132" s="26" t="s">
        <v>306</v>
      </c>
      <c r="M132" s="58"/>
    </row>
    <row r="133" spans="1:13" x14ac:dyDescent="0.25">
      <c r="A133" s="26" t="str">
        <f t="shared" si="3"/>
        <v>Cruceta Remate Final 65x65x6x500 Am/Rey</v>
      </c>
      <c r="B133" s="4" t="s">
        <v>367</v>
      </c>
      <c r="C133" s="34">
        <v>34443</v>
      </c>
      <c r="D133" s="35" t="s">
        <v>368</v>
      </c>
      <c r="E133" s="36">
        <v>3.1269999999999998</v>
      </c>
      <c r="F133" s="37"/>
      <c r="G133" s="38"/>
      <c r="H133" s="39">
        <v>3.1269999999999998</v>
      </c>
      <c r="I133" s="26" t="s">
        <v>306</v>
      </c>
      <c r="M133" s="58"/>
    </row>
    <row r="134" spans="1:13" x14ac:dyDescent="0.25">
      <c r="A134" s="26" t="str">
        <f t="shared" si="3"/>
        <v>Cruceta Remate Final 65x65x6x500 Az/Rojo</v>
      </c>
      <c r="B134" s="4" t="s">
        <v>369</v>
      </c>
      <c r="C134" s="34">
        <v>36580</v>
      </c>
      <c r="D134" s="35" t="s">
        <v>370</v>
      </c>
      <c r="E134" s="36">
        <v>3.1269999999999998</v>
      </c>
      <c r="F134" s="37"/>
      <c r="G134" s="38"/>
      <c r="H134" s="39">
        <v>3.1269999999999998</v>
      </c>
      <c r="I134" s="26" t="s">
        <v>306</v>
      </c>
      <c r="M134" s="58"/>
    </row>
    <row r="135" spans="1:13" x14ac:dyDescent="0.25">
      <c r="A135" s="26" t="str">
        <f t="shared" si="3"/>
        <v>Cruceta Remate Final 65x65x6x575 GV</v>
      </c>
      <c r="B135" s="4" t="s">
        <v>371</v>
      </c>
      <c r="C135" s="34">
        <v>38614</v>
      </c>
      <c r="D135" s="35" t="s">
        <v>372</v>
      </c>
      <c r="E135" s="36">
        <v>3.5960000000000001</v>
      </c>
      <c r="F135" s="37"/>
      <c r="G135" s="38"/>
      <c r="H135" s="39">
        <v>3.5960000000000001</v>
      </c>
      <c r="I135" s="26" t="s">
        <v>306</v>
      </c>
      <c r="M135" s="58"/>
    </row>
    <row r="136" spans="1:13" x14ac:dyDescent="0.25">
      <c r="A136" s="26" t="str">
        <f t="shared" si="3"/>
        <v>Cruceta Remate Final 65x65x6x575-18 Az/Rojo</v>
      </c>
      <c r="B136" s="4" t="s">
        <v>373</v>
      </c>
      <c r="C136" s="34">
        <v>35817</v>
      </c>
      <c r="D136" s="35" t="s">
        <v>374</v>
      </c>
      <c r="E136" s="36">
        <v>3.5960000000000001</v>
      </c>
      <c r="F136" s="37"/>
      <c r="G136" s="38"/>
      <c r="H136" s="39">
        <v>3.5960000000000001</v>
      </c>
      <c r="I136" s="26" t="s">
        <v>306</v>
      </c>
      <c r="M136" s="58"/>
    </row>
    <row r="137" spans="1:13" x14ac:dyDescent="0.25">
      <c r="A137" s="26" t="str">
        <f t="shared" si="3"/>
        <v>Cruceta Remate Final 50x50x4x500-14</v>
      </c>
      <c r="B137" s="4" t="s">
        <v>375</v>
      </c>
      <c r="C137" s="34">
        <v>38275</v>
      </c>
      <c r="D137" s="35" t="s">
        <v>376</v>
      </c>
      <c r="E137" s="36">
        <v>1.8859999999999999</v>
      </c>
      <c r="F137" s="37"/>
      <c r="G137" s="38"/>
      <c r="H137" s="39">
        <v>1.8859999999999999</v>
      </c>
      <c r="I137" s="26" t="s">
        <v>306</v>
      </c>
      <c r="M137" s="58"/>
    </row>
    <row r="138" spans="1:13" x14ac:dyDescent="0.25">
      <c r="A138" s="26" t="str">
        <f t="shared" si="3"/>
        <v>Cruceta Remate Final 50x50x5x500-14 RET</v>
      </c>
      <c r="B138" s="4" t="s">
        <v>377</v>
      </c>
      <c r="C138" s="34">
        <v>35790</v>
      </c>
      <c r="D138" s="35" t="s">
        <v>378</v>
      </c>
      <c r="E138" s="36">
        <v>2.0859999999999999</v>
      </c>
      <c r="F138" s="37"/>
      <c r="G138" s="38"/>
      <c r="H138" s="39">
        <v>2.0859999999999999</v>
      </c>
      <c r="I138" s="26" t="s">
        <v>306</v>
      </c>
      <c r="M138" s="58"/>
    </row>
    <row r="139" spans="1:13" x14ac:dyDescent="0.25">
      <c r="A139" s="26" t="str">
        <f t="shared" si="3"/>
        <v>Cruceta Remate Final 50x50x5x550-14 HOR</v>
      </c>
      <c r="B139" s="4" t="s">
        <v>379</v>
      </c>
      <c r="C139" s="34">
        <v>35783</v>
      </c>
      <c r="D139" s="35" t="s">
        <v>380</v>
      </c>
      <c r="E139" s="36">
        <v>2.2200000000000002</v>
      </c>
      <c r="F139" s="37"/>
      <c r="G139" s="38"/>
      <c r="H139" s="39">
        <v>2.2200000000000002</v>
      </c>
      <c r="I139" s="26" t="s">
        <v>306</v>
      </c>
      <c r="M139" s="58"/>
    </row>
    <row r="140" spans="1:13" x14ac:dyDescent="0.25">
      <c r="A140" s="26" t="str">
        <f t="shared" si="3"/>
        <v>Cruceta Remate Final 50x50x5x550-14 TUB</v>
      </c>
      <c r="B140" s="4" t="s">
        <v>381</v>
      </c>
      <c r="C140" s="34">
        <v>35786</v>
      </c>
      <c r="D140" s="35" t="s">
        <v>382</v>
      </c>
      <c r="E140" s="36">
        <v>3.06</v>
      </c>
      <c r="F140" s="37"/>
      <c r="G140" s="38"/>
      <c r="H140" s="39">
        <v>3.06</v>
      </c>
      <c r="I140" s="26" t="s">
        <v>306</v>
      </c>
      <c r="M140" s="58"/>
    </row>
    <row r="141" spans="1:13" x14ac:dyDescent="0.25">
      <c r="A141" s="26" t="str">
        <f t="shared" si="3"/>
        <v>Cruceta Remate Final 50x50x5x700-14 HOR</v>
      </c>
      <c r="B141" s="4" t="s">
        <v>383</v>
      </c>
      <c r="C141" s="34">
        <v>35795</v>
      </c>
      <c r="D141" s="35" t="s">
        <v>384</v>
      </c>
      <c r="E141" s="36">
        <v>2.98</v>
      </c>
      <c r="F141" s="37"/>
      <c r="G141" s="38"/>
      <c r="H141" s="39">
        <v>2.98</v>
      </c>
      <c r="I141" s="26" t="s">
        <v>306</v>
      </c>
      <c r="M141" s="58"/>
    </row>
    <row r="142" spans="1:13" x14ac:dyDescent="0.25">
      <c r="A142" s="26" t="str">
        <f t="shared" si="3"/>
        <v>Cruceta Remate Final Oval 50x50x4x500-18</v>
      </c>
      <c r="B142" s="4" t="s">
        <v>385</v>
      </c>
      <c r="C142" s="34">
        <v>38035</v>
      </c>
      <c r="D142" s="35" t="s">
        <v>386</v>
      </c>
      <c r="E142" s="36">
        <v>1.8859999999999999</v>
      </c>
      <c r="F142" s="37"/>
      <c r="G142" s="38"/>
      <c r="H142" s="39">
        <v>1.8859999999999999</v>
      </c>
      <c r="I142" s="26" t="s">
        <v>306</v>
      </c>
      <c r="M142" s="58"/>
    </row>
    <row r="143" spans="1:13" x14ac:dyDescent="0.25">
      <c r="A143" s="26" t="str">
        <f t="shared" si="3"/>
        <v>Cruceta Riostra 50x50x4x375</v>
      </c>
      <c r="B143" s="4" t="s">
        <v>387</v>
      </c>
      <c r="C143" s="34">
        <v>34379</v>
      </c>
      <c r="D143" s="35" t="s">
        <v>388</v>
      </c>
      <c r="E143" s="36">
        <v>1.5189999999999999</v>
      </c>
      <c r="F143" s="37"/>
      <c r="G143" s="38"/>
      <c r="H143" s="39">
        <v>1.5189999999999999</v>
      </c>
      <c r="I143" s="26" t="s">
        <v>306</v>
      </c>
      <c r="M143" s="58"/>
    </row>
    <row r="144" spans="1:13" x14ac:dyDescent="0.25">
      <c r="A144" s="26" t="str">
        <f t="shared" si="3"/>
        <v>Cruceta Riostra 65x65x5x375</v>
      </c>
      <c r="B144" s="4" t="s">
        <v>389</v>
      </c>
      <c r="C144" s="34">
        <v>38865</v>
      </c>
      <c r="D144" s="35" t="s">
        <v>390</v>
      </c>
      <c r="E144" s="36">
        <v>3.6</v>
      </c>
      <c r="F144" s="37"/>
      <c r="G144" s="38"/>
      <c r="H144" s="39">
        <v>3.6</v>
      </c>
      <c r="I144" s="26" t="s">
        <v>306</v>
      </c>
      <c r="M144" s="58"/>
    </row>
    <row r="145" spans="1:13" x14ac:dyDescent="0.25">
      <c r="A145" s="26" t="str">
        <f t="shared" ref="A145:A216" si="4">B145&amp;K145</f>
        <v>Cruceta Riostra 65x65x6x375</v>
      </c>
      <c r="B145" s="4" t="s">
        <v>391</v>
      </c>
      <c r="C145" s="34">
        <v>36033</v>
      </c>
      <c r="D145" s="35" t="s">
        <v>392</v>
      </c>
      <c r="E145" s="36">
        <v>2.5</v>
      </c>
      <c r="F145" s="37"/>
      <c r="G145" s="38"/>
      <c r="H145" s="39">
        <v>2.5</v>
      </c>
      <c r="I145" s="26" t="s">
        <v>306</v>
      </c>
      <c r="M145" s="58"/>
    </row>
    <row r="146" spans="1:13" x14ac:dyDescent="0.25">
      <c r="A146" s="26" t="str">
        <f t="shared" si="4"/>
        <v>Cubo p/Ext. Metalica 1,60Mts  80x80x5x110</v>
      </c>
      <c r="B146" s="4" t="s">
        <v>393</v>
      </c>
      <c r="C146" s="34">
        <v>35326</v>
      </c>
      <c r="D146" s="35" t="s">
        <v>394</v>
      </c>
      <c r="E146" s="36">
        <v>1.075</v>
      </c>
      <c r="F146" s="37"/>
      <c r="G146" s="38"/>
      <c r="H146" s="39">
        <v>1.075</v>
      </c>
      <c r="I146" s="26" t="s">
        <v>149</v>
      </c>
      <c r="M146" s="58"/>
    </row>
    <row r="147" spans="1:13" x14ac:dyDescent="0.25">
      <c r="A147" s="26" t="str">
        <f t="shared" si="4"/>
        <v>Cuerpo Guardacabo 5/8x102</v>
      </c>
      <c r="B147" s="4" t="s">
        <v>395</v>
      </c>
      <c r="C147" s="34">
        <v>34374</v>
      </c>
      <c r="D147" s="35" t="s">
        <v>396</v>
      </c>
      <c r="E147" s="36">
        <v>0.432</v>
      </c>
      <c r="F147" s="37"/>
      <c r="G147" s="38"/>
      <c r="H147" s="39">
        <v>0.432</v>
      </c>
      <c r="I147" s="26" t="s">
        <v>149</v>
      </c>
      <c r="M147" s="58"/>
    </row>
    <row r="148" spans="1:13" x14ac:dyDescent="0.25">
      <c r="A148" s="26" t="str">
        <f t="shared" si="4"/>
        <v>Cuerpo Guardacabo 5/8x119</v>
      </c>
      <c r="B148" s="4" t="s">
        <v>397</v>
      </c>
      <c r="C148" s="34">
        <v>34375</v>
      </c>
      <c r="D148" s="35" t="s">
        <v>398</v>
      </c>
      <c r="E148" s="36">
        <v>0.71599999999999997</v>
      </c>
      <c r="F148" s="37"/>
      <c r="G148" s="38"/>
      <c r="H148" s="39">
        <v>0.71599999999999997</v>
      </c>
      <c r="I148" s="26" t="s">
        <v>149</v>
      </c>
      <c r="M148" s="58"/>
    </row>
    <row r="149" spans="1:13" x14ac:dyDescent="0.25">
      <c r="A149" s="26" t="str">
        <f t="shared" si="4"/>
        <v>Cuerpo p/Soporte Preformado</v>
      </c>
      <c r="B149" s="4" t="s">
        <v>399</v>
      </c>
      <c r="C149" s="34">
        <v>34752</v>
      </c>
      <c r="D149" s="35" t="s">
        <v>400</v>
      </c>
      <c r="E149" s="36">
        <v>0.31</v>
      </c>
      <c r="F149" s="37"/>
      <c r="G149" s="38"/>
      <c r="H149" s="39">
        <v>0.31</v>
      </c>
      <c r="I149" s="26" t="s">
        <v>155</v>
      </c>
      <c r="M149" s="58"/>
    </row>
    <row r="150" spans="1:13" x14ac:dyDescent="0.25">
      <c r="A150" s="26" t="str">
        <f t="shared" si="4"/>
        <v>Cuerpo Prensa Conexión a tierra</v>
      </c>
      <c r="B150" s="4" t="s">
        <v>401</v>
      </c>
      <c r="C150" s="34">
        <v>34439</v>
      </c>
      <c r="D150" s="35" t="s">
        <v>402</v>
      </c>
      <c r="E150" s="36">
        <v>0.2</v>
      </c>
      <c r="F150" s="37"/>
      <c r="G150" s="38"/>
      <c r="H150" s="39">
        <v>0.2</v>
      </c>
      <c r="I150" s="26" t="s">
        <v>155</v>
      </c>
      <c r="M150" s="58"/>
    </row>
    <row r="151" spans="1:13" x14ac:dyDescent="0.25">
      <c r="A151" s="26" t="str">
        <f t="shared" si="4"/>
        <v>Diagonal L 50x50x5x1710</v>
      </c>
      <c r="B151" s="4" t="s">
        <v>403</v>
      </c>
      <c r="C151" s="34">
        <v>34644</v>
      </c>
      <c r="D151" s="35" t="s">
        <v>404</v>
      </c>
      <c r="E151" s="36">
        <v>6.5</v>
      </c>
      <c r="F151" s="37"/>
      <c r="G151" s="38"/>
      <c r="H151" s="39">
        <v>6.5</v>
      </c>
      <c r="I151" s="26" t="s">
        <v>405</v>
      </c>
      <c r="M151" s="58"/>
    </row>
    <row r="152" spans="1:13" x14ac:dyDescent="0.25">
      <c r="A152" s="26" t="str">
        <f t="shared" si="4"/>
        <v>Diagonal L 50x50x6x1455</v>
      </c>
      <c r="B152" s="4" t="s">
        <v>406</v>
      </c>
      <c r="C152" s="34">
        <v>34649</v>
      </c>
      <c r="D152" s="35" t="s">
        <v>407</v>
      </c>
      <c r="E152" s="36">
        <v>6.5</v>
      </c>
      <c r="F152" s="37"/>
      <c r="G152" s="38"/>
      <c r="H152" s="39">
        <v>6.5</v>
      </c>
      <c r="I152" s="26" t="s">
        <v>405</v>
      </c>
      <c r="M152" s="58"/>
    </row>
    <row r="153" spans="1:13" x14ac:dyDescent="0.25">
      <c r="A153" s="26" t="str">
        <f t="shared" si="4"/>
        <v>Diagonal L 50x50x6x935</v>
      </c>
      <c r="B153" s="4" t="s">
        <v>408</v>
      </c>
      <c r="C153" s="34">
        <v>34558</v>
      </c>
      <c r="D153" s="35" t="s">
        <v>409</v>
      </c>
      <c r="E153" s="36">
        <v>4.0999999999999996</v>
      </c>
      <c r="F153" s="37"/>
      <c r="G153" s="38"/>
      <c r="H153" s="39">
        <v>4.0999999999999996</v>
      </c>
      <c r="I153" s="26" t="s">
        <v>405</v>
      </c>
      <c r="M153" s="58"/>
    </row>
    <row r="154" spans="1:13" x14ac:dyDescent="0.25">
      <c r="A154" s="26" t="str">
        <f t="shared" si="4"/>
        <v>Diagonal Pletina 39" 32x5x990mm</v>
      </c>
      <c r="B154" s="4" t="s">
        <v>410</v>
      </c>
      <c r="C154" s="34">
        <v>37939</v>
      </c>
      <c r="D154" s="35" t="s">
        <v>411</v>
      </c>
      <c r="E154" s="36">
        <v>1.1499999999999999</v>
      </c>
      <c r="F154" s="37"/>
      <c r="G154" s="38"/>
      <c r="H154" s="39">
        <v>1.1499999999999999</v>
      </c>
      <c r="I154" s="26" t="s">
        <v>405</v>
      </c>
      <c r="M154" s="58"/>
    </row>
    <row r="155" spans="1:13" x14ac:dyDescent="0.25">
      <c r="A155" s="26" t="str">
        <f t="shared" si="4"/>
        <v>Diagonal Pletina 39" 32x5x990mm Lila</v>
      </c>
      <c r="B155" s="4" t="s">
        <v>412</v>
      </c>
      <c r="C155" s="34">
        <v>38410</v>
      </c>
      <c r="D155" s="35" t="s">
        <v>413</v>
      </c>
      <c r="E155" s="36">
        <v>1.1499999999999999</v>
      </c>
      <c r="F155" s="37"/>
      <c r="G155" s="38"/>
      <c r="H155" s="39">
        <v>1.1499999999999999</v>
      </c>
      <c r="I155" s="26" t="s">
        <v>405</v>
      </c>
      <c r="M155" s="58"/>
    </row>
    <row r="156" spans="1:13" x14ac:dyDescent="0.25">
      <c r="A156" s="26" t="str">
        <f t="shared" si="4"/>
        <v>Diagonal especial 40x40x4x990mm A/R</v>
      </c>
      <c r="B156" s="4" t="s">
        <v>414</v>
      </c>
      <c r="C156" s="34">
        <v>38618</v>
      </c>
      <c r="D156" s="35" t="s">
        <v>415</v>
      </c>
      <c r="E156" s="36">
        <v>2.48</v>
      </c>
      <c r="F156" s="37"/>
      <c r="G156" s="38"/>
      <c r="H156" s="39">
        <v>2.48</v>
      </c>
      <c r="I156" s="26" t="s">
        <v>405</v>
      </c>
      <c r="M156" s="58"/>
    </row>
    <row r="157" spans="1:13" x14ac:dyDescent="0.25">
      <c r="A157" s="26" t="str">
        <f t="shared" si="4"/>
        <v>Diagonal p/Cruceta Madera 40x40x5x1830</v>
      </c>
      <c r="B157" s="4" t="s">
        <v>416</v>
      </c>
      <c r="C157" s="34">
        <v>34767</v>
      </c>
      <c r="D157" s="35" t="s">
        <v>417</v>
      </c>
      <c r="E157" s="36">
        <v>5.4</v>
      </c>
      <c r="F157" s="37"/>
      <c r="G157" s="38"/>
      <c r="H157" s="39">
        <v>5.4</v>
      </c>
      <c r="I157" s="26" t="s">
        <v>405</v>
      </c>
      <c r="M157" s="58"/>
    </row>
    <row r="158" spans="1:13" x14ac:dyDescent="0.25">
      <c r="A158" s="26" t="str">
        <f t="shared" si="4"/>
        <v>Diagonal p/Cruc Cantilever 50x50x5x1830</v>
      </c>
      <c r="B158" s="4" t="s">
        <v>418</v>
      </c>
      <c r="C158" s="34">
        <v>35990</v>
      </c>
      <c r="D158" s="35" t="s">
        <v>419</v>
      </c>
      <c r="E158" s="36">
        <v>8.6</v>
      </c>
      <c r="F158" s="37"/>
      <c r="G158" s="38"/>
      <c r="H158" s="39">
        <v>8.6</v>
      </c>
      <c r="I158" s="26" t="s">
        <v>405</v>
      </c>
      <c r="M158" s="58"/>
    </row>
    <row r="159" spans="1:13" x14ac:dyDescent="0.25">
      <c r="A159" s="26" t="str">
        <f t="shared" si="4"/>
        <v>Diagonal P/Refuerzo 50x8x1035</v>
      </c>
      <c r="B159" s="4" t="s">
        <v>420</v>
      </c>
      <c r="C159" s="34">
        <v>34930</v>
      </c>
      <c r="D159" s="42" t="s">
        <v>421</v>
      </c>
      <c r="E159" s="34">
        <v>3.25</v>
      </c>
      <c r="F159" s="37"/>
      <c r="G159" s="38"/>
      <c r="H159" s="39">
        <v>3.25</v>
      </c>
      <c r="I159" s="26" t="s">
        <v>405</v>
      </c>
      <c r="M159" s="58"/>
    </row>
    <row r="160" spans="1:13" x14ac:dyDescent="0.25">
      <c r="A160" s="26" t="str">
        <f t="shared" si="4"/>
        <v>Eje p/Carretilla 19,93x285</v>
      </c>
      <c r="B160" s="4" t="s">
        <v>422</v>
      </c>
      <c r="C160" s="34">
        <v>34609</v>
      </c>
      <c r="D160" s="35" t="s">
        <v>423</v>
      </c>
      <c r="E160" s="36">
        <v>0.7</v>
      </c>
      <c r="F160" s="37"/>
      <c r="G160" s="38"/>
      <c r="H160" s="39">
        <v>0.7</v>
      </c>
      <c r="I160" s="26" t="s">
        <v>270</v>
      </c>
      <c r="M160" s="58"/>
    </row>
    <row r="161" spans="1:13" x14ac:dyDescent="0.25">
      <c r="A161" s="26" t="str">
        <f t="shared" si="4"/>
        <v>Eje p/Carretilla 19,93x285mm</v>
      </c>
      <c r="B161" s="4" t="s">
        <v>424</v>
      </c>
      <c r="C161" s="34">
        <v>37429</v>
      </c>
      <c r="D161" s="35" t="s">
        <v>425</v>
      </c>
      <c r="E161" s="36">
        <v>0.7</v>
      </c>
      <c r="F161" s="37"/>
      <c r="G161" s="38"/>
      <c r="H161" s="39">
        <v>0.7</v>
      </c>
      <c r="I161" s="26" t="s">
        <v>270</v>
      </c>
      <c r="M161" s="58"/>
    </row>
    <row r="162" spans="1:13" x14ac:dyDescent="0.25">
      <c r="A162" s="26" t="str">
        <f t="shared" si="4"/>
        <v>Elemento Montaje p/Desconec. By-pass</v>
      </c>
      <c r="B162" s="4" t="s">
        <v>426</v>
      </c>
      <c r="C162" s="34">
        <v>34716</v>
      </c>
      <c r="D162" s="42" t="s">
        <v>427</v>
      </c>
      <c r="E162" s="34">
        <v>8.51</v>
      </c>
      <c r="F162" s="37"/>
      <c r="G162" s="38"/>
      <c r="H162" s="39">
        <v>8.51</v>
      </c>
      <c r="I162" s="26" t="s">
        <v>149</v>
      </c>
      <c r="M162" s="58"/>
    </row>
    <row r="163" spans="1:13" x14ac:dyDescent="0.25">
      <c r="A163" s="26" t="str">
        <f t="shared" si="4"/>
        <v>Empalme 38x5x150</v>
      </c>
      <c r="B163" s="4" t="s">
        <v>428</v>
      </c>
      <c r="C163" s="34">
        <v>34770</v>
      </c>
      <c r="D163" s="35" t="s">
        <v>429</v>
      </c>
      <c r="E163" s="36">
        <v>0.221</v>
      </c>
      <c r="F163" s="37"/>
      <c r="G163" s="38"/>
      <c r="H163" s="39">
        <v>0.221</v>
      </c>
      <c r="I163" s="26" t="s">
        <v>149</v>
      </c>
      <c r="M163" s="58"/>
    </row>
    <row r="164" spans="1:13" x14ac:dyDescent="0.25">
      <c r="A164" s="26" t="str">
        <f t="shared" si="4"/>
        <v>Escalines 3/4x283x183mm</v>
      </c>
      <c r="B164" s="4" t="s">
        <v>430</v>
      </c>
      <c r="C164" s="34">
        <v>34974</v>
      </c>
      <c r="D164" s="42" t="s">
        <v>431</v>
      </c>
      <c r="E164" s="34">
        <v>1.53</v>
      </c>
      <c r="F164" s="37"/>
      <c r="G164" s="38"/>
      <c r="H164" s="39">
        <v>1.53</v>
      </c>
      <c r="I164" s="26" t="s">
        <v>149</v>
      </c>
      <c r="M164" s="58"/>
    </row>
    <row r="165" spans="1:13" x14ac:dyDescent="0.25">
      <c r="A165" s="26" t="str">
        <f t="shared" si="4"/>
        <v>Escuadra Montaje Descon. Aereo</v>
      </c>
      <c r="B165" s="4" t="s">
        <v>432</v>
      </c>
      <c r="C165" s="34">
        <v>36151</v>
      </c>
      <c r="D165" s="42" t="s">
        <v>433</v>
      </c>
      <c r="E165" s="34">
        <v>3.8</v>
      </c>
      <c r="F165" s="37"/>
      <c r="G165" s="38"/>
      <c r="H165" s="39">
        <v>3.8</v>
      </c>
      <c r="I165" s="26" t="s">
        <v>149</v>
      </c>
      <c r="M165" s="58"/>
    </row>
    <row r="166" spans="1:13" x14ac:dyDescent="0.25">
      <c r="A166" s="26" t="str">
        <f t="shared" si="4"/>
        <v>Escuadra Unión 50x80x370mm</v>
      </c>
      <c r="B166" s="4" t="s">
        <v>434</v>
      </c>
      <c r="C166" s="34">
        <v>36064</v>
      </c>
      <c r="D166" s="42" t="s">
        <v>435</v>
      </c>
      <c r="E166" s="34">
        <v>1.909</v>
      </c>
      <c r="F166" s="37"/>
      <c r="G166" s="38"/>
      <c r="H166" s="39">
        <v>1.909</v>
      </c>
      <c r="I166" s="26" t="s">
        <v>149</v>
      </c>
      <c r="M166" s="58"/>
    </row>
    <row r="167" spans="1:13" x14ac:dyDescent="0.25">
      <c r="A167" s="26" t="str">
        <f t="shared" si="4"/>
        <v>Eslabón Angular Estampado perf.18ESTAMPAR</v>
      </c>
      <c r="B167" s="4" t="s">
        <v>436</v>
      </c>
      <c r="C167" s="34">
        <v>34844</v>
      </c>
      <c r="D167" s="35" t="s">
        <v>437</v>
      </c>
      <c r="E167" s="36">
        <v>0.45300000000000001</v>
      </c>
      <c r="F167" s="37"/>
      <c r="G167" s="38"/>
      <c r="H167" s="39">
        <v>0.45300000000000001</v>
      </c>
      <c r="I167" s="26" t="s">
        <v>438</v>
      </c>
      <c r="J167" s="27" t="s">
        <v>83</v>
      </c>
      <c r="K167" s="27" t="s">
        <v>1597</v>
      </c>
      <c r="L167" s="26">
        <v>38</v>
      </c>
      <c r="M167" s="58">
        <v>1</v>
      </c>
    </row>
    <row r="168" spans="1:13" x14ac:dyDescent="0.25">
      <c r="A168" s="52" t="str">
        <f>B168&amp;K168</f>
        <v>Eslabón Angular Estampado perf.18REBABAR</v>
      </c>
      <c r="B168" s="45" t="s">
        <v>436</v>
      </c>
      <c r="C168" s="46">
        <v>34844</v>
      </c>
      <c r="D168" s="47" t="s">
        <v>1635</v>
      </c>
      <c r="E168" s="48">
        <v>0.45300000000000001</v>
      </c>
      <c r="F168" s="49"/>
      <c r="G168" s="50"/>
      <c r="H168" s="51">
        <v>0.45300000000000001</v>
      </c>
      <c r="I168" s="52" t="s">
        <v>438</v>
      </c>
      <c r="J168" s="53" t="s">
        <v>69</v>
      </c>
      <c r="K168" s="53" t="s">
        <v>1602</v>
      </c>
      <c r="L168" s="52">
        <v>170</v>
      </c>
      <c r="M168" s="58">
        <v>2</v>
      </c>
    </row>
    <row r="169" spans="1:13" x14ac:dyDescent="0.25">
      <c r="A169" s="52" t="str">
        <f t="shared" si="4"/>
        <v>Eslabón Angular Estampado perf.18PERFORAR18</v>
      </c>
      <c r="B169" s="45" t="s">
        <v>436</v>
      </c>
      <c r="C169" s="46">
        <v>34844</v>
      </c>
      <c r="D169" s="47" t="s">
        <v>437</v>
      </c>
      <c r="E169" s="48">
        <v>0.45300000000000001</v>
      </c>
      <c r="F169" s="49"/>
      <c r="G169" s="50"/>
      <c r="H169" s="51">
        <v>0.45300000000000001</v>
      </c>
      <c r="I169" s="52" t="s">
        <v>438</v>
      </c>
      <c r="J169" s="53" t="s">
        <v>73</v>
      </c>
      <c r="K169" s="53" t="s">
        <v>1624</v>
      </c>
      <c r="L169" s="52">
        <v>160</v>
      </c>
      <c r="M169" s="58">
        <v>3</v>
      </c>
    </row>
    <row r="170" spans="1:13" x14ac:dyDescent="0.25">
      <c r="A170" s="52" t="str">
        <f t="shared" si="4"/>
        <v>Eslabón Angular Estampado perf.18PERF OVALADA</v>
      </c>
      <c r="B170" s="45" t="s">
        <v>436</v>
      </c>
      <c r="C170" s="46">
        <v>34844</v>
      </c>
      <c r="D170" s="47" t="s">
        <v>437</v>
      </c>
      <c r="E170" s="48">
        <v>0.45300000000000001</v>
      </c>
      <c r="F170" s="49"/>
      <c r="G170" s="50"/>
      <c r="H170" s="51">
        <v>0.45300000000000001</v>
      </c>
      <c r="I170" s="52" t="s">
        <v>438</v>
      </c>
      <c r="J170" s="53" t="s">
        <v>73</v>
      </c>
      <c r="K170" s="53" t="s">
        <v>1625</v>
      </c>
      <c r="L170" s="52">
        <v>160</v>
      </c>
      <c r="M170" s="58">
        <v>4</v>
      </c>
    </row>
    <row r="171" spans="1:13" x14ac:dyDescent="0.25">
      <c r="A171" s="52" t="str">
        <f t="shared" si="4"/>
        <v>Eslabón Angular Estampado perf.18DOBLAR</v>
      </c>
      <c r="B171" s="45" t="s">
        <v>436</v>
      </c>
      <c r="C171" s="46">
        <v>34844</v>
      </c>
      <c r="D171" s="47" t="s">
        <v>1635</v>
      </c>
      <c r="E171" s="48">
        <v>0.45300000000000001</v>
      </c>
      <c r="F171" s="49"/>
      <c r="G171" s="50" t="s">
        <v>1638</v>
      </c>
      <c r="H171" s="51">
        <v>0.45300000000000001</v>
      </c>
      <c r="I171" s="52" t="s">
        <v>438</v>
      </c>
      <c r="J171" s="53" t="s">
        <v>77</v>
      </c>
      <c r="K171" s="53" t="s">
        <v>1630</v>
      </c>
      <c r="L171" s="52">
        <v>383</v>
      </c>
      <c r="M171" s="58">
        <v>5</v>
      </c>
    </row>
    <row r="172" spans="1:13" x14ac:dyDescent="0.25">
      <c r="A172" s="26" t="str">
        <f t="shared" si="4"/>
        <v>Eslabón Angular p/Tirante perf.14</v>
      </c>
      <c r="B172" s="4" t="s">
        <v>439</v>
      </c>
      <c r="C172" s="34">
        <v>35395</v>
      </c>
      <c r="D172" s="42" t="s">
        <v>440</v>
      </c>
      <c r="E172" s="34">
        <v>0.495</v>
      </c>
      <c r="F172" s="37"/>
      <c r="G172" s="38"/>
      <c r="H172" s="39">
        <v>0.495</v>
      </c>
      <c r="I172" s="26" t="s">
        <v>438</v>
      </c>
      <c r="M172" s="58"/>
    </row>
    <row r="173" spans="1:13" x14ac:dyDescent="0.25">
      <c r="A173" s="26" t="str">
        <f t="shared" si="4"/>
        <v>Eslabón Angular p/Tirante perf.18</v>
      </c>
      <c r="B173" s="4" t="s">
        <v>441</v>
      </c>
      <c r="C173" s="34">
        <v>34722</v>
      </c>
      <c r="D173" s="42" t="s">
        <v>442</v>
      </c>
      <c r="E173" s="34">
        <v>0.495</v>
      </c>
      <c r="F173" s="37"/>
      <c r="G173" s="38"/>
      <c r="H173" s="39">
        <v>0.495</v>
      </c>
      <c r="I173" s="26" t="s">
        <v>438</v>
      </c>
      <c r="M173" s="58"/>
    </row>
    <row r="174" spans="1:13" x14ac:dyDescent="0.25">
      <c r="A174" s="26" t="str">
        <f t="shared" si="4"/>
        <v>Eslabón Angular p/Tirante perf.21</v>
      </c>
      <c r="B174" s="4" t="s">
        <v>443</v>
      </c>
      <c r="C174" s="34">
        <v>34586</v>
      </c>
      <c r="D174" s="35" t="s">
        <v>444</v>
      </c>
      <c r="E174" s="36">
        <v>0.5</v>
      </c>
      <c r="F174" s="37"/>
      <c r="G174" s="38"/>
      <c r="H174" s="39">
        <v>0.5</v>
      </c>
      <c r="I174" s="26" t="s">
        <v>438</v>
      </c>
      <c r="M174" s="58"/>
    </row>
    <row r="175" spans="1:13" x14ac:dyDescent="0.25">
      <c r="A175" s="26" t="str">
        <f t="shared" si="4"/>
        <v>Eslabón Angular c/Pletina Soldada perf. 21</v>
      </c>
      <c r="B175" s="4" t="s">
        <v>445</v>
      </c>
      <c r="C175" s="34">
        <v>38853</v>
      </c>
      <c r="D175" s="35" t="s">
        <v>446</v>
      </c>
      <c r="E175" s="36">
        <v>0.53</v>
      </c>
      <c r="F175" s="37"/>
      <c r="G175" s="38"/>
      <c r="H175" s="39">
        <v>0.53</v>
      </c>
      <c r="I175" s="26" t="s">
        <v>438</v>
      </c>
      <c r="M175" s="58"/>
    </row>
    <row r="176" spans="1:13" x14ac:dyDescent="0.25">
      <c r="A176" s="26" t="str">
        <f t="shared" si="4"/>
        <v>Eslabón Simple 12mm</v>
      </c>
      <c r="B176" s="4" t="s">
        <v>447</v>
      </c>
      <c r="C176" s="34">
        <v>34839</v>
      </c>
      <c r="D176" s="42" t="s">
        <v>448</v>
      </c>
      <c r="E176" s="34">
        <v>0.17499999999999999</v>
      </c>
      <c r="F176" s="37"/>
      <c r="G176" s="38"/>
      <c r="H176" s="39">
        <v>0.17499999999999999</v>
      </c>
      <c r="I176" s="26" t="s">
        <v>438</v>
      </c>
      <c r="M176" s="58"/>
    </row>
    <row r="177" spans="1:13" x14ac:dyDescent="0.25">
      <c r="A177" s="26" t="str">
        <f t="shared" si="4"/>
        <v>Eslabón Simple 16mm</v>
      </c>
      <c r="B177" s="4" t="s">
        <v>449</v>
      </c>
      <c r="C177" s="34">
        <v>34822</v>
      </c>
      <c r="D177" s="42" t="s">
        <v>450</v>
      </c>
      <c r="E177" s="34">
        <v>0.4</v>
      </c>
      <c r="F177" s="37"/>
      <c r="G177" s="38"/>
      <c r="H177" s="39">
        <v>0.4</v>
      </c>
      <c r="I177" s="26" t="s">
        <v>438</v>
      </c>
      <c r="M177" s="58"/>
    </row>
    <row r="178" spans="1:13" x14ac:dyDescent="0.25">
      <c r="A178" s="26" t="str">
        <f t="shared" si="4"/>
        <v>Espaciador p/Cable DAC</v>
      </c>
      <c r="B178" s="4" t="s">
        <v>451</v>
      </c>
      <c r="C178" s="34">
        <v>36020</v>
      </c>
      <c r="D178" s="42" t="s">
        <v>452</v>
      </c>
      <c r="E178" s="34">
        <v>2.8</v>
      </c>
      <c r="F178" s="37"/>
      <c r="G178" s="38"/>
      <c r="H178" s="39">
        <v>2.8</v>
      </c>
      <c r="I178" s="26" t="s">
        <v>149</v>
      </c>
      <c r="M178" s="58"/>
    </row>
    <row r="179" spans="1:13" x14ac:dyDescent="0.25">
      <c r="A179" s="26" t="str">
        <f t="shared" si="4"/>
        <v xml:space="preserve">Espaciador p/5 Soporte de 1 vía </v>
      </c>
      <c r="B179" s="4" t="s">
        <v>453</v>
      </c>
      <c r="C179" s="34">
        <v>35198</v>
      </c>
      <c r="D179" s="42" t="s">
        <v>454</v>
      </c>
      <c r="E179" s="34">
        <v>13.1</v>
      </c>
      <c r="F179" s="37"/>
      <c r="G179" s="38"/>
      <c r="H179" s="39">
        <v>13.1</v>
      </c>
      <c r="I179" s="26" t="s">
        <v>149</v>
      </c>
      <c r="M179" s="58"/>
    </row>
    <row r="180" spans="1:13" x14ac:dyDescent="0.25">
      <c r="A180" s="26" t="str">
        <f t="shared" si="4"/>
        <v>Espaciador p/Tir. Recto 910x700x600</v>
      </c>
      <c r="B180" s="4" t="s">
        <v>455</v>
      </c>
      <c r="C180" s="34">
        <v>34792</v>
      </c>
      <c r="D180" s="35" t="s">
        <v>456</v>
      </c>
      <c r="E180" s="36">
        <v>12.8</v>
      </c>
      <c r="F180" s="37"/>
      <c r="G180" s="38"/>
      <c r="H180" s="39">
        <v>12.8</v>
      </c>
      <c r="I180" s="26" t="s">
        <v>149</v>
      </c>
      <c r="M180" s="58"/>
    </row>
    <row r="181" spans="1:13" x14ac:dyDescent="0.25">
      <c r="A181" s="26" t="str">
        <f t="shared" si="4"/>
        <v>Espárrago HAE 5/8x368x60x8</v>
      </c>
      <c r="B181" s="4" t="s">
        <v>457</v>
      </c>
      <c r="C181" s="34">
        <v>35418</v>
      </c>
      <c r="D181" s="35" t="s">
        <v>458</v>
      </c>
      <c r="E181" s="36">
        <v>0.58099999999999996</v>
      </c>
      <c r="F181" s="37"/>
      <c r="G181" s="38"/>
      <c r="H181" s="39">
        <v>0.58099999999999996</v>
      </c>
      <c r="I181" s="26" t="s">
        <v>149</v>
      </c>
      <c r="M181" s="58"/>
    </row>
    <row r="182" spans="1:13" x14ac:dyDescent="0.25">
      <c r="A182" s="26" t="str">
        <f t="shared" si="4"/>
        <v>Espárrago HAE 1.1/8x835</v>
      </c>
      <c r="B182" s="4" t="s">
        <v>459</v>
      </c>
      <c r="C182" s="34">
        <v>34973</v>
      </c>
      <c r="D182" s="42" t="s">
        <v>460</v>
      </c>
      <c r="E182" s="34">
        <v>3.7</v>
      </c>
      <c r="F182" s="37"/>
      <c r="G182" s="38"/>
      <c r="H182" s="39">
        <v>3.7</v>
      </c>
      <c r="I182" s="26" t="s">
        <v>149</v>
      </c>
      <c r="M182" s="58"/>
    </row>
    <row r="183" spans="1:13" x14ac:dyDescent="0.25">
      <c r="A183" s="26" t="str">
        <f t="shared" si="4"/>
        <v>Espárrago HAE 1/2x560x65</v>
      </c>
      <c r="B183" s="4" t="s">
        <v>461</v>
      </c>
      <c r="C183" s="34">
        <v>35791</v>
      </c>
      <c r="D183" s="42" t="s">
        <v>462</v>
      </c>
      <c r="E183" s="34">
        <v>0.59599999999999997</v>
      </c>
      <c r="F183" s="37"/>
      <c r="G183" s="38"/>
      <c r="H183" s="39">
        <v>0.59599999999999997</v>
      </c>
      <c r="I183" s="26" t="s">
        <v>149</v>
      </c>
      <c r="M183" s="58"/>
    </row>
    <row r="184" spans="1:13" x14ac:dyDescent="0.25">
      <c r="A184" s="26" t="str">
        <f t="shared" si="4"/>
        <v>Espárrago HTL 5/8x400</v>
      </c>
      <c r="B184" s="4" t="s">
        <v>463</v>
      </c>
      <c r="C184" s="34">
        <v>34535</v>
      </c>
      <c r="D184" s="35" t="s">
        <v>464</v>
      </c>
      <c r="E184" s="36">
        <v>0.44600000000000001</v>
      </c>
      <c r="F184" s="40"/>
      <c r="G184" s="41"/>
      <c r="H184" s="39">
        <v>0.44600000000000001</v>
      </c>
      <c r="I184" s="26" t="s">
        <v>149</v>
      </c>
      <c r="M184" s="58"/>
    </row>
    <row r="185" spans="1:13" x14ac:dyDescent="0.25">
      <c r="A185" s="26" t="str">
        <f t="shared" si="4"/>
        <v>Espárrago M16x130</v>
      </c>
      <c r="B185" s="4" t="s">
        <v>465</v>
      </c>
      <c r="C185" s="34">
        <v>35072</v>
      </c>
      <c r="D185" s="42" t="s">
        <v>466</v>
      </c>
      <c r="E185" s="34">
        <v>0.25</v>
      </c>
      <c r="F185" s="37"/>
      <c r="G185" s="38"/>
      <c r="H185" s="39">
        <v>0.25</v>
      </c>
      <c r="I185" s="26" t="s">
        <v>149</v>
      </c>
      <c r="M185" s="58"/>
    </row>
    <row r="186" spans="1:13" x14ac:dyDescent="0.25">
      <c r="A186" s="26" t="str">
        <f t="shared" si="4"/>
        <v>Espiga 3/4x126x181 caps. 1" Poliamida</v>
      </c>
      <c r="B186" s="4" t="s">
        <v>467</v>
      </c>
      <c r="C186" s="34">
        <v>35898</v>
      </c>
      <c r="D186" s="42" t="s">
        <v>468</v>
      </c>
      <c r="E186" s="34">
        <v>0.436</v>
      </c>
      <c r="F186" s="37"/>
      <c r="G186" s="38"/>
      <c r="H186" s="39">
        <v>0.436</v>
      </c>
      <c r="I186" s="26" t="s">
        <v>469</v>
      </c>
      <c r="J186" s="27" t="s">
        <v>79</v>
      </c>
      <c r="K186" s="27"/>
      <c r="M186" s="58"/>
    </row>
    <row r="187" spans="1:13" x14ac:dyDescent="0.25">
      <c r="A187" s="26" t="str">
        <f t="shared" si="4"/>
        <v>Espiga 3/4x126x274 caps.1"</v>
      </c>
      <c r="B187" s="4" t="s">
        <v>470</v>
      </c>
      <c r="C187" s="34">
        <v>33598</v>
      </c>
      <c r="D187" s="35" t="s">
        <v>471</v>
      </c>
      <c r="E187" s="36">
        <v>0.75</v>
      </c>
      <c r="F187" s="37"/>
      <c r="G187" s="38"/>
      <c r="H187" s="39">
        <v>0.75</v>
      </c>
      <c r="I187" s="26" t="s">
        <v>469</v>
      </c>
      <c r="J187" s="27" t="s">
        <v>79</v>
      </c>
      <c r="K187" s="27"/>
      <c r="M187" s="58"/>
    </row>
    <row r="188" spans="1:13" x14ac:dyDescent="0.25">
      <c r="A188" s="112" t="str">
        <f t="shared" si="4"/>
        <v>Espiga 3/4x126x274 caps.1" PoliamidaESTAMPAR</v>
      </c>
      <c r="B188" s="113" t="s">
        <v>472</v>
      </c>
      <c r="C188" s="114">
        <v>35897</v>
      </c>
      <c r="D188" s="111" t="s">
        <v>473</v>
      </c>
      <c r="E188" s="115">
        <v>0.64100000000000001</v>
      </c>
      <c r="F188" s="116"/>
      <c r="G188" s="117"/>
      <c r="H188" s="39">
        <v>0.64100000000000001</v>
      </c>
      <c r="I188" s="26" t="s">
        <v>469</v>
      </c>
      <c r="J188" s="27" t="s">
        <v>79</v>
      </c>
      <c r="K188" s="27" t="s">
        <v>1597</v>
      </c>
      <c r="L188" s="26">
        <v>96</v>
      </c>
      <c r="M188" s="58">
        <v>1</v>
      </c>
    </row>
    <row r="189" spans="1:13" x14ac:dyDescent="0.25">
      <c r="A189" s="52" t="str">
        <f t="shared" ref="A189:A193" si="5">B189&amp;K189</f>
        <v>Espiga 3/4x126x274 caps.1" PoliamidaREBABAR</v>
      </c>
      <c r="B189" s="45" t="s">
        <v>472</v>
      </c>
      <c r="C189" s="46">
        <v>35897</v>
      </c>
      <c r="D189" s="47" t="s">
        <v>473</v>
      </c>
      <c r="E189" s="48">
        <v>0.64100000000000001</v>
      </c>
      <c r="F189" s="49"/>
      <c r="G189" s="50"/>
      <c r="H189" s="51"/>
      <c r="I189" s="52"/>
      <c r="J189" s="53" t="s">
        <v>62</v>
      </c>
      <c r="K189" s="53" t="s">
        <v>1602</v>
      </c>
      <c r="L189" s="52">
        <v>250</v>
      </c>
      <c r="M189" s="58">
        <v>2</v>
      </c>
    </row>
    <row r="190" spans="1:13" x14ac:dyDescent="0.25">
      <c r="A190" s="52" t="str">
        <f t="shared" si="5"/>
        <v>Espiga 3/4x126x274 caps.1" PoliamidaREBAJAR</v>
      </c>
      <c r="B190" s="45" t="s">
        <v>472</v>
      </c>
      <c r="C190" s="46">
        <v>35897</v>
      </c>
      <c r="D190" s="47" t="s">
        <v>473</v>
      </c>
      <c r="E190" s="48">
        <v>0.64100000000000001</v>
      </c>
      <c r="F190" s="49"/>
      <c r="G190" s="50"/>
      <c r="H190" s="51"/>
      <c r="I190" s="52"/>
      <c r="J190" s="61" t="s">
        <v>1669</v>
      </c>
      <c r="K190" s="53" t="s">
        <v>1667</v>
      </c>
      <c r="L190" s="52">
        <v>150</v>
      </c>
      <c r="M190" s="58">
        <v>3</v>
      </c>
    </row>
    <row r="191" spans="1:13" x14ac:dyDescent="0.25">
      <c r="A191" s="52" t="str">
        <f t="shared" si="5"/>
        <v>Espiga 3/4x126x274 caps.1" PoliamidaESTRIAR</v>
      </c>
      <c r="B191" s="45" t="s">
        <v>472</v>
      </c>
      <c r="C191" s="46">
        <v>35897</v>
      </c>
      <c r="D191" s="47" t="s">
        <v>473</v>
      </c>
      <c r="E191" s="48">
        <v>0.64100000000000001</v>
      </c>
      <c r="F191" s="49"/>
      <c r="G191" s="50"/>
      <c r="H191" s="51"/>
      <c r="I191" s="52"/>
      <c r="J191" s="53" t="s">
        <v>84</v>
      </c>
      <c r="K191" s="53" t="s">
        <v>1668</v>
      </c>
      <c r="L191" s="52">
        <v>230</v>
      </c>
      <c r="M191" s="58">
        <v>4</v>
      </c>
    </row>
    <row r="192" spans="1:13" x14ac:dyDescent="0.25">
      <c r="A192" s="52" t="str">
        <f t="shared" si="5"/>
        <v>Espiga 3/4x126x274 caps.1" PoliamidaPUNTEAR</v>
      </c>
      <c r="B192" s="45" t="s">
        <v>472</v>
      </c>
      <c r="C192" s="46">
        <v>35897</v>
      </c>
      <c r="D192" s="47" t="s">
        <v>473</v>
      </c>
      <c r="E192" s="48">
        <v>0.64100000000000001</v>
      </c>
      <c r="F192" s="49"/>
      <c r="G192" s="50"/>
      <c r="H192" s="51"/>
      <c r="I192" s="52"/>
      <c r="J192" s="53" t="s">
        <v>1611</v>
      </c>
      <c r="K192" s="53" t="s">
        <v>1603</v>
      </c>
      <c r="L192" s="52">
        <v>140</v>
      </c>
      <c r="M192" s="58">
        <v>5</v>
      </c>
    </row>
    <row r="193" spans="1:13" x14ac:dyDescent="0.25">
      <c r="A193" s="52" t="str">
        <f t="shared" si="5"/>
        <v>Espiga 3/4x126x274 caps.1" PoliamidaTERRAJAR</v>
      </c>
      <c r="B193" s="45" t="s">
        <v>472</v>
      </c>
      <c r="C193" s="46">
        <v>35897</v>
      </c>
      <c r="D193" s="47" t="s">
        <v>473</v>
      </c>
      <c r="E193" s="48">
        <v>0.64100000000000001</v>
      </c>
      <c r="F193" s="49"/>
      <c r="G193" s="50" t="s">
        <v>1638</v>
      </c>
      <c r="H193" s="51"/>
      <c r="I193" s="52"/>
      <c r="J193" s="53" t="s">
        <v>1616</v>
      </c>
      <c r="K193" s="53" t="s">
        <v>1601</v>
      </c>
      <c r="L193" s="52">
        <v>120</v>
      </c>
      <c r="M193" s="58">
        <v>6</v>
      </c>
    </row>
    <row r="194" spans="1:13" x14ac:dyDescent="0.25">
      <c r="A194" s="26" t="str">
        <f t="shared" si="4"/>
        <v>Espiga 3/4x155x210 caps.1" Poliamida</v>
      </c>
      <c r="B194" s="4" t="s">
        <v>474</v>
      </c>
      <c r="C194" s="34">
        <v>34486</v>
      </c>
      <c r="D194" s="111" t="s">
        <v>475</v>
      </c>
      <c r="E194" s="36">
        <v>0.50700000000000001</v>
      </c>
      <c r="F194" s="37"/>
      <c r="G194" s="38"/>
      <c r="H194" s="39">
        <v>0.50700000000000001</v>
      </c>
      <c r="I194" s="26" t="s">
        <v>469</v>
      </c>
      <c r="J194" s="27" t="s">
        <v>79</v>
      </c>
      <c r="K194" s="27"/>
      <c r="M194" s="58"/>
    </row>
    <row r="195" spans="1:13" x14ac:dyDescent="0.25">
      <c r="A195" s="26" t="str">
        <f t="shared" si="4"/>
        <v>Espiga 3/4x155x210 caps.1.3/8" Poliamida</v>
      </c>
      <c r="B195" s="4" t="s">
        <v>476</v>
      </c>
      <c r="C195" s="34">
        <v>34669</v>
      </c>
      <c r="D195" s="35" t="s">
        <v>477</v>
      </c>
      <c r="E195" s="36">
        <v>0.56000000000000005</v>
      </c>
      <c r="F195" s="37"/>
      <c r="G195" s="38"/>
      <c r="H195" s="39">
        <v>0.56000000000000005</v>
      </c>
      <c r="I195" s="26" t="s">
        <v>469</v>
      </c>
      <c r="J195" s="27" t="s">
        <v>79</v>
      </c>
      <c r="K195" s="27"/>
      <c r="M195" s="58"/>
    </row>
    <row r="196" spans="1:13" x14ac:dyDescent="0.25">
      <c r="A196" s="26" t="str">
        <f t="shared" si="4"/>
        <v>Espiga 3/4x155x295 caps.1" Poliamida</v>
      </c>
      <c r="B196" s="4" t="s">
        <v>478</v>
      </c>
      <c r="C196" s="34">
        <v>35038</v>
      </c>
      <c r="D196" s="42" t="s">
        <v>479</v>
      </c>
      <c r="E196" s="34">
        <v>0.71199999999999997</v>
      </c>
      <c r="F196" s="37"/>
      <c r="G196" s="38"/>
      <c r="H196" s="39">
        <v>0.71199999999999997</v>
      </c>
      <c r="I196" s="26" t="s">
        <v>469</v>
      </c>
      <c r="J196" s="27" t="s">
        <v>79</v>
      </c>
      <c r="K196" s="27"/>
      <c r="M196" s="58"/>
    </row>
    <row r="197" spans="1:13" x14ac:dyDescent="0.25">
      <c r="A197" s="26" t="str">
        <f t="shared" si="4"/>
        <v>Espiga 3/4x155x295 caps.1" Poliamida c/HOR</v>
      </c>
      <c r="B197" s="4" t="s">
        <v>480</v>
      </c>
      <c r="C197" s="34">
        <v>36240</v>
      </c>
      <c r="D197" s="42" t="s">
        <v>481</v>
      </c>
      <c r="E197" s="34">
        <v>0.71199999999999997</v>
      </c>
      <c r="F197" s="37"/>
      <c r="G197" s="38"/>
      <c r="H197" s="39">
        <v>0.71199999999999997</v>
      </c>
      <c r="I197" s="26" t="s">
        <v>469</v>
      </c>
      <c r="J197" s="27" t="s">
        <v>79</v>
      </c>
      <c r="K197" s="27"/>
      <c r="M197" s="58"/>
    </row>
    <row r="198" spans="1:13" x14ac:dyDescent="0.25">
      <c r="A198" s="26" t="str">
        <f t="shared" si="4"/>
        <v>Espiga 3/4x155x295 caps.1.3/8" Poliamida</v>
      </c>
      <c r="B198" s="4" t="s">
        <v>482</v>
      </c>
      <c r="C198" s="34">
        <v>34951</v>
      </c>
      <c r="D198" s="35" t="s">
        <v>483</v>
      </c>
      <c r="E198" s="36">
        <v>0.74099999999999999</v>
      </c>
      <c r="F198" s="37"/>
      <c r="G198" s="38"/>
      <c r="H198" s="39">
        <v>0.74099999999999999</v>
      </c>
      <c r="I198" s="26" t="s">
        <v>469</v>
      </c>
      <c r="J198" s="27" t="s">
        <v>79</v>
      </c>
      <c r="K198" s="27"/>
      <c r="M198" s="58"/>
    </row>
    <row r="199" spans="1:13" x14ac:dyDescent="0.25">
      <c r="A199" s="26" t="str">
        <f t="shared" si="4"/>
        <v>Espiga 3/4x155x295 caps.1.3/8" Poliamida c/HOR</v>
      </c>
      <c r="B199" s="4" t="s">
        <v>484</v>
      </c>
      <c r="C199" s="34">
        <v>36097</v>
      </c>
      <c r="D199" s="35" t="s">
        <v>485</v>
      </c>
      <c r="E199" s="36">
        <v>0.74099999999999999</v>
      </c>
      <c r="F199" s="37"/>
      <c r="G199" s="38"/>
      <c r="H199" s="39">
        <v>0.74099999999999999</v>
      </c>
      <c r="I199" s="26" t="s">
        <v>469</v>
      </c>
      <c r="J199" s="27" t="s">
        <v>79</v>
      </c>
      <c r="K199" s="27"/>
      <c r="M199" s="58"/>
    </row>
    <row r="200" spans="1:13" x14ac:dyDescent="0.25">
      <c r="A200" s="26" t="str">
        <f t="shared" si="4"/>
        <v>Espiga 3/4x155x303 caps.1" Poliamida</v>
      </c>
      <c r="B200" s="4" t="s">
        <v>486</v>
      </c>
      <c r="C200" s="34">
        <v>35466</v>
      </c>
      <c r="D200" s="35" t="s">
        <v>487</v>
      </c>
      <c r="E200" s="36">
        <v>0.69699999999999995</v>
      </c>
      <c r="F200" s="37"/>
      <c r="G200" s="38"/>
      <c r="H200" s="39">
        <v>0.69699999999999995</v>
      </c>
      <c r="I200" s="26" t="s">
        <v>469</v>
      </c>
      <c r="J200" s="27" t="s">
        <v>79</v>
      </c>
      <c r="K200" s="27"/>
      <c r="M200" s="58"/>
    </row>
    <row r="201" spans="1:13" x14ac:dyDescent="0.25">
      <c r="A201" s="26" t="str">
        <f t="shared" si="4"/>
        <v>Espiga 3/4x183x333 caps.1.3/8"</v>
      </c>
      <c r="B201" s="4" t="s">
        <v>488</v>
      </c>
      <c r="C201" s="34">
        <v>34972</v>
      </c>
      <c r="D201" s="35" t="s">
        <v>489</v>
      </c>
      <c r="E201" s="36">
        <v>1.161</v>
      </c>
      <c r="F201" s="37"/>
      <c r="G201" s="38"/>
      <c r="H201" s="39">
        <v>1.161</v>
      </c>
      <c r="I201" s="26" t="s">
        <v>469</v>
      </c>
      <c r="J201" s="27" t="s">
        <v>79</v>
      </c>
      <c r="K201" s="27"/>
      <c r="M201" s="58"/>
    </row>
    <row r="202" spans="1:13" x14ac:dyDescent="0.25">
      <c r="A202" s="26" t="str">
        <f t="shared" si="4"/>
        <v>Espiga 3/4x183x333 caps.1.3/8" Poliamida</v>
      </c>
      <c r="B202" s="4" t="s">
        <v>490</v>
      </c>
      <c r="C202" s="34">
        <v>35900</v>
      </c>
      <c r="D202" s="35" t="s">
        <v>491</v>
      </c>
      <c r="E202" s="36">
        <v>0.82</v>
      </c>
      <c r="F202" s="37"/>
      <c r="G202" s="38"/>
      <c r="H202" s="39">
        <v>0.82</v>
      </c>
      <c r="I202" s="26" t="s">
        <v>469</v>
      </c>
      <c r="J202" s="27" t="s">
        <v>79</v>
      </c>
      <c r="K202" s="27"/>
      <c r="M202" s="58"/>
    </row>
    <row r="203" spans="1:13" x14ac:dyDescent="0.25">
      <c r="A203" s="26" t="str">
        <f t="shared" si="4"/>
        <v>Espiga 3/4x183x233 caps 1.3/8"</v>
      </c>
      <c r="B203" s="4" t="s">
        <v>492</v>
      </c>
      <c r="C203" s="34">
        <v>35146</v>
      </c>
      <c r="D203" s="35" t="s">
        <v>493</v>
      </c>
      <c r="E203" s="36">
        <v>0.93500000000000005</v>
      </c>
      <c r="F203" s="37" t="s">
        <v>190</v>
      </c>
      <c r="G203" s="38"/>
      <c r="H203" s="39">
        <v>0.93500000000000005</v>
      </c>
      <c r="I203" s="26" t="s">
        <v>469</v>
      </c>
      <c r="J203" s="27" t="s">
        <v>79</v>
      </c>
      <c r="K203" s="27"/>
      <c r="M203" s="58"/>
    </row>
    <row r="204" spans="1:13" x14ac:dyDescent="0.25">
      <c r="A204" s="26" t="str">
        <f t="shared" si="4"/>
        <v>Espiga 3/4x183x233 caps 1.3/8" Poliamida</v>
      </c>
      <c r="B204" s="4" t="s">
        <v>494</v>
      </c>
      <c r="C204" s="34">
        <v>35899</v>
      </c>
      <c r="D204" s="35" t="s">
        <v>495</v>
      </c>
      <c r="E204" s="36">
        <v>0.59799999999999998</v>
      </c>
      <c r="F204" s="37"/>
      <c r="G204" s="38"/>
      <c r="H204" s="39">
        <v>0.59799999999999998</v>
      </c>
      <c r="I204" s="26" t="s">
        <v>469</v>
      </c>
      <c r="J204" s="27" t="s">
        <v>79</v>
      </c>
      <c r="K204" s="27"/>
      <c r="M204" s="58"/>
    </row>
    <row r="205" spans="1:13" x14ac:dyDescent="0.25">
      <c r="A205" s="26" t="str">
        <f t="shared" si="4"/>
        <v>Espiga 3/4x185x240 caps.1.3/8"</v>
      </c>
      <c r="B205" s="4" t="s">
        <v>496</v>
      </c>
      <c r="C205" s="34">
        <v>34880</v>
      </c>
      <c r="D205" s="42" t="s">
        <v>497</v>
      </c>
      <c r="E205" s="34">
        <v>0.95099999999999996</v>
      </c>
      <c r="F205" s="37"/>
      <c r="G205" s="38"/>
      <c r="H205" s="39">
        <v>0.95099999999999996</v>
      </c>
      <c r="I205" s="26" t="s">
        <v>469</v>
      </c>
      <c r="J205" s="27" t="s">
        <v>79</v>
      </c>
      <c r="K205" s="27"/>
      <c r="M205" s="58"/>
    </row>
    <row r="206" spans="1:13" x14ac:dyDescent="0.25">
      <c r="A206" s="26" t="str">
        <f t="shared" si="4"/>
        <v>Espiga 3/4x185x240 caps.1.3/8" Poliamida</v>
      </c>
      <c r="B206" s="4" t="s">
        <v>498</v>
      </c>
      <c r="C206" s="34">
        <v>35247</v>
      </c>
      <c r="D206" s="42" t="s">
        <v>499</v>
      </c>
      <c r="E206" s="34">
        <v>0.624</v>
      </c>
      <c r="F206" s="37" t="s">
        <v>190</v>
      </c>
      <c r="G206" s="38"/>
      <c r="H206" s="39">
        <v>0.624</v>
      </c>
      <c r="I206" s="26" t="s">
        <v>469</v>
      </c>
      <c r="J206" s="27" t="s">
        <v>79</v>
      </c>
      <c r="K206" s="27"/>
      <c r="M206" s="58"/>
    </row>
    <row r="207" spans="1:13" x14ac:dyDescent="0.25">
      <c r="A207" s="26" t="str">
        <f t="shared" si="4"/>
        <v xml:space="preserve">Espiga 3/4x190x340 caps.1.3/8" </v>
      </c>
      <c r="B207" s="4" t="s">
        <v>500</v>
      </c>
      <c r="C207" s="34">
        <v>34647</v>
      </c>
      <c r="D207" s="35" t="s">
        <v>501</v>
      </c>
      <c r="E207" s="36">
        <v>1.167</v>
      </c>
      <c r="F207" s="37"/>
      <c r="G207" s="38"/>
      <c r="H207" s="39">
        <v>1.167</v>
      </c>
      <c r="I207" s="26" t="s">
        <v>469</v>
      </c>
      <c r="J207" s="27" t="s">
        <v>79</v>
      </c>
      <c r="K207" s="27"/>
      <c r="M207" s="58"/>
    </row>
    <row r="208" spans="1:13" x14ac:dyDescent="0.25">
      <c r="A208" s="26" t="str">
        <f t="shared" si="4"/>
        <v>Espiga 3/4x190x340 caps.1.3/8" Poliamida</v>
      </c>
      <c r="B208" s="4" t="s">
        <v>502</v>
      </c>
      <c r="C208" s="34">
        <v>35176</v>
      </c>
      <c r="D208" s="35" t="s">
        <v>503</v>
      </c>
      <c r="E208" s="36">
        <v>0.83299999999999996</v>
      </c>
      <c r="F208" s="37" t="s">
        <v>190</v>
      </c>
      <c r="G208" s="38"/>
      <c r="H208" s="39">
        <v>0.83299999999999996</v>
      </c>
      <c r="I208" s="26" t="s">
        <v>469</v>
      </c>
      <c r="J208" s="27" t="s">
        <v>79</v>
      </c>
      <c r="K208" s="27"/>
      <c r="M208" s="58"/>
    </row>
    <row r="209" spans="1:13" x14ac:dyDescent="0.25">
      <c r="A209" s="26" t="str">
        <f t="shared" si="4"/>
        <v>Espiga 3/4x200x250 caps.1.3/8" Poliamida</v>
      </c>
      <c r="B209" s="4" t="s">
        <v>504</v>
      </c>
      <c r="C209" s="34">
        <v>34751</v>
      </c>
      <c r="D209" s="35" t="s">
        <v>505</v>
      </c>
      <c r="E209" s="36">
        <v>0.64100000000000001</v>
      </c>
      <c r="F209" s="37"/>
      <c r="G209" s="38"/>
      <c r="H209" s="39">
        <v>0.64100000000000001</v>
      </c>
      <c r="I209" s="26" t="s">
        <v>469</v>
      </c>
      <c r="J209" s="27" t="s">
        <v>79</v>
      </c>
      <c r="K209" s="27"/>
      <c r="M209" s="58"/>
    </row>
    <row r="210" spans="1:13" x14ac:dyDescent="0.25">
      <c r="A210" s="26" t="str">
        <f t="shared" si="4"/>
        <v>Espiga 3/4x200x350 caps.1" Poliamida</v>
      </c>
      <c r="B210" s="4" t="s">
        <v>506</v>
      </c>
      <c r="C210" s="34">
        <v>35808</v>
      </c>
      <c r="D210" s="35" t="s">
        <v>507</v>
      </c>
      <c r="E210" s="36">
        <v>0.81200000000000006</v>
      </c>
      <c r="F210" s="37"/>
      <c r="G210" s="38"/>
      <c r="H210" s="39">
        <v>0.81200000000000006</v>
      </c>
      <c r="I210" s="26" t="s">
        <v>469</v>
      </c>
      <c r="J210" s="27" t="s">
        <v>79</v>
      </c>
      <c r="K210" s="27"/>
      <c r="M210" s="58"/>
    </row>
    <row r="211" spans="1:13" x14ac:dyDescent="0.25">
      <c r="A211" s="26" t="str">
        <f t="shared" si="4"/>
        <v>Espiga 3/4x200x350 caps.1.3/8" Poliamida C/M</v>
      </c>
      <c r="B211" s="4" t="s">
        <v>508</v>
      </c>
      <c r="C211" s="34">
        <v>34836</v>
      </c>
      <c r="D211" s="42" t="s">
        <v>509</v>
      </c>
      <c r="E211" s="34">
        <v>0.84399999999999997</v>
      </c>
      <c r="F211" s="40"/>
      <c r="G211" s="41"/>
      <c r="H211" s="39">
        <v>0.84399999999999997</v>
      </c>
      <c r="I211" s="26" t="s">
        <v>469</v>
      </c>
      <c r="J211" s="27" t="s">
        <v>79</v>
      </c>
      <c r="K211" s="27"/>
      <c r="M211" s="58"/>
    </row>
    <row r="212" spans="1:13" x14ac:dyDescent="0.25">
      <c r="A212" s="26" t="str">
        <f t="shared" si="4"/>
        <v>Espiga 3/4x200x350 caps.1.3/8" Poliamida C/H</v>
      </c>
      <c r="B212" s="4" t="s">
        <v>510</v>
      </c>
      <c r="C212" s="34">
        <v>35810</v>
      </c>
      <c r="D212" s="42" t="s">
        <v>511</v>
      </c>
      <c r="E212" s="34">
        <v>0.84399999999999997</v>
      </c>
      <c r="F212" s="40"/>
      <c r="G212" s="41"/>
      <c r="H212" s="39">
        <v>0.84399999999999997</v>
      </c>
      <c r="I212" s="26" t="s">
        <v>469</v>
      </c>
      <c r="J212" s="27" t="s">
        <v>79</v>
      </c>
      <c r="K212" s="27"/>
      <c r="M212" s="58"/>
    </row>
    <row r="213" spans="1:13" x14ac:dyDescent="0.25">
      <c r="A213" s="26" t="str">
        <f t="shared" si="4"/>
        <v>Espiga 3/4x220x270 caps.1" Poliamida</v>
      </c>
      <c r="B213" s="4" t="s">
        <v>512</v>
      </c>
      <c r="C213" s="34">
        <v>34528</v>
      </c>
      <c r="D213" s="35" t="s">
        <v>513</v>
      </c>
      <c r="E213" s="36">
        <v>0.63800000000000001</v>
      </c>
      <c r="F213" s="37"/>
      <c r="G213" s="38"/>
      <c r="H213" s="39">
        <v>0.63800000000000001</v>
      </c>
      <c r="I213" s="26" t="s">
        <v>469</v>
      </c>
      <c r="J213" s="27" t="s">
        <v>79</v>
      </c>
      <c r="K213" s="27"/>
      <c r="M213" s="58"/>
    </row>
    <row r="214" spans="1:13" x14ac:dyDescent="0.25">
      <c r="A214" s="26" t="str">
        <f t="shared" si="4"/>
        <v>Espiga 3/4x220x270 caps.1.3/8" Poliamida</v>
      </c>
      <c r="B214" s="4" t="s">
        <v>514</v>
      </c>
      <c r="C214" s="34">
        <v>34637</v>
      </c>
      <c r="D214" s="35" t="s">
        <v>515</v>
      </c>
      <c r="E214" s="36">
        <v>0.7</v>
      </c>
      <c r="F214" s="37"/>
      <c r="G214" s="38"/>
      <c r="H214" s="39">
        <v>0.7</v>
      </c>
      <c r="I214" s="26" t="s">
        <v>469</v>
      </c>
      <c r="J214" s="27" t="s">
        <v>79</v>
      </c>
      <c r="K214" s="27"/>
      <c r="M214" s="58"/>
    </row>
    <row r="215" spans="1:13" x14ac:dyDescent="0.25">
      <c r="A215" s="26" t="str">
        <f t="shared" si="4"/>
        <v>Espiga 3/4x220x375 caps.1" Poliamida</v>
      </c>
      <c r="B215" s="4" t="s">
        <v>516</v>
      </c>
      <c r="C215" s="34">
        <v>34733</v>
      </c>
      <c r="D215" s="35" t="s">
        <v>517</v>
      </c>
      <c r="E215" s="36">
        <v>0.86</v>
      </c>
      <c r="F215" s="37"/>
      <c r="G215" s="38"/>
      <c r="H215" s="39">
        <v>0.86</v>
      </c>
      <c r="I215" s="26" t="s">
        <v>469</v>
      </c>
      <c r="J215" s="27" t="s">
        <v>79</v>
      </c>
      <c r="K215" s="27"/>
      <c r="M215" s="58"/>
    </row>
    <row r="216" spans="1:13" x14ac:dyDescent="0.25">
      <c r="A216" s="26" t="str">
        <f t="shared" si="4"/>
        <v>Espiga 3/4x220x375 caps.1.3/8" Poliamida</v>
      </c>
      <c r="B216" s="4" t="s">
        <v>518</v>
      </c>
      <c r="C216" s="34">
        <v>34687</v>
      </c>
      <c r="D216" s="35" t="s">
        <v>519</v>
      </c>
      <c r="E216" s="36">
        <v>0.92900000000000005</v>
      </c>
      <c r="F216" s="37"/>
      <c r="G216" s="38"/>
      <c r="H216" s="39">
        <v>0.92900000000000005</v>
      </c>
      <c r="I216" s="26" t="s">
        <v>469</v>
      </c>
      <c r="J216" s="27" t="s">
        <v>79</v>
      </c>
      <c r="K216" s="27"/>
      <c r="M216" s="58"/>
    </row>
    <row r="217" spans="1:13" x14ac:dyDescent="0.25">
      <c r="A217" s="26" t="str">
        <f t="shared" ref="A217:A280" si="6">B217&amp;K217</f>
        <v>Espiga 3/4x250x300 caps.1" Poliamida</v>
      </c>
      <c r="B217" s="4" t="s">
        <v>520</v>
      </c>
      <c r="C217" s="34">
        <v>35468</v>
      </c>
      <c r="D217" s="35" t="s">
        <v>521</v>
      </c>
      <c r="E217" s="36">
        <v>0.69499999999999995</v>
      </c>
      <c r="F217" s="37"/>
      <c r="G217" s="38"/>
      <c r="H217" s="39">
        <v>0.69499999999999995</v>
      </c>
      <c r="I217" s="26" t="s">
        <v>469</v>
      </c>
      <c r="J217" s="27" t="s">
        <v>79</v>
      </c>
      <c r="K217" s="27"/>
      <c r="M217" s="58"/>
    </row>
    <row r="218" spans="1:13" x14ac:dyDescent="0.25">
      <c r="A218" s="26" t="str">
        <f t="shared" si="6"/>
        <v>Espiga 3/4x250x300 caps.1.3/8"</v>
      </c>
      <c r="B218" s="4" t="s">
        <v>522</v>
      </c>
      <c r="C218" s="34">
        <v>35031</v>
      </c>
      <c r="D218" s="42" t="s">
        <v>523</v>
      </c>
      <c r="E218" s="34">
        <v>1.226</v>
      </c>
      <c r="F218" s="37"/>
      <c r="G218" s="38"/>
      <c r="H218" s="39">
        <v>1.226</v>
      </c>
      <c r="I218" s="26" t="s">
        <v>469</v>
      </c>
      <c r="J218" s="27" t="s">
        <v>79</v>
      </c>
      <c r="K218" s="27"/>
      <c r="M218" s="58"/>
    </row>
    <row r="219" spans="1:13" x14ac:dyDescent="0.25">
      <c r="A219" s="26" t="str">
        <f t="shared" si="6"/>
        <v>Espiga 3/4x250x300 caps.1.3/8" Poliamida</v>
      </c>
      <c r="B219" s="4" t="s">
        <v>524</v>
      </c>
      <c r="C219" s="34">
        <v>34813</v>
      </c>
      <c r="D219" s="35" t="s">
        <v>525</v>
      </c>
      <c r="E219" s="36">
        <v>0.75800000000000001</v>
      </c>
      <c r="F219" s="40"/>
      <c r="G219" s="41"/>
      <c r="H219" s="39">
        <v>0.75800000000000001</v>
      </c>
      <c r="I219" s="26" t="s">
        <v>469</v>
      </c>
      <c r="J219" s="27" t="s">
        <v>79</v>
      </c>
      <c r="K219" s="27"/>
      <c r="M219" s="58"/>
    </row>
    <row r="220" spans="1:13" x14ac:dyDescent="0.25">
      <c r="A220" s="26" t="str">
        <f t="shared" si="6"/>
        <v>Espiga 3/4x250x400 caps.1"</v>
      </c>
      <c r="B220" s="4" t="s">
        <v>526</v>
      </c>
      <c r="C220" s="34">
        <v>34984</v>
      </c>
      <c r="D220" s="42" t="s">
        <v>527</v>
      </c>
      <c r="E220" s="34">
        <v>1.042</v>
      </c>
      <c r="F220" s="37"/>
      <c r="G220" s="38"/>
      <c r="H220" s="39">
        <v>1.042</v>
      </c>
      <c r="I220" s="26" t="s">
        <v>469</v>
      </c>
      <c r="J220" s="27" t="s">
        <v>79</v>
      </c>
      <c r="K220" s="27"/>
      <c r="M220" s="58"/>
    </row>
    <row r="221" spans="1:13" x14ac:dyDescent="0.25">
      <c r="A221" s="26" t="str">
        <f t="shared" si="6"/>
        <v>Espiga 3/4x250x400 caps.1.3/8" Poliamida</v>
      </c>
      <c r="B221" s="4" t="s">
        <v>528</v>
      </c>
      <c r="C221" s="34">
        <v>34600</v>
      </c>
      <c r="D221" s="35" t="s">
        <v>529</v>
      </c>
      <c r="E221" s="36">
        <v>0.98</v>
      </c>
      <c r="F221" s="37"/>
      <c r="G221" s="38"/>
      <c r="H221" s="39">
        <v>0.98</v>
      </c>
      <c r="I221" s="26" t="s">
        <v>469</v>
      </c>
      <c r="J221" s="27" t="s">
        <v>79</v>
      </c>
      <c r="K221" s="27"/>
      <c r="M221" s="58"/>
    </row>
    <row r="222" spans="1:13" x14ac:dyDescent="0.25">
      <c r="A222" s="26" t="str">
        <f t="shared" si="6"/>
        <v>Espiga 5/8x150x200 caps.1"</v>
      </c>
      <c r="B222" s="4" t="s">
        <v>530</v>
      </c>
      <c r="C222" s="34">
        <v>34469</v>
      </c>
      <c r="D222" s="35" t="s">
        <v>531</v>
      </c>
      <c r="E222" s="36">
        <v>0.51400000000000001</v>
      </c>
      <c r="F222" s="37"/>
      <c r="G222" s="38"/>
      <c r="H222" s="39">
        <v>0.51400000000000001</v>
      </c>
      <c r="I222" s="26" t="s">
        <v>469</v>
      </c>
      <c r="J222" s="27" t="s">
        <v>79</v>
      </c>
      <c r="K222" s="27"/>
      <c r="M222" s="58"/>
    </row>
    <row r="223" spans="1:13" x14ac:dyDescent="0.25">
      <c r="A223" s="26" t="str">
        <f t="shared" si="6"/>
        <v>Espiga 5/8x150x200 caps.1" Poliamida</v>
      </c>
      <c r="B223" s="4" t="s">
        <v>532</v>
      </c>
      <c r="C223" s="34">
        <v>34900</v>
      </c>
      <c r="D223" s="42" t="s">
        <v>533</v>
      </c>
      <c r="E223" s="34">
        <v>0.372</v>
      </c>
      <c r="F223" s="37"/>
      <c r="G223" s="38"/>
      <c r="H223" s="39">
        <v>0.372</v>
      </c>
      <c r="I223" s="26" t="s">
        <v>469</v>
      </c>
      <c r="J223" s="27" t="s">
        <v>79</v>
      </c>
      <c r="K223" s="27"/>
      <c r="M223" s="58"/>
    </row>
    <row r="224" spans="1:13" x14ac:dyDescent="0.25">
      <c r="A224" s="26" t="str">
        <f t="shared" si="6"/>
        <v xml:space="preserve">Espiga 5/8x150x300 caps.1" </v>
      </c>
      <c r="B224" s="4" t="s">
        <v>534</v>
      </c>
      <c r="C224" s="34">
        <v>34481</v>
      </c>
      <c r="D224" s="35" t="s">
        <v>535</v>
      </c>
      <c r="E224" s="36">
        <v>0.68100000000000005</v>
      </c>
      <c r="F224" s="37"/>
      <c r="G224" s="38"/>
      <c r="H224" s="39">
        <v>0.68100000000000005</v>
      </c>
      <c r="I224" s="26" t="s">
        <v>469</v>
      </c>
      <c r="J224" s="27" t="s">
        <v>79</v>
      </c>
      <c r="K224" s="27"/>
      <c r="M224" s="58"/>
    </row>
    <row r="225" spans="1:13" x14ac:dyDescent="0.25">
      <c r="A225" s="26" t="str">
        <f t="shared" si="6"/>
        <v>Espiga 5/8x150x300 caps.1" Poliamida</v>
      </c>
      <c r="B225" s="4" t="s">
        <v>536</v>
      </c>
      <c r="C225" s="34">
        <v>34261</v>
      </c>
      <c r="D225" s="35" t="s">
        <v>537</v>
      </c>
      <c r="E225" s="36">
        <v>0.52100000000000002</v>
      </c>
      <c r="F225" s="37"/>
      <c r="G225" s="38"/>
      <c r="H225" s="39">
        <v>0.52100000000000002</v>
      </c>
      <c r="I225" s="26" t="s">
        <v>469</v>
      </c>
      <c r="J225" s="27" t="s">
        <v>79</v>
      </c>
      <c r="K225" s="27"/>
      <c r="M225" s="58"/>
    </row>
    <row r="226" spans="1:13" x14ac:dyDescent="0.25">
      <c r="A226" s="26" t="str">
        <f t="shared" si="6"/>
        <v>Espiga 5/8x155x210 caps.1"</v>
      </c>
      <c r="B226" s="4" t="s">
        <v>538</v>
      </c>
      <c r="C226" s="34">
        <v>34858</v>
      </c>
      <c r="D226" s="35" t="s">
        <v>539</v>
      </c>
      <c r="E226" s="36">
        <v>0.51400000000000001</v>
      </c>
      <c r="F226" s="37"/>
      <c r="G226" s="38"/>
      <c r="H226" s="39">
        <v>0.51400000000000001</v>
      </c>
      <c r="I226" s="26" t="s">
        <v>469</v>
      </c>
      <c r="J226" s="27" t="s">
        <v>79</v>
      </c>
      <c r="K226" s="27"/>
      <c r="M226" s="58"/>
    </row>
    <row r="227" spans="1:13" x14ac:dyDescent="0.25">
      <c r="A227" s="26" t="str">
        <f t="shared" si="6"/>
        <v>Espiga 5/8x155x210 caps.1" Poliamida</v>
      </c>
      <c r="B227" s="4" t="s">
        <v>540</v>
      </c>
      <c r="C227" s="34">
        <v>35249</v>
      </c>
      <c r="D227" s="35" t="s">
        <v>541</v>
      </c>
      <c r="E227" s="36">
        <v>0.38800000000000001</v>
      </c>
      <c r="F227" s="37"/>
      <c r="G227" s="38"/>
      <c r="H227" s="39">
        <v>0.38800000000000001</v>
      </c>
      <c r="I227" s="26" t="s">
        <v>469</v>
      </c>
      <c r="J227" s="27" t="s">
        <v>79</v>
      </c>
      <c r="K227" s="27"/>
      <c r="M227" s="58"/>
    </row>
    <row r="228" spans="1:13" x14ac:dyDescent="0.25">
      <c r="A228" s="26" t="str">
        <f t="shared" si="6"/>
        <v>Espiga Punta Poste caps.1"</v>
      </c>
      <c r="B228" s="4" t="s">
        <v>542</v>
      </c>
      <c r="C228" s="34">
        <v>34625</v>
      </c>
      <c r="D228" s="35" t="s">
        <v>543</v>
      </c>
      <c r="E228" s="36">
        <v>1.125</v>
      </c>
      <c r="F228" s="37"/>
      <c r="G228" s="38"/>
      <c r="H228" s="39">
        <v>1.125</v>
      </c>
      <c r="I228" s="26" t="s">
        <v>469</v>
      </c>
      <c r="M228" s="58"/>
    </row>
    <row r="229" spans="1:13" x14ac:dyDescent="0.25">
      <c r="A229" s="26" t="str">
        <f t="shared" si="6"/>
        <v>Espiga Punta Poste caps.1" Poliamida</v>
      </c>
      <c r="B229" s="4" t="s">
        <v>544</v>
      </c>
      <c r="C229" s="34">
        <v>35890</v>
      </c>
      <c r="D229" s="35" t="s">
        <v>545</v>
      </c>
      <c r="E229" s="36">
        <v>0.95499999999999996</v>
      </c>
      <c r="F229" s="37"/>
      <c r="G229" s="38"/>
      <c r="H229" s="39">
        <v>0.95499999999999996</v>
      </c>
      <c r="I229" s="26" t="s">
        <v>469</v>
      </c>
      <c r="M229" s="58"/>
    </row>
    <row r="230" spans="1:13" x14ac:dyDescent="0.25">
      <c r="A230" s="26" t="str">
        <f t="shared" si="6"/>
        <v>Espiga Punta Poste caps.1.3/8" Poliamida</v>
      </c>
      <c r="B230" s="4" t="s">
        <v>546</v>
      </c>
      <c r="C230" s="34">
        <v>35998</v>
      </c>
      <c r="D230" s="35" t="s">
        <v>547</v>
      </c>
      <c r="E230" s="36">
        <v>1.7949999999999999</v>
      </c>
      <c r="F230" s="37"/>
      <c r="G230" s="38"/>
      <c r="H230" s="39">
        <v>1.7949999999999999</v>
      </c>
      <c r="I230" s="26" t="s">
        <v>469</v>
      </c>
      <c r="M230" s="58"/>
    </row>
    <row r="231" spans="1:13" x14ac:dyDescent="0.25">
      <c r="A231" s="26" t="str">
        <f t="shared" si="6"/>
        <v>Extensión p/Soporte de Paso 500x800x1300</v>
      </c>
      <c r="B231" s="4" t="s">
        <v>548</v>
      </c>
      <c r="C231" s="34">
        <v>35816</v>
      </c>
      <c r="D231" s="35" t="s">
        <v>549</v>
      </c>
      <c r="E231" s="36">
        <v>29.648</v>
      </c>
      <c r="F231" s="37"/>
      <c r="G231" s="38"/>
      <c r="H231" s="39">
        <v>29.648</v>
      </c>
      <c r="I231" s="26" t="s">
        <v>149</v>
      </c>
      <c r="M231" s="58"/>
    </row>
    <row r="232" spans="1:13" x14ac:dyDescent="0.25">
      <c r="A232" s="26" t="str">
        <f t="shared" si="6"/>
        <v>Estribo Metálico p/Brazo Tipo L</v>
      </c>
      <c r="B232" s="4" t="s">
        <v>550</v>
      </c>
      <c r="C232" s="34">
        <v>35895</v>
      </c>
      <c r="D232" s="35" t="s">
        <v>551</v>
      </c>
      <c r="E232" s="36">
        <v>1.3620000000000001</v>
      </c>
      <c r="F232" s="37"/>
      <c r="G232" s="38"/>
      <c r="H232" s="39">
        <v>1.3620000000000001</v>
      </c>
      <c r="I232" s="26" t="s">
        <v>149</v>
      </c>
      <c r="M232" s="58"/>
    </row>
    <row r="233" spans="1:13" x14ac:dyDescent="0.25">
      <c r="A233" s="26" t="str">
        <f t="shared" si="6"/>
        <v>Estribo p/Soporte L 622x650 70x170</v>
      </c>
      <c r="B233" s="4" t="s">
        <v>552</v>
      </c>
      <c r="C233" s="34">
        <v>36373</v>
      </c>
      <c r="D233" s="35" t="s">
        <v>553</v>
      </c>
      <c r="E233" s="36">
        <v>0.52</v>
      </c>
      <c r="F233" s="37"/>
      <c r="G233" s="38"/>
      <c r="H233" s="39">
        <v>0.52</v>
      </c>
      <c r="I233" s="26" t="s">
        <v>155</v>
      </c>
      <c r="M233" s="58"/>
    </row>
    <row r="234" spans="1:13" x14ac:dyDescent="0.25">
      <c r="A234" s="26" t="str">
        <f t="shared" si="6"/>
        <v>Fe Angulo 50x50x4x410</v>
      </c>
      <c r="B234" s="4" t="s">
        <v>554</v>
      </c>
      <c r="C234" s="34">
        <v>34413</v>
      </c>
      <c r="D234" s="35" t="s">
        <v>555</v>
      </c>
      <c r="E234" s="36">
        <v>1.2</v>
      </c>
      <c r="F234" s="37"/>
      <c r="G234" s="38"/>
      <c r="H234" s="39">
        <v>1.2</v>
      </c>
      <c r="I234" s="26" t="s">
        <v>556</v>
      </c>
      <c r="M234" s="58"/>
    </row>
    <row r="235" spans="1:13" x14ac:dyDescent="0.25">
      <c r="A235" s="26" t="str">
        <f t="shared" si="6"/>
        <v>Fe Angulo 50x50x5x410</v>
      </c>
      <c r="B235" s="4" t="s">
        <v>557</v>
      </c>
      <c r="C235" s="34">
        <v>38689</v>
      </c>
      <c r="D235" s="35" t="s">
        <v>558</v>
      </c>
      <c r="E235" s="36">
        <v>1.64</v>
      </c>
      <c r="F235" s="37"/>
      <c r="G235" s="38"/>
      <c r="H235" s="39">
        <v>1.64</v>
      </c>
      <c r="I235" s="26" t="s">
        <v>556</v>
      </c>
      <c r="M235" s="58"/>
    </row>
    <row r="236" spans="1:13" x14ac:dyDescent="0.25">
      <c r="A236" s="26" t="str">
        <f t="shared" si="6"/>
        <v>Fe Angulo 65x65x6x410 GV</v>
      </c>
      <c r="B236" s="4" t="s">
        <v>559</v>
      </c>
      <c r="C236" s="34">
        <v>36274</v>
      </c>
      <c r="D236" s="35" t="s">
        <v>560</v>
      </c>
      <c r="E236" s="36">
        <v>2.65</v>
      </c>
      <c r="F236" s="37"/>
      <c r="G236" s="38"/>
      <c r="H236" s="39">
        <v>2.65</v>
      </c>
      <c r="I236" s="26" t="s">
        <v>556</v>
      </c>
      <c r="M236" s="58"/>
    </row>
    <row r="237" spans="1:13" x14ac:dyDescent="0.25">
      <c r="A237" s="26" t="str">
        <f t="shared" si="6"/>
        <v>Fe Angulo 80x80x8x410 Am/Rey</v>
      </c>
      <c r="B237" s="4" t="s">
        <v>561</v>
      </c>
      <c r="C237" s="34">
        <v>34437</v>
      </c>
      <c r="D237" s="35" t="s">
        <v>562</v>
      </c>
      <c r="E237" s="36">
        <v>3.9</v>
      </c>
      <c r="F237" s="37"/>
      <c r="G237" s="38"/>
      <c r="H237" s="39">
        <v>3.9</v>
      </c>
      <c r="I237" s="26" t="s">
        <v>556</v>
      </c>
      <c r="M237" s="58"/>
    </row>
    <row r="238" spans="1:13" x14ac:dyDescent="0.25">
      <c r="A238" s="26" t="str">
        <f t="shared" si="6"/>
        <v>Fe Angulo 80x80x8x410 GV</v>
      </c>
      <c r="B238" s="4" t="s">
        <v>563</v>
      </c>
      <c r="C238" s="34">
        <v>34638</v>
      </c>
      <c r="D238" s="35" t="s">
        <v>564</v>
      </c>
      <c r="E238" s="36">
        <v>3.9</v>
      </c>
      <c r="F238" s="37"/>
      <c r="G238" s="38"/>
      <c r="H238" s="39">
        <v>3.9</v>
      </c>
      <c r="I238" s="26" t="s">
        <v>556</v>
      </c>
      <c r="M238" s="58"/>
    </row>
    <row r="239" spans="1:13" x14ac:dyDescent="0.25">
      <c r="A239" s="26" t="str">
        <f t="shared" si="6"/>
        <v>Fe Angulo c/gancho 80x80x6x375</v>
      </c>
      <c r="B239" s="4" t="s">
        <v>565</v>
      </c>
      <c r="C239" s="34">
        <v>34639</v>
      </c>
      <c r="D239" s="35" t="s">
        <v>566</v>
      </c>
      <c r="E239" s="36">
        <v>3.306</v>
      </c>
      <c r="F239" s="37"/>
      <c r="G239" s="38"/>
      <c r="H239" s="39">
        <v>3.306</v>
      </c>
      <c r="I239" s="26" t="s">
        <v>556</v>
      </c>
      <c r="M239" s="58"/>
    </row>
    <row r="240" spans="1:13" x14ac:dyDescent="0.25">
      <c r="A240" s="26" t="str">
        <f t="shared" si="6"/>
        <v>Fijación p/Cañería 1.1/2-2 - 1/2x300x100</v>
      </c>
      <c r="B240" s="4" t="s">
        <v>567</v>
      </c>
      <c r="C240" s="34">
        <v>34717</v>
      </c>
      <c r="D240" s="35" t="s">
        <v>568</v>
      </c>
      <c r="E240" s="36">
        <v>0.378</v>
      </c>
      <c r="F240" s="37" t="s">
        <v>113</v>
      </c>
      <c r="G240" s="38"/>
      <c r="H240" s="39">
        <v>0.378</v>
      </c>
      <c r="I240" s="26" t="s">
        <v>569</v>
      </c>
      <c r="M240" s="58"/>
    </row>
    <row r="241" spans="1:13" x14ac:dyDescent="0.25">
      <c r="A241" s="26" t="str">
        <f t="shared" si="6"/>
        <v>Fijación p/Cañería 2.1/2 - 1/2x300x100</v>
      </c>
      <c r="B241" s="4" t="s">
        <v>570</v>
      </c>
      <c r="C241" s="34">
        <v>36306</v>
      </c>
      <c r="D241" s="35" t="s">
        <v>571</v>
      </c>
      <c r="E241" s="36">
        <v>0.378</v>
      </c>
      <c r="F241" s="37"/>
      <c r="G241" s="38"/>
      <c r="H241" s="39">
        <v>0.378</v>
      </c>
      <c r="I241" s="26" t="s">
        <v>569</v>
      </c>
      <c r="M241" s="58"/>
    </row>
    <row r="242" spans="1:13" x14ac:dyDescent="0.25">
      <c r="A242" s="26" t="str">
        <f t="shared" si="6"/>
        <v>Fijación p/Cañería 1/2 - 1/2x10x3H</v>
      </c>
      <c r="B242" s="4" t="s">
        <v>572</v>
      </c>
      <c r="C242" s="34">
        <v>34533</v>
      </c>
      <c r="D242" s="35" t="s">
        <v>573</v>
      </c>
      <c r="E242" s="36">
        <v>0.26200000000000001</v>
      </c>
      <c r="F242" s="37" t="s">
        <v>113</v>
      </c>
      <c r="G242" s="38"/>
      <c r="H242" s="39">
        <v>0.26200000000000001</v>
      </c>
      <c r="I242" s="26" t="s">
        <v>569</v>
      </c>
      <c r="M242" s="58"/>
    </row>
    <row r="243" spans="1:13" x14ac:dyDescent="0.25">
      <c r="A243" s="26" t="str">
        <f t="shared" si="6"/>
        <v>Fijación p/Cañería 1/2 - 1/2x11.1/2</v>
      </c>
      <c r="B243" s="4" t="s">
        <v>574</v>
      </c>
      <c r="C243" s="34">
        <v>34830</v>
      </c>
      <c r="D243" s="35" t="s">
        <v>575</v>
      </c>
      <c r="E243" s="36">
        <v>0.316</v>
      </c>
      <c r="F243" s="37" t="s">
        <v>113</v>
      </c>
      <c r="G243" s="38"/>
      <c r="H243" s="39">
        <v>0.316</v>
      </c>
      <c r="I243" s="26" t="s">
        <v>569</v>
      </c>
      <c r="M243" s="58"/>
    </row>
    <row r="244" spans="1:13" x14ac:dyDescent="0.25">
      <c r="A244" s="26" t="str">
        <f t="shared" si="6"/>
        <v>Fijación p/Cañería 1/2 - 1/2x130</v>
      </c>
      <c r="B244" s="4" t="s">
        <v>576</v>
      </c>
      <c r="C244" s="34">
        <v>34878</v>
      </c>
      <c r="D244" s="35" t="s">
        <v>577</v>
      </c>
      <c r="E244" s="36">
        <v>0.16800000000000001</v>
      </c>
      <c r="F244" s="37" t="s">
        <v>113</v>
      </c>
      <c r="G244" s="38"/>
      <c r="H244" s="39">
        <v>0.16800000000000001</v>
      </c>
      <c r="I244" s="26" t="s">
        <v>569</v>
      </c>
      <c r="M244" s="58"/>
    </row>
    <row r="245" spans="1:13" x14ac:dyDescent="0.25">
      <c r="A245" s="26" t="str">
        <f t="shared" si="6"/>
        <v>Fijación p/Cañería 1/2 - 1/2x13x6H</v>
      </c>
      <c r="B245" s="4" t="s">
        <v>578</v>
      </c>
      <c r="C245" s="34">
        <v>34534</v>
      </c>
      <c r="D245" s="35" t="s">
        <v>579</v>
      </c>
      <c r="E245" s="36">
        <v>1.3120000000000001</v>
      </c>
      <c r="F245" s="37" t="s">
        <v>113</v>
      </c>
      <c r="G245" s="38"/>
      <c r="H245" s="39">
        <v>1.3120000000000001</v>
      </c>
      <c r="I245" s="26" t="s">
        <v>569</v>
      </c>
      <c r="M245" s="58"/>
    </row>
    <row r="246" spans="1:13" x14ac:dyDescent="0.25">
      <c r="A246" s="26" t="str">
        <f t="shared" si="6"/>
        <v>Fijación p/Cañería 1/2 - 1/2x5.1/2</v>
      </c>
      <c r="B246" s="4" t="s">
        <v>580</v>
      </c>
      <c r="C246" s="34">
        <v>34225</v>
      </c>
      <c r="D246" s="35" t="s">
        <v>581</v>
      </c>
      <c r="E246" s="36">
        <v>0.185</v>
      </c>
      <c r="F246" s="37" t="s">
        <v>113</v>
      </c>
      <c r="G246" s="38"/>
      <c r="H246" s="39">
        <v>0.185</v>
      </c>
      <c r="I246" s="26" t="s">
        <v>569</v>
      </c>
      <c r="M246" s="58"/>
    </row>
    <row r="247" spans="1:13" x14ac:dyDescent="0.25">
      <c r="A247" s="26" t="str">
        <f t="shared" si="6"/>
        <v>Fijación p/Cañería 1/2 - 1/2x150x75</v>
      </c>
      <c r="B247" s="4" t="s">
        <v>582</v>
      </c>
      <c r="C247" s="34">
        <v>35577</v>
      </c>
      <c r="D247" s="35" t="s">
        <v>583</v>
      </c>
      <c r="E247" s="36">
        <v>0.20860000000000001</v>
      </c>
      <c r="F247" s="37" t="s">
        <v>113</v>
      </c>
      <c r="G247" s="38"/>
      <c r="H247" s="39">
        <v>0.20860000000000001</v>
      </c>
      <c r="I247" s="26" t="s">
        <v>569</v>
      </c>
      <c r="M247" s="58"/>
    </row>
    <row r="248" spans="1:13" x14ac:dyDescent="0.25">
      <c r="A248" s="26" t="str">
        <f t="shared" si="6"/>
        <v>Fijación p/Cañería 1/2 - 1/2x8x5H</v>
      </c>
      <c r="B248" s="4" t="s">
        <v>584</v>
      </c>
      <c r="C248" s="34">
        <v>34532</v>
      </c>
      <c r="D248" s="35" t="s">
        <v>585</v>
      </c>
      <c r="E248" s="36">
        <v>0.25700000000000001</v>
      </c>
      <c r="F248" s="37" t="s">
        <v>113</v>
      </c>
      <c r="G248" s="38"/>
      <c r="H248" s="39">
        <v>0.25700000000000001</v>
      </c>
      <c r="I248" s="26" t="s">
        <v>569</v>
      </c>
      <c r="M248" s="58"/>
    </row>
    <row r="249" spans="1:13" x14ac:dyDescent="0.25">
      <c r="A249" s="26" t="str">
        <f t="shared" si="6"/>
        <v>Fijación p/Cañería 1/2 - 1/2x9x3H</v>
      </c>
      <c r="B249" s="4" t="s">
        <v>586</v>
      </c>
      <c r="C249" s="34">
        <v>34508</v>
      </c>
      <c r="D249" s="35" t="s">
        <v>587</v>
      </c>
      <c r="E249" s="36">
        <v>0.28199999999999997</v>
      </c>
      <c r="F249" s="37" t="s">
        <v>113</v>
      </c>
      <c r="G249" s="38"/>
      <c r="H249" s="39">
        <v>0.28199999999999997</v>
      </c>
      <c r="I249" s="26" t="s">
        <v>569</v>
      </c>
      <c r="M249" s="58"/>
    </row>
    <row r="250" spans="1:13" x14ac:dyDescent="0.25">
      <c r="A250" s="26" t="str">
        <f t="shared" si="6"/>
        <v>Fijación p/Cañería 1/2 - 1/2x292x100</v>
      </c>
      <c r="B250" s="4" t="s">
        <v>588</v>
      </c>
      <c r="C250" s="34">
        <v>36507</v>
      </c>
      <c r="D250" s="35" t="s">
        <v>589</v>
      </c>
      <c r="E250" s="36">
        <v>0.35</v>
      </c>
      <c r="F250" s="37" t="s">
        <v>113</v>
      </c>
      <c r="G250" s="38"/>
      <c r="H250" s="39">
        <v>0.35</v>
      </c>
      <c r="I250" s="26" t="s">
        <v>569</v>
      </c>
      <c r="M250" s="58"/>
    </row>
    <row r="251" spans="1:13" x14ac:dyDescent="0.25">
      <c r="A251" s="26" t="str">
        <f t="shared" si="6"/>
        <v>Fijación p/Cañería 1 - 1/2x300x100</v>
      </c>
      <c r="B251" s="4" t="s">
        <v>590</v>
      </c>
      <c r="C251" s="34">
        <v>35674</v>
      </c>
      <c r="D251" s="35" t="s">
        <v>591</v>
      </c>
      <c r="E251" s="36">
        <v>0.35</v>
      </c>
      <c r="F251" s="37" t="s">
        <v>113</v>
      </c>
      <c r="G251" s="38"/>
      <c r="H251" s="39">
        <v>0.35</v>
      </c>
      <c r="I251" s="26" t="s">
        <v>569</v>
      </c>
      <c r="M251" s="58"/>
    </row>
    <row r="252" spans="1:13" x14ac:dyDescent="0.25">
      <c r="A252" s="26" t="str">
        <f t="shared" si="6"/>
        <v>Fijación p/Cañería 1 - 1/2x380x100</v>
      </c>
      <c r="B252" s="4" t="s">
        <v>592</v>
      </c>
      <c r="C252" s="34">
        <v>36658</v>
      </c>
      <c r="D252" s="35" t="s">
        <v>593</v>
      </c>
      <c r="E252" s="36">
        <v>0.441</v>
      </c>
      <c r="F252" s="37" t="s">
        <v>113</v>
      </c>
      <c r="G252" s="38"/>
      <c r="H252" s="39">
        <v>0.441</v>
      </c>
      <c r="I252" s="26" t="s">
        <v>569</v>
      </c>
      <c r="M252" s="58"/>
    </row>
    <row r="253" spans="1:13" x14ac:dyDescent="0.25">
      <c r="A253" s="26" t="str">
        <f t="shared" si="6"/>
        <v>Fijación p/Cañería 3 - 1/2x300x100</v>
      </c>
      <c r="B253" s="4" t="s">
        <v>594</v>
      </c>
      <c r="C253" s="34">
        <v>34743</v>
      </c>
      <c r="D253" s="35" t="s">
        <v>595</v>
      </c>
      <c r="E253" s="36">
        <v>0.443</v>
      </c>
      <c r="F253" s="37" t="s">
        <v>113</v>
      </c>
      <c r="G253" s="38"/>
      <c r="H253" s="39">
        <v>0.443</v>
      </c>
      <c r="I253" s="26" t="s">
        <v>569</v>
      </c>
      <c r="M253" s="58"/>
    </row>
    <row r="254" spans="1:13" x14ac:dyDescent="0.25">
      <c r="A254" s="26" t="str">
        <f t="shared" si="6"/>
        <v>Fijación p/Cañería 4 - 1/2x300x100</v>
      </c>
      <c r="B254" s="4" t="s">
        <v>596</v>
      </c>
      <c r="C254" s="34">
        <v>34744</v>
      </c>
      <c r="D254" s="35" t="s">
        <v>597</v>
      </c>
      <c r="E254" s="36">
        <v>0.48499999999999999</v>
      </c>
      <c r="F254" s="37" t="s">
        <v>113</v>
      </c>
      <c r="G254" s="38"/>
      <c r="H254" s="39">
        <v>0.48499999999999999</v>
      </c>
      <c r="I254" s="26" t="s">
        <v>569</v>
      </c>
      <c r="M254" s="58"/>
    </row>
    <row r="255" spans="1:13" x14ac:dyDescent="0.25">
      <c r="A255" s="26" t="str">
        <f t="shared" si="6"/>
        <v>Fijación p/Cañería 4 - 5/8x12x4H</v>
      </c>
      <c r="B255" s="4" t="s">
        <v>598</v>
      </c>
      <c r="C255" s="34">
        <v>38880</v>
      </c>
      <c r="D255" s="35" t="s">
        <v>599</v>
      </c>
      <c r="E255" s="36">
        <v>0.77100000000000002</v>
      </c>
      <c r="F255" s="37" t="s">
        <v>123</v>
      </c>
      <c r="G255" s="38"/>
      <c r="H255" s="39">
        <v>0.80500000000000005</v>
      </c>
      <c r="I255" s="26" t="s">
        <v>569</v>
      </c>
      <c r="M255" s="58"/>
    </row>
    <row r="256" spans="1:13" x14ac:dyDescent="0.25">
      <c r="A256" s="26" t="str">
        <f t="shared" si="6"/>
        <v>Fijación p/Cañería M110 - 1/2x300x100</v>
      </c>
      <c r="B256" s="4" t="s">
        <v>600</v>
      </c>
      <c r="C256" s="34">
        <v>34555</v>
      </c>
      <c r="D256" s="35" t="s">
        <v>601</v>
      </c>
      <c r="E256" s="36">
        <v>0.56499999999999995</v>
      </c>
      <c r="F256" s="37" t="s">
        <v>113</v>
      </c>
      <c r="G256" s="38"/>
      <c r="H256" s="39">
        <v>0.56499999999999995</v>
      </c>
      <c r="I256" s="26" t="s">
        <v>569</v>
      </c>
      <c r="M256" s="58"/>
    </row>
    <row r="257" spans="1:13" x14ac:dyDescent="0.25">
      <c r="A257" s="26" t="str">
        <f t="shared" si="6"/>
        <v>Fijación p/Cañería M32 - 1/2x300x100</v>
      </c>
      <c r="B257" s="4" t="s">
        <v>602</v>
      </c>
      <c r="C257" s="34">
        <v>34745</v>
      </c>
      <c r="D257" s="35" t="s">
        <v>603</v>
      </c>
      <c r="E257" s="36">
        <v>0.31</v>
      </c>
      <c r="F257" s="37" t="s">
        <v>113</v>
      </c>
      <c r="G257" s="38"/>
      <c r="H257" s="39">
        <v>0.31</v>
      </c>
      <c r="I257" s="26" t="s">
        <v>569</v>
      </c>
      <c r="M257" s="58"/>
    </row>
    <row r="258" spans="1:13" x14ac:dyDescent="0.25">
      <c r="A258" s="26" t="str">
        <f t="shared" si="6"/>
        <v>Fijación p/Cañería M50 - 1/2x300</v>
      </c>
      <c r="B258" s="4" t="s">
        <v>604</v>
      </c>
      <c r="C258" s="34">
        <v>34829</v>
      </c>
      <c r="D258" s="35" t="s">
        <v>605</v>
      </c>
      <c r="E258" s="36">
        <v>0.31</v>
      </c>
      <c r="F258" s="37" t="s">
        <v>113</v>
      </c>
      <c r="G258" s="38"/>
      <c r="H258" s="39">
        <v>0.31</v>
      </c>
      <c r="I258" s="26" t="s">
        <v>569</v>
      </c>
      <c r="M258" s="58"/>
    </row>
    <row r="259" spans="1:13" x14ac:dyDescent="0.25">
      <c r="A259" s="26" t="str">
        <f t="shared" si="6"/>
        <v>Fijación p/Cañería M75 - 1/2x300x100</v>
      </c>
      <c r="B259" s="4" t="s">
        <v>606</v>
      </c>
      <c r="C259" s="34">
        <v>34406</v>
      </c>
      <c r="D259" s="35" t="s">
        <v>607</v>
      </c>
      <c r="E259" s="36">
        <v>0.46</v>
      </c>
      <c r="F259" s="37" t="s">
        <v>113</v>
      </c>
      <c r="G259" s="38"/>
      <c r="H259" s="39">
        <v>0.46</v>
      </c>
      <c r="I259" s="26" t="s">
        <v>569</v>
      </c>
      <c r="M259" s="58"/>
    </row>
    <row r="260" spans="1:13" x14ac:dyDescent="0.25">
      <c r="A260" s="26" t="str">
        <f t="shared" si="6"/>
        <v>Gancho p/Cruceta Remate 5/8x255</v>
      </c>
      <c r="B260" s="4" t="s">
        <v>608</v>
      </c>
      <c r="C260" s="34">
        <v>35796</v>
      </c>
      <c r="D260" s="35" t="s">
        <v>609</v>
      </c>
      <c r="E260" s="36">
        <v>0.4</v>
      </c>
      <c r="F260" s="37"/>
      <c r="G260" s="38"/>
      <c r="H260" s="39">
        <v>0.4</v>
      </c>
      <c r="I260" s="26" t="s">
        <v>306</v>
      </c>
      <c r="M260" s="58"/>
    </row>
    <row r="261" spans="1:13" x14ac:dyDescent="0.25">
      <c r="A261" s="26" t="str">
        <f t="shared" si="6"/>
        <v>Gancho p/Cruceta Rem Final 3/4x280</v>
      </c>
      <c r="B261" s="4" t="s">
        <v>610</v>
      </c>
      <c r="C261" s="34">
        <v>35303</v>
      </c>
      <c r="D261" s="35" t="s">
        <v>611</v>
      </c>
      <c r="E261" s="36">
        <v>6.2600000000000003E-2</v>
      </c>
      <c r="F261" s="37" t="s">
        <v>190</v>
      </c>
      <c r="G261" s="38"/>
      <c r="H261" s="39">
        <v>6.2600000000000003E-2</v>
      </c>
      <c r="I261" s="26" t="s">
        <v>306</v>
      </c>
      <c r="M261" s="58"/>
    </row>
    <row r="262" spans="1:13" x14ac:dyDescent="0.25">
      <c r="A262" s="26" t="str">
        <f t="shared" si="6"/>
        <v>Gancho p/Cruceta Riostra 50x5x230mm</v>
      </c>
      <c r="B262" s="4" t="s">
        <v>612</v>
      </c>
      <c r="C262" s="34">
        <v>37992</v>
      </c>
      <c r="D262" s="35" t="s">
        <v>613</v>
      </c>
      <c r="E262" s="36">
        <v>0.36799999999999999</v>
      </c>
      <c r="F262" s="37"/>
      <c r="G262" s="38"/>
      <c r="H262" s="39">
        <v>0.36799999999999999</v>
      </c>
      <c r="I262" s="26" t="s">
        <v>306</v>
      </c>
      <c r="M262" s="58"/>
    </row>
    <row r="263" spans="1:13" x14ac:dyDescent="0.25">
      <c r="A263" s="26" t="str">
        <f t="shared" si="6"/>
        <v>Gancho p/Regleta 4.1/2</v>
      </c>
      <c r="B263" s="4" t="s">
        <v>614</v>
      </c>
      <c r="C263" s="34">
        <v>34825</v>
      </c>
      <c r="D263" s="35" t="s">
        <v>615</v>
      </c>
      <c r="E263" s="36">
        <v>0.29599999999999999</v>
      </c>
      <c r="F263" s="37" t="s">
        <v>616</v>
      </c>
      <c r="G263" s="38"/>
      <c r="H263" s="39">
        <v>0.29599999999999999</v>
      </c>
      <c r="I263" s="26" t="s">
        <v>149</v>
      </c>
      <c r="M263" s="58"/>
    </row>
    <row r="264" spans="1:13" x14ac:dyDescent="0.25">
      <c r="A264" s="26" t="str">
        <f t="shared" si="6"/>
        <v>Gancho p/Regleta 7.1/2</v>
      </c>
      <c r="B264" s="4" t="s">
        <v>617</v>
      </c>
      <c r="C264" s="34">
        <v>36114</v>
      </c>
      <c r="D264" s="35" t="s">
        <v>618</v>
      </c>
      <c r="E264" s="36">
        <v>0.42</v>
      </c>
      <c r="F264" s="37"/>
      <c r="G264" s="38"/>
      <c r="H264" s="39">
        <v>0.42</v>
      </c>
      <c r="I264" s="26" t="s">
        <v>149</v>
      </c>
      <c r="M264" s="58"/>
    </row>
    <row r="265" spans="1:13" x14ac:dyDescent="0.25">
      <c r="A265" s="26" t="str">
        <f t="shared" si="6"/>
        <v>Gancho p/Regleta Tipo 1  240mm</v>
      </c>
      <c r="B265" s="4" t="s">
        <v>619</v>
      </c>
      <c r="C265" s="34">
        <v>35033</v>
      </c>
      <c r="D265" s="35" t="s">
        <v>620</v>
      </c>
      <c r="E265" s="36">
        <v>0.67500000000000004</v>
      </c>
      <c r="F265" s="37"/>
      <c r="G265" s="38"/>
      <c r="H265" s="39">
        <v>0.67500000000000004</v>
      </c>
      <c r="I265" s="26" t="s">
        <v>149</v>
      </c>
      <c r="M265" s="58"/>
    </row>
    <row r="266" spans="1:13" x14ac:dyDescent="0.25">
      <c r="A266" s="26" t="str">
        <f t="shared" si="6"/>
        <v>Gancho T/Araña</v>
      </c>
      <c r="B266" s="4" t="s">
        <v>621</v>
      </c>
      <c r="C266" s="34">
        <v>34447</v>
      </c>
      <c r="D266" s="35" t="s">
        <v>622</v>
      </c>
      <c r="E266" s="36">
        <v>2.0750000000000002</v>
      </c>
      <c r="F266" s="37"/>
      <c r="G266" s="38"/>
      <c r="H266" s="39">
        <v>2.0750000000000002</v>
      </c>
      <c r="I266" s="26" t="s">
        <v>155</v>
      </c>
      <c r="M266" s="58"/>
    </row>
    <row r="267" spans="1:13" x14ac:dyDescent="0.25">
      <c r="A267" s="26" t="str">
        <f t="shared" si="6"/>
        <v>Golilla 32x5x25 p/Soporte Tipo L</v>
      </c>
      <c r="B267" s="4" t="s">
        <v>623</v>
      </c>
      <c r="C267" s="34">
        <v>35238</v>
      </c>
      <c r="D267" s="35" t="s">
        <v>624</v>
      </c>
      <c r="E267" s="36">
        <v>0.03</v>
      </c>
      <c r="F267" s="37" t="s">
        <v>625</v>
      </c>
      <c r="G267" s="38"/>
      <c r="H267" s="39">
        <v>0.03</v>
      </c>
      <c r="I267" s="26" t="s">
        <v>626</v>
      </c>
      <c r="M267" s="58"/>
    </row>
    <row r="268" spans="1:13" x14ac:dyDescent="0.25">
      <c r="A268" s="26" t="str">
        <f t="shared" si="6"/>
        <v>Golilla 32x32x5x12</v>
      </c>
      <c r="B268" s="4" t="s">
        <v>627</v>
      </c>
      <c r="C268" s="34">
        <v>38902</v>
      </c>
      <c r="D268" s="35" t="s">
        <v>628</v>
      </c>
      <c r="E268" s="36">
        <v>3.4000000000000002E-2</v>
      </c>
      <c r="F268" s="37"/>
      <c r="G268" s="38"/>
      <c r="H268" s="39">
        <v>3.4000000000000002E-2</v>
      </c>
      <c r="I268" s="26" t="s">
        <v>629</v>
      </c>
      <c r="M268" s="58"/>
    </row>
    <row r="269" spans="1:13" x14ac:dyDescent="0.25">
      <c r="A269" s="26" t="str">
        <f t="shared" si="6"/>
        <v>Golilla 100x100x5x18</v>
      </c>
      <c r="B269" s="4" t="s">
        <v>630</v>
      </c>
      <c r="C269" s="34">
        <v>34954</v>
      </c>
      <c r="D269" s="35" t="s">
        <v>631</v>
      </c>
      <c r="E269" s="36">
        <v>0.38640000000000002</v>
      </c>
      <c r="F269" s="37"/>
      <c r="G269" s="38"/>
      <c r="H269" s="39">
        <v>0.38640000000000002</v>
      </c>
      <c r="I269" s="26" t="s">
        <v>629</v>
      </c>
      <c r="M269" s="58"/>
    </row>
    <row r="270" spans="1:13" x14ac:dyDescent="0.25">
      <c r="A270" s="26" t="str">
        <f t="shared" si="6"/>
        <v>Golilla 100x100x5x21</v>
      </c>
      <c r="B270" s="4" t="s">
        <v>632</v>
      </c>
      <c r="C270" s="34">
        <v>35289</v>
      </c>
      <c r="D270" s="35" t="s">
        <v>633</v>
      </c>
      <c r="E270" s="36">
        <v>0.38919999999999999</v>
      </c>
      <c r="F270" s="37"/>
      <c r="G270" s="38"/>
      <c r="H270" s="39">
        <v>0.38919999999999999</v>
      </c>
      <c r="I270" s="26" t="s">
        <v>629</v>
      </c>
      <c r="M270" s="58"/>
    </row>
    <row r="271" spans="1:13" x14ac:dyDescent="0.25">
      <c r="A271" s="26" t="str">
        <f t="shared" si="6"/>
        <v>Golilla 100x100x6x21</v>
      </c>
      <c r="B271" s="4" t="s">
        <v>634</v>
      </c>
      <c r="C271" s="34">
        <v>34955</v>
      </c>
      <c r="D271" s="35" t="s">
        <v>635</v>
      </c>
      <c r="E271" s="36">
        <v>0.45</v>
      </c>
      <c r="F271" s="37"/>
      <c r="G271" s="38"/>
      <c r="H271" s="39">
        <v>0.45</v>
      </c>
      <c r="I271" s="26" t="s">
        <v>629</v>
      </c>
      <c r="M271" s="58"/>
    </row>
    <row r="272" spans="1:13" x14ac:dyDescent="0.25">
      <c r="A272" s="26" t="str">
        <f t="shared" si="6"/>
        <v>Golilla 100x100x12x21</v>
      </c>
      <c r="B272" s="4" t="s">
        <v>636</v>
      </c>
      <c r="C272" s="34">
        <v>35184</v>
      </c>
      <c r="D272" s="35" t="s">
        <v>637</v>
      </c>
      <c r="E272" s="36">
        <v>1.25</v>
      </c>
      <c r="F272" s="37"/>
      <c r="G272" s="38"/>
      <c r="H272" s="39">
        <v>1.25</v>
      </c>
      <c r="I272" s="26" t="s">
        <v>629</v>
      </c>
      <c r="M272" s="58"/>
    </row>
    <row r="273" spans="1:13" x14ac:dyDescent="0.25">
      <c r="A273" s="26" t="str">
        <f t="shared" si="6"/>
        <v>Golilla 38x38x3x14</v>
      </c>
      <c r="B273" s="4" t="s">
        <v>638</v>
      </c>
      <c r="C273" s="34">
        <v>34574</v>
      </c>
      <c r="D273" s="42" t="s">
        <v>639</v>
      </c>
      <c r="E273" s="34">
        <v>3.5000000000000003E-2</v>
      </c>
      <c r="F273" s="37"/>
      <c r="G273" s="38"/>
      <c r="H273" s="39">
        <v>3.5000000000000003E-2</v>
      </c>
      <c r="I273" s="26" t="s">
        <v>629</v>
      </c>
      <c r="M273" s="58"/>
    </row>
    <row r="274" spans="1:13" x14ac:dyDescent="0.25">
      <c r="A274" s="26" t="str">
        <f t="shared" si="6"/>
        <v>Golilla 40x40x5x14</v>
      </c>
      <c r="B274" s="4" t="s">
        <v>640</v>
      </c>
      <c r="C274" s="34">
        <v>35052</v>
      </c>
      <c r="D274" s="35" t="s">
        <v>641</v>
      </c>
      <c r="E274" s="36">
        <v>5.3199999999999997E-2</v>
      </c>
      <c r="F274" s="37"/>
      <c r="G274" s="38"/>
      <c r="H274" s="39">
        <v>5.3199999999999997E-2</v>
      </c>
      <c r="I274" s="26" t="s">
        <v>629</v>
      </c>
      <c r="M274" s="58"/>
    </row>
    <row r="275" spans="1:13" x14ac:dyDescent="0.25">
      <c r="A275" s="26" t="str">
        <f t="shared" si="6"/>
        <v>Golilla 40x40x5x18</v>
      </c>
      <c r="B275" s="4" t="s">
        <v>642</v>
      </c>
      <c r="C275" s="34">
        <v>34757</v>
      </c>
      <c r="D275" s="35" t="s">
        <v>643</v>
      </c>
      <c r="E275" s="36">
        <v>4.8000000000000001E-2</v>
      </c>
      <c r="F275" s="37"/>
      <c r="G275" s="38"/>
      <c r="H275" s="39">
        <v>4.8000000000000001E-2</v>
      </c>
      <c r="I275" s="26" t="s">
        <v>629</v>
      </c>
      <c r="M275" s="58"/>
    </row>
    <row r="276" spans="1:13" x14ac:dyDescent="0.25">
      <c r="A276" s="26" t="str">
        <f t="shared" si="6"/>
        <v>Golilla 40x40x5x21</v>
      </c>
      <c r="B276" s="4" t="s">
        <v>644</v>
      </c>
      <c r="C276" s="34">
        <v>34765</v>
      </c>
      <c r="D276" s="35" t="s">
        <v>645</v>
      </c>
      <c r="E276" s="36">
        <v>4.4600000000000001E-2</v>
      </c>
      <c r="F276" s="37"/>
      <c r="G276" s="38"/>
      <c r="H276" s="39">
        <v>4.4600000000000001E-2</v>
      </c>
      <c r="I276" s="26" t="s">
        <v>629</v>
      </c>
      <c r="M276" s="58"/>
    </row>
    <row r="277" spans="1:13" x14ac:dyDescent="0.25">
      <c r="A277" s="26" t="str">
        <f t="shared" si="6"/>
        <v>Golilla 50x50x5x18</v>
      </c>
      <c r="B277" s="4" t="s">
        <v>646</v>
      </c>
      <c r="C277" s="34">
        <v>34953</v>
      </c>
      <c r="D277" s="42" t="s">
        <v>647</v>
      </c>
      <c r="E277" s="34">
        <v>0.09</v>
      </c>
      <c r="F277" s="37"/>
      <c r="G277" s="38"/>
      <c r="H277" s="39">
        <v>0.09</v>
      </c>
      <c r="I277" s="26" t="s">
        <v>629</v>
      </c>
      <c r="M277" s="58"/>
    </row>
    <row r="278" spans="1:13" x14ac:dyDescent="0.25">
      <c r="A278" s="26" t="str">
        <f t="shared" si="6"/>
        <v>Golilla 50x50x5x21</v>
      </c>
      <c r="B278" s="4" t="s">
        <v>648</v>
      </c>
      <c r="C278" s="34">
        <v>34952</v>
      </c>
      <c r="D278" s="35" t="s">
        <v>649</v>
      </c>
      <c r="E278" s="36">
        <v>8.5999999999999993E-2</v>
      </c>
      <c r="F278" s="37"/>
      <c r="G278" s="38"/>
      <c r="H278" s="39">
        <v>8.5999999999999993E-2</v>
      </c>
      <c r="I278" s="26" t="s">
        <v>629</v>
      </c>
      <c r="M278" s="58"/>
    </row>
    <row r="279" spans="1:13" x14ac:dyDescent="0.25">
      <c r="A279" s="26" t="str">
        <f t="shared" si="6"/>
        <v>Golilla 76x76x5x18</v>
      </c>
      <c r="B279" s="4" t="s">
        <v>650</v>
      </c>
      <c r="C279" s="34">
        <v>34464</v>
      </c>
      <c r="D279" s="35" t="s">
        <v>651</v>
      </c>
      <c r="E279" s="36">
        <v>0.22700000000000001</v>
      </c>
      <c r="F279" s="37"/>
      <c r="G279" s="38"/>
      <c r="H279" s="39">
        <v>0.22700000000000001</v>
      </c>
      <c r="I279" s="26" t="s">
        <v>629</v>
      </c>
      <c r="M279" s="58"/>
    </row>
    <row r="280" spans="1:13" x14ac:dyDescent="0.25">
      <c r="A280" s="26" t="str">
        <f t="shared" si="6"/>
        <v>Golilla Copa 81x22x17x6 - 22</v>
      </c>
      <c r="B280" s="4" t="s">
        <v>652</v>
      </c>
      <c r="C280" s="34">
        <v>35291</v>
      </c>
      <c r="D280" s="35" t="s">
        <v>653</v>
      </c>
      <c r="E280" s="36">
        <v>0.46300000000000002</v>
      </c>
      <c r="F280" s="37"/>
      <c r="G280" s="38"/>
      <c r="H280" s="39">
        <v>0.46300000000000002</v>
      </c>
      <c r="I280" s="26" t="s">
        <v>270</v>
      </c>
      <c r="M280" s="58"/>
    </row>
    <row r="281" spans="1:13" x14ac:dyDescent="0.25">
      <c r="A281" s="26" t="str">
        <f t="shared" ref="A281:A348" si="7">B281&amp;K281</f>
        <v>Golilla Descentrada 47x47x5x21</v>
      </c>
      <c r="B281" s="4" t="s">
        <v>654</v>
      </c>
      <c r="C281" s="34">
        <v>35083</v>
      </c>
      <c r="D281" s="35" t="s">
        <v>655</v>
      </c>
      <c r="E281" s="36">
        <v>0.08</v>
      </c>
      <c r="F281" s="37"/>
      <c r="G281" s="38"/>
      <c r="H281" s="39">
        <v>0.08</v>
      </c>
      <c r="I281" s="26" t="s">
        <v>270</v>
      </c>
      <c r="M281" s="58"/>
    </row>
    <row r="282" spans="1:13" x14ac:dyDescent="0.25">
      <c r="A282" s="26" t="str">
        <f t="shared" si="7"/>
        <v>Golilla Descentrada 50x50x5x18</v>
      </c>
      <c r="B282" s="4" t="s">
        <v>656</v>
      </c>
      <c r="C282" s="34">
        <v>36052</v>
      </c>
      <c r="D282" s="35" t="s">
        <v>657</v>
      </c>
      <c r="E282" s="36">
        <v>0.09</v>
      </c>
      <c r="F282" s="37"/>
      <c r="G282" s="38"/>
      <c r="H282" s="39">
        <v>0.09</v>
      </c>
      <c r="I282" s="26" t="s">
        <v>270</v>
      </c>
      <c r="M282" s="58"/>
    </row>
    <row r="283" spans="1:13" x14ac:dyDescent="0.25">
      <c r="A283" s="26" t="str">
        <f t="shared" si="7"/>
        <v>Golilla Descentrada 50x50x5x18 NG</v>
      </c>
      <c r="B283" s="4" t="s">
        <v>658</v>
      </c>
      <c r="C283" s="34">
        <v>36686</v>
      </c>
      <c r="D283" s="35" t="s">
        <v>659</v>
      </c>
      <c r="E283" s="36">
        <v>0.09</v>
      </c>
      <c r="F283" s="37"/>
      <c r="G283" s="38"/>
      <c r="H283" s="39">
        <v>0.09</v>
      </c>
      <c r="I283" s="26" t="s">
        <v>270</v>
      </c>
      <c r="M283" s="58"/>
    </row>
    <row r="284" spans="1:13" x14ac:dyDescent="0.25">
      <c r="A284" s="26" t="str">
        <f t="shared" si="7"/>
        <v>Golilla Descentrada 50x50x5x21</v>
      </c>
      <c r="B284" s="4" t="s">
        <v>660</v>
      </c>
      <c r="C284" s="34">
        <v>37163</v>
      </c>
      <c r="D284" s="35" t="s">
        <v>661</v>
      </c>
      <c r="E284" s="36">
        <v>0.09</v>
      </c>
      <c r="F284" s="37"/>
      <c r="G284" s="38"/>
      <c r="H284" s="39">
        <v>0.09</v>
      </c>
      <c r="I284" s="26" t="s">
        <v>270</v>
      </c>
      <c r="M284" s="58"/>
    </row>
    <row r="285" spans="1:13" x14ac:dyDescent="0.25">
      <c r="A285" s="26" t="str">
        <f t="shared" si="7"/>
        <v>Golilla Plana Red Esp. 44x24x4(7/8")</v>
      </c>
      <c r="B285" s="4" t="s">
        <v>662</v>
      </c>
      <c r="C285" s="34">
        <v>34491</v>
      </c>
      <c r="D285" s="35" t="s">
        <v>663</v>
      </c>
      <c r="E285" s="36">
        <v>3.2000000000000001E-2</v>
      </c>
      <c r="F285" s="37"/>
      <c r="G285" s="38"/>
      <c r="H285" s="39">
        <v>3.2000000000000001E-2</v>
      </c>
      <c r="I285" s="26" t="s">
        <v>270</v>
      </c>
      <c r="M285" s="58"/>
    </row>
    <row r="286" spans="1:13" x14ac:dyDescent="0.25">
      <c r="A286" s="26" t="str">
        <f t="shared" si="7"/>
        <v>Golilla Plana Red Esp. 44x27x4(1")</v>
      </c>
      <c r="B286" s="4" t="s">
        <v>664</v>
      </c>
      <c r="C286" s="34">
        <v>34492</v>
      </c>
      <c r="D286" s="35" t="s">
        <v>665</v>
      </c>
      <c r="E286" s="36">
        <v>0.03</v>
      </c>
      <c r="F286" s="37"/>
      <c r="G286" s="38"/>
      <c r="H286" s="39">
        <v>0.03</v>
      </c>
      <c r="I286" s="26" t="s">
        <v>270</v>
      </c>
      <c r="M286" s="58"/>
    </row>
    <row r="287" spans="1:13" x14ac:dyDescent="0.25">
      <c r="A287" s="52" t="str">
        <f t="shared" si="7"/>
        <v>Grillete 12mm, ojo chico1° GOLPE</v>
      </c>
      <c r="B287" s="45" t="s">
        <v>666</v>
      </c>
      <c r="C287" s="46">
        <v>34808</v>
      </c>
      <c r="D287" s="47" t="s">
        <v>667</v>
      </c>
      <c r="E287" s="48">
        <v>0.223</v>
      </c>
      <c r="F287" s="49" t="s">
        <v>113</v>
      </c>
      <c r="G287" s="50"/>
      <c r="H287" s="51">
        <v>0.223</v>
      </c>
      <c r="I287" s="52" t="s">
        <v>668</v>
      </c>
      <c r="J287" s="52" t="s">
        <v>77</v>
      </c>
      <c r="K287" s="52" t="s">
        <v>1670</v>
      </c>
      <c r="L287" s="52">
        <v>171</v>
      </c>
      <c r="M287" s="58">
        <v>1</v>
      </c>
    </row>
    <row r="288" spans="1:13" x14ac:dyDescent="0.25">
      <c r="A288" s="52" t="str">
        <f t="shared" ref="A288:A291" si="8">B288&amp;K288</f>
        <v>Grillete 12mm, ojo chico2° GOLPE</v>
      </c>
      <c r="B288" s="45" t="s">
        <v>666</v>
      </c>
      <c r="C288" s="46">
        <v>34808</v>
      </c>
      <c r="D288" s="47" t="s">
        <v>667</v>
      </c>
      <c r="E288" s="48">
        <v>0.223</v>
      </c>
      <c r="F288" s="49" t="s">
        <v>113</v>
      </c>
      <c r="G288" s="50"/>
      <c r="H288" s="51">
        <v>0.223</v>
      </c>
      <c r="I288" s="52" t="s">
        <v>668</v>
      </c>
      <c r="J288" s="52" t="s">
        <v>77</v>
      </c>
      <c r="K288" s="52" t="s">
        <v>1671</v>
      </c>
      <c r="L288" s="52">
        <v>200</v>
      </c>
      <c r="M288" s="58">
        <v>2</v>
      </c>
    </row>
    <row r="289" spans="1:13" x14ac:dyDescent="0.25">
      <c r="A289" s="52" t="str">
        <f t="shared" si="8"/>
        <v>Grillete 12mm, ojo chicoREBABAR</v>
      </c>
      <c r="B289" s="45" t="s">
        <v>666</v>
      </c>
      <c r="C289" s="46">
        <v>34808</v>
      </c>
      <c r="D289" s="47" t="s">
        <v>667</v>
      </c>
      <c r="E289" s="48">
        <v>0.223</v>
      </c>
      <c r="F289" s="49" t="s">
        <v>113</v>
      </c>
      <c r="G289" s="50"/>
      <c r="H289" s="51">
        <v>0.223</v>
      </c>
      <c r="I289" s="52" t="s">
        <v>668</v>
      </c>
      <c r="J289" s="52" t="s">
        <v>62</v>
      </c>
      <c r="K289" s="52" t="s">
        <v>1602</v>
      </c>
      <c r="L289" s="52">
        <v>240</v>
      </c>
      <c r="M289" s="58">
        <v>3</v>
      </c>
    </row>
    <row r="290" spans="1:13" x14ac:dyDescent="0.25">
      <c r="A290" s="52" t="str">
        <f t="shared" si="8"/>
        <v xml:space="preserve">Grillete 12mm, ojo chicoPERFORAR </v>
      </c>
      <c r="B290" s="45" t="s">
        <v>666</v>
      </c>
      <c r="C290" s="46">
        <v>34808</v>
      </c>
      <c r="D290" s="47" t="s">
        <v>667</v>
      </c>
      <c r="E290" s="48">
        <v>0.223</v>
      </c>
      <c r="F290" s="49" t="s">
        <v>113</v>
      </c>
      <c r="G290" s="50"/>
      <c r="H290" s="51">
        <v>0.223</v>
      </c>
      <c r="I290" s="52" t="s">
        <v>668</v>
      </c>
      <c r="J290" s="52" t="s">
        <v>1674</v>
      </c>
      <c r="K290" s="52" t="s">
        <v>1672</v>
      </c>
      <c r="L290" s="52">
        <v>225</v>
      </c>
      <c r="M290" s="58">
        <v>4</v>
      </c>
    </row>
    <row r="291" spans="1:13" x14ac:dyDescent="0.25">
      <c r="A291" s="52" t="str">
        <f t="shared" si="8"/>
        <v>Grillete 12mm, ojo chicoFORJAR</v>
      </c>
      <c r="B291" s="45" t="s">
        <v>666</v>
      </c>
      <c r="C291" s="46">
        <v>34808</v>
      </c>
      <c r="D291" s="47" t="s">
        <v>667</v>
      </c>
      <c r="E291" s="48">
        <v>0.223</v>
      </c>
      <c r="F291" s="49" t="s">
        <v>113</v>
      </c>
      <c r="G291" s="50" t="s">
        <v>1638</v>
      </c>
      <c r="H291" s="51">
        <v>0.223</v>
      </c>
      <c r="I291" s="52" t="s">
        <v>668</v>
      </c>
      <c r="J291" s="52" t="s">
        <v>78</v>
      </c>
      <c r="K291" s="52" t="s">
        <v>1673</v>
      </c>
      <c r="L291" s="52">
        <v>175</v>
      </c>
      <c r="M291" s="58">
        <v>5</v>
      </c>
    </row>
    <row r="292" spans="1:13" x14ac:dyDescent="0.25">
      <c r="A292" s="26" t="str">
        <f t="shared" si="7"/>
        <v>Grillete 12mm, ojo grande</v>
      </c>
      <c r="B292" s="4" t="s">
        <v>669</v>
      </c>
      <c r="C292" s="34">
        <v>34759</v>
      </c>
      <c r="D292" s="35" t="s">
        <v>670</v>
      </c>
      <c r="E292" s="36">
        <v>0.34</v>
      </c>
      <c r="F292" s="37" t="s">
        <v>113</v>
      </c>
      <c r="G292" s="38"/>
      <c r="H292" s="39">
        <v>0.34</v>
      </c>
      <c r="I292" s="26" t="s">
        <v>668</v>
      </c>
      <c r="M292" s="58"/>
    </row>
    <row r="293" spans="1:13" x14ac:dyDescent="0.25">
      <c r="A293" s="26" t="str">
        <f t="shared" si="7"/>
        <v>Grillete Forjado 16mm</v>
      </c>
      <c r="B293" s="4" t="s">
        <v>671</v>
      </c>
      <c r="C293" s="34">
        <v>36356</v>
      </c>
      <c r="D293" s="35" t="s">
        <v>672</v>
      </c>
      <c r="E293" s="36">
        <v>0.50446000000000002</v>
      </c>
      <c r="F293" s="37"/>
      <c r="G293" s="38"/>
      <c r="H293" s="39">
        <v>0.50446000000000002</v>
      </c>
      <c r="I293" s="26" t="s">
        <v>668</v>
      </c>
      <c r="M293" s="58"/>
    </row>
    <row r="294" spans="1:13" x14ac:dyDescent="0.25">
      <c r="A294" s="26" t="str">
        <f t="shared" si="7"/>
        <v>Grillete Forjado 16mm, perf.21</v>
      </c>
      <c r="B294" s="4" t="s">
        <v>673</v>
      </c>
      <c r="C294" s="34">
        <v>34791</v>
      </c>
      <c r="D294" s="42" t="s">
        <v>672</v>
      </c>
      <c r="E294" s="34">
        <v>0.504</v>
      </c>
      <c r="F294" s="37"/>
      <c r="G294" s="38"/>
      <c r="H294" s="39">
        <v>0.504</v>
      </c>
      <c r="I294" s="26" t="s">
        <v>668</v>
      </c>
      <c r="M294" s="58"/>
    </row>
    <row r="295" spans="1:13" x14ac:dyDescent="0.25">
      <c r="A295" s="26" t="str">
        <f t="shared" si="7"/>
        <v>Grillete recto 14mm, perf.18</v>
      </c>
      <c r="B295" s="4" t="s">
        <v>674</v>
      </c>
      <c r="C295" s="34">
        <v>34242</v>
      </c>
      <c r="D295" s="35" t="s">
        <v>675</v>
      </c>
      <c r="E295" s="36">
        <v>0.32200000000000001</v>
      </c>
      <c r="F295" s="37"/>
      <c r="G295" s="38"/>
      <c r="H295" s="39">
        <v>0.32200000000000001</v>
      </c>
      <c r="I295" s="26" t="s">
        <v>668</v>
      </c>
      <c r="M295" s="58"/>
    </row>
    <row r="296" spans="1:13" x14ac:dyDescent="0.25">
      <c r="A296" s="26" t="str">
        <f t="shared" si="7"/>
        <v>Grillete recto 14mm, perf.21</v>
      </c>
      <c r="B296" s="4" t="s">
        <v>676</v>
      </c>
      <c r="C296" s="34">
        <v>34450</v>
      </c>
      <c r="D296" s="35" t="s">
        <v>677</v>
      </c>
      <c r="E296" s="36">
        <v>0.31</v>
      </c>
      <c r="F296" s="37"/>
      <c r="G296" s="38"/>
      <c r="H296" s="39">
        <v>0.31</v>
      </c>
      <c r="I296" s="26" t="s">
        <v>668</v>
      </c>
      <c r="M296" s="58"/>
    </row>
    <row r="297" spans="1:13" x14ac:dyDescent="0.25">
      <c r="A297" s="26" t="str">
        <f t="shared" si="7"/>
        <v>Grillete recto 16mm, perf.18</v>
      </c>
      <c r="B297" s="4" t="s">
        <v>678</v>
      </c>
      <c r="C297" s="34">
        <v>35423</v>
      </c>
      <c r="D297" s="35" t="s">
        <v>679</v>
      </c>
      <c r="E297" s="36">
        <v>0.45600000000000002</v>
      </c>
      <c r="F297" s="37"/>
      <c r="G297" s="38"/>
      <c r="H297" s="39">
        <v>0.45600000000000002</v>
      </c>
      <c r="I297" s="26" t="s">
        <v>668</v>
      </c>
      <c r="M297" s="58"/>
    </row>
    <row r="298" spans="1:13" x14ac:dyDescent="0.25">
      <c r="A298" s="26" t="str">
        <f t="shared" si="7"/>
        <v>Grillete recto 16mm, perf.21</v>
      </c>
      <c r="B298" s="4" t="s">
        <v>680</v>
      </c>
      <c r="C298" s="34">
        <v>34945</v>
      </c>
      <c r="D298" s="42" t="s">
        <v>681</v>
      </c>
      <c r="E298" s="34">
        <v>0.45600000000000002</v>
      </c>
      <c r="F298" s="40"/>
      <c r="G298" s="41"/>
      <c r="H298" s="39">
        <v>0.45600000000000002</v>
      </c>
      <c r="I298" s="26" t="s">
        <v>668</v>
      </c>
      <c r="M298" s="58"/>
    </row>
    <row r="299" spans="1:13" x14ac:dyDescent="0.25">
      <c r="A299" s="26" t="str">
        <f t="shared" si="7"/>
        <v>Mordaza Prensa Conexión a tierra (clip)</v>
      </c>
      <c r="B299" s="4" t="s">
        <v>682</v>
      </c>
      <c r="C299" s="34">
        <v>34441</v>
      </c>
      <c r="D299" s="35" t="s">
        <v>301</v>
      </c>
      <c r="E299" s="36">
        <v>3.2000000000000001E-2</v>
      </c>
      <c r="F299" s="37"/>
      <c r="G299" s="38"/>
      <c r="H299" s="39">
        <v>3.2000000000000001E-2</v>
      </c>
      <c r="I299" s="26" t="s">
        <v>149</v>
      </c>
      <c r="M299" s="58"/>
    </row>
    <row r="300" spans="1:13" x14ac:dyDescent="0.25">
      <c r="A300" s="26" t="str">
        <f t="shared" si="7"/>
        <v>Pasador 12x105</v>
      </c>
      <c r="B300" s="4" t="s">
        <v>683</v>
      </c>
      <c r="C300" s="34">
        <v>32999</v>
      </c>
      <c r="D300" s="35" t="s">
        <v>684</v>
      </c>
      <c r="E300" s="36">
        <v>9.5880000000000007E-2</v>
      </c>
      <c r="F300" s="37" t="s">
        <v>113</v>
      </c>
      <c r="G300" s="38"/>
      <c r="H300" s="39">
        <v>9.5880000000000007E-2</v>
      </c>
      <c r="I300" s="26" t="s">
        <v>155</v>
      </c>
      <c r="M300" s="58"/>
    </row>
    <row r="301" spans="1:13" x14ac:dyDescent="0.25">
      <c r="A301" s="26" t="str">
        <f t="shared" si="7"/>
        <v>Pasador 1/2x275</v>
      </c>
      <c r="B301" s="4" t="s">
        <v>685</v>
      </c>
      <c r="C301" s="34">
        <v>34904</v>
      </c>
      <c r="D301" s="42" t="s">
        <v>686</v>
      </c>
      <c r="E301" s="34">
        <v>0.28499999999999998</v>
      </c>
      <c r="F301" s="37" t="s">
        <v>113</v>
      </c>
      <c r="G301" s="38"/>
      <c r="H301" s="39">
        <v>0.28499999999999998</v>
      </c>
      <c r="I301" s="26" t="s">
        <v>155</v>
      </c>
      <c r="M301" s="58"/>
    </row>
    <row r="302" spans="1:13" x14ac:dyDescent="0.25">
      <c r="A302" s="26" t="str">
        <f t="shared" si="7"/>
        <v>Pasador 1/2x80</v>
      </c>
      <c r="B302" s="4" t="s">
        <v>687</v>
      </c>
      <c r="C302" s="34">
        <v>34909</v>
      </c>
      <c r="D302" s="42" t="s">
        <v>688</v>
      </c>
      <c r="E302" s="34">
        <v>8.7999999999999995E-2</v>
      </c>
      <c r="F302" s="37" t="s">
        <v>113</v>
      </c>
      <c r="G302" s="38"/>
      <c r="H302" s="39">
        <v>8.7999999999999995E-2</v>
      </c>
      <c r="I302" s="26" t="s">
        <v>689</v>
      </c>
      <c r="M302" s="58"/>
    </row>
    <row r="303" spans="1:13" x14ac:dyDescent="0.25">
      <c r="A303" s="26" t="str">
        <f t="shared" si="7"/>
        <v>Pasador 3/4x65</v>
      </c>
      <c r="B303" s="4" t="s">
        <v>690</v>
      </c>
      <c r="C303" s="34">
        <v>36357</v>
      </c>
      <c r="D303" s="42" t="s">
        <v>691</v>
      </c>
      <c r="E303" s="34">
        <v>0.20100000000000001</v>
      </c>
      <c r="F303" s="37"/>
      <c r="G303" s="38"/>
      <c r="H303" s="39">
        <v>0.20100000000000001</v>
      </c>
      <c r="I303" s="26" t="s">
        <v>668</v>
      </c>
      <c r="M303" s="58"/>
    </row>
    <row r="304" spans="1:13" x14ac:dyDescent="0.25">
      <c r="A304" s="26" t="str">
        <f t="shared" si="7"/>
        <v>Pasador 3/8x216 (c/1 perforación)</v>
      </c>
      <c r="B304" s="4" t="s">
        <v>692</v>
      </c>
      <c r="C304" s="34">
        <v>34656</v>
      </c>
      <c r="D304" s="35" t="s">
        <v>693</v>
      </c>
      <c r="E304" s="36">
        <v>0.14799999999999999</v>
      </c>
      <c r="F304" s="37"/>
      <c r="G304" s="38"/>
      <c r="H304" s="39">
        <v>0.14799999999999999</v>
      </c>
      <c r="I304" s="26" t="s">
        <v>155</v>
      </c>
      <c r="M304" s="58"/>
    </row>
    <row r="305" spans="1:13" x14ac:dyDescent="0.25">
      <c r="A305" s="26" t="str">
        <f t="shared" si="7"/>
        <v>Pasador 3/8x217 (c/2 perforaciones)</v>
      </c>
      <c r="B305" s="4" t="s">
        <v>694</v>
      </c>
      <c r="C305" s="34">
        <v>30176</v>
      </c>
      <c r="D305" s="35" t="s">
        <v>695</v>
      </c>
      <c r="E305" s="36">
        <v>0.13300000000000001</v>
      </c>
      <c r="F305" s="37"/>
      <c r="G305" s="38"/>
      <c r="H305" s="39">
        <v>0.13300000000000001</v>
      </c>
      <c r="I305" s="26" t="s">
        <v>155</v>
      </c>
      <c r="M305" s="58"/>
    </row>
    <row r="306" spans="1:13" x14ac:dyDescent="0.25">
      <c r="A306" s="26" t="str">
        <f t="shared" si="7"/>
        <v>Pasador 3/8x72</v>
      </c>
      <c r="B306" s="4" t="s">
        <v>696</v>
      </c>
      <c r="C306" s="34">
        <v>34411</v>
      </c>
      <c r="D306" s="35" t="s">
        <v>697</v>
      </c>
      <c r="E306" s="36">
        <v>5.3999999999999999E-2</v>
      </c>
      <c r="F306" s="37"/>
      <c r="G306" s="38"/>
      <c r="H306" s="39">
        <v>5.3999999999999999E-2</v>
      </c>
      <c r="I306" s="26" t="s">
        <v>689</v>
      </c>
      <c r="M306" s="58"/>
    </row>
    <row r="307" spans="1:13" x14ac:dyDescent="0.25">
      <c r="A307" s="26" t="str">
        <f t="shared" si="7"/>
        <v>Pasador 5/8x50</v>
      </c>
      <c r="B307" s="4" t="s">
        <v>698</v>
      </c>
      <c r="C307" s="34">
        <v>34753</v>
      </c>
      <c r="D307" s="35" t="s">
        <v>699</v>
      </c>
      <c r="E307" s="36">
        <v>0.105</v>
      </c>
      <c r="F307" s="37"/>
      <c r="G307" s="38"/>
      <c r="H307" s="39">
        <v>0.105</v>
      </c>
      <c r="I307" s="26" t="s">
        <v>155</v>
      </c>
      <c r="M307" s="58"/>
    </row>
    <row r="308" spans="1:13" x14ac:dyDescent="0.25">
      <c r="A308" s="26" t="str">
        <f t="shared" si="7"/>
        <v>Pasador 5/8x60</v>
      </c>
      <c r="B308" s="4" t="s">
        <v>700</v>
      </c>
      <c r="C308" s="34">
        <v>34810</v>
      </c>
      <c r="D308" s="35" t="s">
        <v>701</v>
      </c>
      <c r="E308" s="36">
        <v>0.128</v>
      </c>
      <c r="F308" s="37"/>
      <c r="G308" s="38"/>
      <c r="H308" s="39">
        <v>0.128</v>
      </c>
      <c r="I308" s="26" t="s">
        <v>668</v>
      </c>
      <c r="M308" s="58"/>
    </row>
    <row r="309" spans="1:13" x14ac:dyDescent="0.25">
      <c r="A309" s="26" t="str">
        <f t="shared" si="7"/>
        <v>Pasador 5/8x66</v>
      </c>
      <c r="B309" s="4" t="s">
        <v>702</v>
      </c>
      <c r="C309" s="34">
        <v>35194</v>
      </c>
      <c r="D309" s="35" t="s">
        <v>703</v>
      </c>
      <c r="E309" s="36">
        <v>0.12</v>
      </c>
      <c r="F309" s="37"/>
      <c r="G309" s="38"/>
      <c r="H309" s="39">
        <v>0.12</v>
      </c>
      <c r="I309" s="26" t="s">
        <v>155</v>
      </c>
      <c r="M309" s="58"/>
    </row>
    <row r="310" spans="1:13" x14ac:dyDescent="0.25">
      <c r="A310" s="26" t="str">
        <f t="shared" si="7"/>
        <v>Pasador 5/8x610</v>
      </c>
      <c r="B310" s="4" t="s">
        <v>704</v>
      </c>
      <c r="C310" s="34">
        <v>34724</v>
      </c>
      <c r="D310" s="35" t="s">
        <v>705</v>
      </c>
      <c r="E310" s="36">
        <v>0.98</v>
      </c>
      <c r="F310" s="37" t="s">
        <v>123</v>
      </c>
      <c r="G310" s="38"/>
      <c r="H310" s="39">
        <v>0.98</v>
      </c>
      <c r="I310" s="26" t="s">
        <v>155</v>
      </c>
      <c r="M310" s="58"/>
    </row>
    <row r="311" spans="1:13" x14ac:dyDescent="0.25">
      <c r="A311" s="26" t="str">
        <f t="shared" si="7"/>
        <v>Pasador 5/8x910mm</v>
      </c>
      <c r="B311" s="4" t="s">
        <v>706</v>
      </c>
      <c r="C311" s="34">
        <v>35970</v>
      </c>
      <c r="D311" s="35" t="s">
        <v>707</v>
      </c>
      <c r="E311" s="36">
        <v>1.47</v>
      </c>
      <c r="F311" s="37"/>
      <c r="G311" s="38"/>
      <c r="H311" s="39">
        <v>1.47</v>
      </c>
      <c r="I311" s="26" t="s">
        <v>155</v>
      </c>
      <c r="M311" s="58"/>
    </row>
    <row r="312" spans="1:13" x14ac:dyDescent="0.25">
      <c r="A312" s="26" t="str">
        <f t="shared" si="7"/>
        <v>Pasador Cab. Chica 5/8x2</v>
      </c>
      <c r="B312" s="4" t="s">
        <v>708</v>
      </c>
      <c r="C312" s="34">
        <v>34921</v>
      </c>
      <c r="D312" s="42" t="s">
        <v>709</v>
      </c>
      <c r="E312" s="34">
        <v>9.5000000000000001E-2</v>
      </c>
      <c r="F312" s="37"/>
      <c r="G312" s="38"/>
      <c r="H312" s="39">
        <v>9.5000000000000001E-2</v>
      </c>
      <c r="I312" s="26" t="s">
        <v>155</v>
      </c>
      <c r="M312" s="58"/>
    </row>
    <row r="313" spans="1:13" x14ac:dyDescent="0.25">
      <c r="A313" s="26" t="str">
        <f t="shared" si="7"/>
        <v>Pasador Cab. Red 5/8x50 (28x10)</v>
      </c>
      <c r="B313" s="4" t="s">
        <v>710</v>
      </c>
      <c r="C313" s="34">
        <v>35313</v>
      </c>
      <c r="D313" s="42" t="s">
        <v>711</v>
      </c>
      <c r="E313" s="34">
        <v>0.105</v>
      </c>
      <c r="F313" s="37" t="s">
        <v>123</v>
      </c>
      <c r="G313" s="38"/>
      <c r="H313" s="39">
        <v>0.105</v>
      </c>
      <c r="I313" s="26" t="s">
        <v>155</v>
      </c>
      <c r="M313" s="58"/>
    </row>
    <row r="314" spans="1:13" x14ac:dyDescent="0.25">
      <c r="A314" s="26" t="str">
        <f t="shared" si="7"/>
        <v>Pasador M16x102</v>
      </c>
      <c r="B314" s="4" t="s">
        <v>712</v>
      </c>
      <c r="C314" s="34">
        <v>34250</v>
      </c>
      <c r="D314" s="35" t="s">
        <v>713</v>
      </c>
      <c r="E314" s="36">
        <v>0.191</v>
      </c>
      <c r="F314" s="37"/>
      <c r="G314" s="38"/>
      <c r="H314" s="39">
        <v>0.191</v>
      </c>
      <c r="I314" s="26" t="s">
        <v>689</v>
      </c>
      <c r="M314" s="58"/>
    </row>
    <row r="315" spans="1:13" x14ac:dyDescent="0.25">
      <c r="A315" s="26" t="str">
        <f t="shared" si="7"/>
        <v>Perfil C p/Poste 80x40x4x580mm</v>
      </c>
      <c r="B315" s="4" t="s">
        <v>714</v>
      </c>
      <c r="C315" s="34">
        <v>35204</v>
      </c>
      <c r="D315" s="35" t="s">
        <v>715</v>
      </c>
      <c r="E315" s="36">
        <v>2.72</v>
      </c>
      <c r="F315" s="37"/>
      <c r="G315" s="38"/>
      <c r="H315" s="39">
        <v>2.72</v>
      </c>
      <c r="I315" s="26" t="s">
        <v>149</v>
      </c>
      <c r="M315" s="58"/>
    </row>
    <row r="316" spans="1:13" x14ac:dyDescent="0.25">
      <c r="A316" s="26" t="str">
        <f t="shared" si="7"/>
        <v>Perfil L p/Poste 40x40x5x312mm</v>
      </c>
      <c r="B316" s="4" t="s">
        <v>716</v>
      </c>
      <c r="C316" s="34">
        <v>35205</v>
      </c>
      <c r="D316" s="35" t="s">
        <v>717</v>
      </c>
      <c r="E316" s="36">
        <v>0.92</v>
      </c>
      <c r="F316" s="37"/>
      <c r="G316" s="38"/>
      <c r="H316" s="39">
        <v>0.92</v>
      </c>
      <c r="I316" s="26" t="s">
        <v>149</v>
      </c>
      <c r="M316" s="58"/>
    </row>
    <row r="317" spans="1:13" x14ac:dyDescent="0.25">
      <c r="A317" s="26" t="str">
        <f t="shared" si="7"/>
        <v>Perfil Ext. Metálica 125x45x5x2400</v>
      </c>
      <c r="B317" s="4" t="s">
        <v>718</v>
      </c>
      <c r="C317" s="34">
        <v>35338</v>
      </c>
      <c r="D317" s="35" t="s">
        <v>719</v>
      </c>
      <c r="E317" s="36">
        <v>22.8</v>
      </c>
      <c r="F317" s="37"/>
      <c r="G317" s="38"/>
      <c r="H317" s="39">
        <v>22.8</v>
      </c>
      <c r="I317" s="26" t="s">
        <v>149</v>
      </c>
      <c r="M317" s="58"/>
    </row>
    <row r="318" spans="1:13" x14ac:dyDescent="0.25">
      <c r="A318" s="26" t="str">
        <f t="shared" si="7"/>
        <v>Perfil Ext. Metálica 80x35x5x2410</v>
      </c>
      <c r="B318" s="4" t="s">
        <v>720</v>
      </c>
      <c r="C318" s="34">
        <v>34771</v>
      </c>
      <c r="D318" s="35" t="s">
        <v>721</v>
      </c>
      <c r="E318" s="36">
        <v>12.6</v>
      </c>
      <c r="F318" s="37"/>
      <c r="G318" s="38"/>
      <c r="H318" s="39">
        <v>12.6</v>
      </c>
      <c r="I318" s="26" t="s">
        <v>149</v>
      </c>
      <c r="M318" s="58"/>
    </row>
    <row r="319" spans="1:13" x14ac:dyDescent="0.25">
      <c r="A319" s="26" t="str">
        <f t="shared" si="7"/>
        <v>Perno Anclaje Pata Partida 1/2x6.1/2</v>
      </c>
      <c r="B319" s="4" t="s">
        <v>722</v>
      </c>
      <c r="C319" s="34">
        <v>34445</v>
      </c>
      <c r="D319" s="35" t="s">
        <v>723</v>
      </c>
      <c r="E319" s="36">
        <v>0.152</v>
      </c>
      <c r="F319" s="37" t="s">
        <v>113</v>
      </c>
      <c r="G319" s="38"/>
      <c r="H319" s="39">
        <v>0.152</v>
      </c>
      <c r="I319" s="26" t="s">
        <v>724</v>
      </c>
      <c r="M319" s="58"/>
    </row>
    <row r="320" spans="1:13" x14ac:dyDescent="0.25">
      <c r="A320" s="26" t="str">
        <f t="shared" si="7"/>
        <v>Perno Anclaje Pata Partida 1/2x6.1/2x2H</v>
      </c>
      <c r="B320" s="4" t="s">
        <v>725</v>
      </c>
      <c r="C320" s="34">
        <v>37577</v>
      </c>
      <c r="D320" s="35" t="s">
        <v>726</v>
      </c>
      <c r="E320" s="36">
        <v>0.1163</v>
      </c>
      <c r="F320" s="37"/>
      <c r="G320" s="38"/>
      <c r="H320" s="39">
        <v>0.1163</v>
      </c>
      <c r="I320" s="26" t="s">
        <v>724</v>
      </c>
      <c r="M320" s="58"/>
    </row>
    <row r="321" spans="1:13" x14ac:dyDescent="0.25">
      <c r="A321" s="26" t="str">
        <f t="shared" si="7"/>
        <v>Perno Anclaje Recto HAE 3/8x550x100Hx50H</v>
      </c>
      <c r="B321" s="4" t="s">
        <v>727</v>
      </c>
      <c r="C321" s="34">
        <v>38896</v>
      </c>
      <c r="D321" s="35" t="s">
        <v>728</v>
      </c>
      <c r="E321" s="36">
        <v>1.8260000000000001</v>
      </c>
      <c r="F321" s="37"/>
      <c r="G321" s="38"/>
      <c r="H321" s="39">
        <v>1.8260000000000001</v>
      </c>
      <c r="I321" s="26" t="s">
        <v>729</v>
      </c>
      <c r="M321" s="58"/>
    </row>
    <row r="322" spans="1:13" x14ac:dyDescent="0.25">
      <c r="A322" s="26" t="str">
        <f t="shared" si="7"/>
        <v>Perno Anclaje Recto 5/8x600x100H</v>
      </c>
      <c r="B322" s="4" t="s">
        <v>730</v>
      </c>
      <c r="C322" s="34">
        <v>35390</v>
      </c>
      <c r="D322" s="35" t="s">
        <v>731</v>
      </c>
      <c r="E322" s="36">
        <v>0.93</v>
      </c>
      <c r="F322" s="37"/>
      <c r="G322" s="38"/>
      <c r="H322" s="39">
        <v>0.93</v>
      </c>
      <c r="I322" s="26" t="s">
        <v>729</v>
      </c>
      <c r="M322" s="58"/>
    </row>
    <row r="323" spans="1:13" x14ac:dyDescent="0.25">
      <c r="A323" s="26" t="str">
        <f t="shared" si="7"/>
        <v>Perno Anclaje Tipo J 1/2x480x100mm</v>
      </c>
      <c r="B323" s="4" t="s">
        <v>732</v>
      </c>
      <c r="C323" s="34">
        <v>35190</v>
      </c>
      <c r="D323" s="35" t="s">
        <v>733</v>
      </c>
      <c r="E323" s="36">
        <v>0.68</v>
      </c>
      <c r="F323" s="37" t="s">
        <v>113</v>
      </c>
      <c r="G323" s="38"/>
      <c r="H323" s="39">
        <v>0.68</v>
      </c>
      <c r="I323" s="26" t="s">
        <v>729</v>
      </c>
      <c r="M323" s="58"/>
    </row>
    <row r="324" spans="1:13" x14ac:dyDescent="0.25">
      <c r="A324" s="26" t="str">
        <f t="shared" si="7"/>
        <v>Perno Anclaje Tipo J 7/8x2150x250H  r50</v>
      </c>
      <c r="B324" s="4" t="s">
        <v>734</v>
      </c>
      <c r="C324" s="34">
        <v>35454</v>
      </c>
      <c r="D324" s="35" t="s">
        <v>735</v>
      </c>
      <c r="E324" s="36">
        <v>6.56</v>
      </c>
      <c r="F324" s="37" t="s">
        <v>736</v>
      </c>
      <c r="G324" s="38"/>
      <c r="H324" s="39">
        <v>6.56</v>
      </c>
      <c r="I324" s="26" t="s">
        <v>729</v>
      </c>
      <c r="M324" s="58"/>
    </row>
    <row r="325" spans="1:13" x14ac:dyDescent="0.25">
      <c r="A325" s="26" t="str">
        <f t="shared" si="7"/>
        <v xml:space="preserve">Perno Anclaje Tipo J 1.1/8x995x100H </v>
      </c>
      <c r="B325" s="4" t="s">
        <v>737</v>
      </c>
      <c r="C325" s="34">
        <v>38732</v>
      </c>
      <c r="D325" s="35" t="s">
        <v>738</v>
      </c>
      <c r="E325" s="36">
        <v>5.09</v>
      </c>
      <c r="F325" s="37"/>
      <c r="G325" s="38"/>
      <c r="H325" s="39">
        <v>5.09</v>
      </c>
      <c r="I325" s="26" t="s">
        <v>729</v>
      </c>
      <c r="M325" s="58"/>
    </row>
    <row r="326" spans="1:13" x14ac:dyDescent="0.25">
      <c r="A326" s="26" t="str">
        <f t="shared" si="7"/>
        <v>Perno Anclaje Tipo J 1.1/8x2150x250H  r50</v>
      </c>
      <c r="B326" s="4" t="s">
        <v>739</v>
      </c>
      <c r="C326" s="34">
        <v>35455</v>
      </c>
      <c r="D326" s="35" t="s">
        <v>740</v>
      </c>
      <c r="E326" s="36">
        <v>10.8</v>
      </c>
      <c r="F326" s="37" t="s">
        <v>741</v>
      </c>
      <c r="G326" s="38"/>
      <c r="H326" s="39">
        <v>10.8</v>
      </c>
      <c r="I326" s="26" t="s">
        <v>724</v>
      </c>
      <c r="M326" s="58"/>
    </row>
    <row r="327" spans="1:13" x14ac:dyDescent="0.25">
      <c r="A327" s="26" t="str">
        <f t="shared" si="7"/>
        <v>Perno Anclaje Tipo J 1.3/8x2150x250H  r50</v>
      </c>
      <c r="B327" s="4" t="s">
        <v>742</v>
      </c>
      <c r="C327" s="34">
        <v>35008</v>
      </c>
      <c r="D327" s="35" t="s">
        <v>743</v>
      </c>
      <c r="E327" s="36">
        <v>16</v>
      </c>
      <c r="F327" s="37"/>
      <c r="G327" s="38"/>
      <c r="H327" s="39">
        <v>16</v>
      </c>
      <c r="I327" s="26" t="s">
        <v>724</v>
      </c>
      <c r="M327" s="58"/>
    </row>
    <row r="328" spans="1:13" x14ac:dyDescent="0.25">
      <c r="A328" s="26" t="str">
        <f t="shared" si="7"/>
        <v>Perno Anclaje Tipo J 1.3/8x2600x250H  r50</v>
      </c>
      <c r="B328" s="4" t="s">
        <v>744</v>
      </c>
      <c r="C328" s="34">
        <v>36054</v>
      </c>
      <c r="D328" s="35" t="s">
        <v>745</v>
      </c>
      <c r="E328" s="36">
        <v>19.350000000000001</v>
      </c>
      <c r="F328" s="37"/>
      <c r="G328" s="38"/>
      <c r="H328" s="39">
        <v>19.350000000000001</v>
      </c>
      <c r="I328" s="26" t="s">
        <v>724</v>
      </c>
      <c r="M328" s="58"/>
    </row>
    <row r="329" spans="1:13" x14ac:dyDescent="0.25">
      <c r="A329" s="26" t="str">
        <f t="shared" si="7"/>
        <v xml:space="preserve">Perno Anclaje Tipo L 1x700x100x100H </v>
      </c>
      <c r="B329" s="4" t="s">
        <v>746</v>
      </c>
      <c r="C329" s="34">
        <v>36904</v>
      </c>
      <c r="D329" s="35" t="s">
        <v>747</v>
      </c>
      <c r="E329" s="36">
        <v>3.02</v>
      </c>
      <c r="F329" s="37"/>
      <c r="G329" s="38"/>
      <c r="H329" s="39">
        <v>3.02</v>
      </c>
      <c r="I329" s="26" t="s">
        <v>724</v>
      </c>
      <c r="M329" s="58"/>
    </row>
    <row r="330" spans="1:13" x14ac:dyDescent="0.25">
      <c r="A330" s="26" t="str">
        <f t="shared" si="7"/>
        <v>Perno Anclaje Tipo L 1.1/4x1500x150x150H</v>
      </c>
      <c r="B330" s="4" t="s">
        <v>748</v>
      </c>
      <c r="C330" s="34">
        <v>34991</v>
      </c>
      <c r="D330" s="42" t="s">
        <v>749</v>
      </c>
      <c r="E330" s="34">
        <v>10.18</v>
      </c>
      <c r="F330" s="37"/>
      <c r="G330" s="38"/>
      <c r="H330" s="39">
        <v>10.18</v>
      </c>
      <c r="I330" s="26" t="s">
        <v>724</v>
      </c>
      <c r="M330" s="58"/>
    </row>
    <row r="331" spans="1:13" x14ac:dyDescent="0.25">
      <c r="A331" s="26" t="str">
        <f t="shared" si="7"/>
        <v>Perno Anclaje Tipo L 1.1/4x1600</v>
      </c>
      <c r="B331" s="4" t="s">
        <v>750</v>
      </c>
      <c r="C331" s="34">
        <v>34521</v>
      </c>
      <c r="D331" s="35" t="s">
        <v>751</v>
      </c>
      <c r="E331" s="36">
        <v>11</v>
      </c>
      <c r="F331" s="37"/>
      <c r="G331" s="38"/>
      <c r="H331" s="39">
        <v>11</v>
      </c>
      <c r="I331" s="26" t="s">
        <v>724</v>
      </c>
      <c r="M331" s="58"/>
    </row>
    <row r="332" spans="1:13" x14ac:dyDescent="0.25">
      <c r="A332" s="26" t="str">
        <f t="shared" si="7"/>
        <v>Perno Anclaje Tipo L 1/2x1000x100x100H</v>
      </c>
      <c r="B332" s="4" t="s">
        <v>752</v>
      </c>
      <c r="C332" s="34">
        <v>35091</v>
      </c>
      <c r="D332" s="42" t="s">
        <v>753</v>
      </c>
      <c r="E332" s="34">
        <v>1.1919999999999999</v>
      </c>
      <c r="F332" s="37" t="s">
        <v>113</v>
      </c>
      <c r="G332" s="38"/>
      <c r="H332" s="39">
        <v>1.1919999999999999</v>
      </c>
      <c r="I332" s="26" t="s">
        <v>724</v>
      </c>
      <c r="M332" s="58"/>
    </row>
    <row r="333" spans="1:13" x14ac:dyDescent="0.25">
      <c r="A333" s="26" t="str">
        <f t="shared" si="7"/>
        <v>Perno Anclaje Tipo L 3/4x400x100x100H</v>
      </c>
      <c r="B333" s="4" t="s">
        <v>754</v>
      </c>
      <c r="C333" s="34">
        <v>34990</v>
      </c>
      <c r="D333" s="42" t="s">
        <v>755</v>
      </c>
      <c r="E333" s="34">
        <v>1.32</v>
      </c>
      <c r="F333" s="40"/>
      <c r="G333" s="41"/>
      <c r="H333" s="39">
        <v>1.32</v>
      </c>
      <c r="I333" s="26" t="s">
        <v>729</v>
      </c>
      <c r="M333" s="58"/>
    </row>
    <row r="334" spans="1:13" x14ac:dyDescent="0.25">
      <c r="A334" s="26" t="str">
        <f t="shared" si="7"/>
        <v>Perno Anclaje Tipo L 3/4x500</v>
      </c>
      <c r="B334" s="4" t="s">
        <v>756</v>
      </c>
      <c r="C334" s="34">
        <v>34616</v>
      </c>
      <c r="D334" s="35" t="s">
        <v>757</v>
      </c>
      <c r="E334" s="36">
        <v>1.5</v>
      </c>
      <c r="F334" s="40"/>
      <c r="G334" s="41"/>
      <c r="H334" s="39">
        <v>1.5</v>
      </c>
      <c r="I334" s="26" t="s">
        <v>724</v>
      </c>
      <c r="M334" s="58"/>
    </row>
    <row r="335" spans="1:13" x14ac:dyDescent="0.25">
      <c r="A335" s="26" t="str">
        <f t="shared" si="7"/>
        <v>Perno Anclaje Tipo L 3/4x540x70x100H</v>
      </c>
      <c r="B335" s="4" t="s">
        <v>758</v>
      </c>
      <c r="C335" s="34">
        <v>35092</v>
      </c>
      <c r="D335" s="42" t="s">
        <v>759</v>
      </c>
      <c r="E335" s="34">
        <v>1.4</v>
      </c>
      <c r="F335" s="37"/>
      <c r="G335" s="38"/>
      <c r="H335" s="39">
        <v>1.4</v>
      </c>
      <c r="I335" s="26" t="s">
        <v>724</v>
      </c>
      <c r="M335" s="58"/>
    </row>
    <row r="336" spans="1:13" x14ac:dyDescent="0.25">
      <c r="A336" s="26" t="str">
        <f t="shared" si="7"/>
        <v>Perno Anclaje Tipo L 3/4x600x100x100H</v>
      </c>
      <c r="B336" s="4" t="s">
        <v>760</v>
      </c>
      <c r="C336" s="34">
        <v>37407</v>
      </c>
      <c r="D336" s="42" t="s">
        <v>761</v>
      </c>
      <c r="E336" s="34">
        <v>1.6</v>
      </c>
      <c r="F336" s="37"/>
      <c r="G336" s="38"/>
      <c r="H336" s="39">
        <v>1.6</v>
      </c>
      <c r="I336" s="26" t="s">
        <v>729</v>
      </c>
      <c r="M336" s="58"/>
    </row>
    <row r="337" spans="1:13" x14ac:dyDescent="0.25">
      <c r="A337" s="26" t="str">
        <f t="shared" si="7"/>
        <v>Perno Anclaje Tipo L 5/8x500</v>
      </c>
      <c r="B337" s="4" t="s">
        <v>762</v>
      </c>
      <c r="C337" s="34">
        <v>34636</v>
      </c>
      <c r="D337" s="35" t="s">
        <v>763</v>
      </c>
      <c r="E337" s="36">
        <v>1</v>
      </c>
      <c r="F337" s="37"/>
      <c r="G337" s="38"/>
      <c r="H337" s="39">
        <v>1</v>
      </c>
      <c r="I337" s="26" t="s">
        <v>724</v>
      </c>
      <c r="M337" s="58"/>
    </row>
    <row r="338" spans="1:13" x14ac:dyDescent="0.25">
      <c r="A338" s="26" t="str">
        <f t="shared" si="7"/>
        <v>Perno Anclaje Tipo L 5/8x800x130x100H</v>
      </c>
      <c r="B338" s="4" t="s">
        <v>764</v>
      </c>
      <c r="C338" s="34">
        <v>37492</v>
      </c>
      <c r="D338" s="35" t="s">
        <v>765</v>
      </c>
      <c r="E338" s="36">
        <v>1.46</v>
      </c>
      <c r="F338" s="37"/>
      <c r="G338" s="38"/>
      <c r="H338" s="39">
        <v>1.46</v>
      </c>
      <c r="I338" s="26" t="s">
        <v>729</v>
      </c>
      <c r="M338" s="58"/>
    </row>
    <row r="339" spans="1:13" x14ac:dyDescent="0.25">
      <c r="A339" s="26" t="str">
        <f t="shared" si="7"/>
        <v>Perno Anclaje Tipo L 7/8x500</v>
      </c>
      <c r="B339" s="4" t="s">
        <v>766</v>
      </c>
      <c r="C339" s="34">
        <v>34575</v>
      </c>
      <c r="D339" s="35" t="s">
        <v>767</v>
      </c>
      <c r="E339" s="36">
        <v>1.85</v>
      </c>
      <c r="F339" s="37"/>
      <c r="G339" s="38"/>
      <c r="H339" s="39">
        <v>1.85</v>
      </c>
      <c r="I339" s="26" t="s">
        <v>724</v>
      </c>
      <c r="M339" s="58"/>
    </row>
    <row r="340" spans="1:13" x14ac:dyDescent="0.25">
      <c r="A340" s="26" t="str">
        <f t="shared" si="7"/>
        <v>Perno Cab Cuad 1/2x1.1/2x1.1/2H</v>
      </c>
      <c r="B340" s="4" t="s">
        <v>768</v>
      </c>
      <c r="C340" s="34">
        <v>32540</v>
      </c>
      <c r="D340" s="35" t="s">
        <v>769</v>
      </c>
      <c r="E340" s="36">
        <v>5.2999999999999999E-2</v>
      </c>
      <c r="F340" s="37"/>
      <c r="G340" s="38"/>
      <c r="H340" s="39">
        <v>5.2999999999999999E-2</v>
      </c>
      <c r="I340" s="26" t="s">
        <v>770</v>
      </c>
      <c r="M340" s="58"/>
    </row>
    <row r="341" spans="1:13" x14ac:dyDescent="0.25">
      <c r="A341" s="26" t="str">
        <f t="shared" si="7"/>
        <v>Perno Cab Cuad 1/2x1.1/2x1.1/4H</v>
      </c>
      <c r="B341" s="4" t="s">
        <v>771</v>
      </c>
      <c r="C341" s="34">
        <v>34318</v>
      </c>
      <c r="D341" s="35" t="s">
        <v>772</v>
      </c>
      <c r="E341" s="36">
        <v>0.05</v>
      </c>
      <c r="F341" s="37" t="s">
        <v>113</v>
      </c>
      <c r="G341" s="38"/>
      <c r="H341" s="39">
        <v>0.05</v>
      </c>
      <c r="I341" s="26" t="s">
        <v>770</v>
      </c>
      <c r="M341" s="58"/>
    </row>
    <row r="342" spans="1:13" x14ac:dyDescent="0.25">
      <c r="A342" s="26" t="str">
        <f t="shared" si="7"/>
        <v>Perno Cab Cuad 1/2x1.1/2x1.1/4H UNC</v>
      </c>
      <c r="B342" s="4" t="s">
        <v>773</v>
      </c>
      <c r="C342" s="34">
        <v>37986</v>
      </c>
      <c r="D342" s="35" t="s">
        <v>769</v>
      </c>
      <c r="E342" s="36">
        <v>5.2999999999999999E-2</v>
      </c>
      <c r="F342" s="37"/>
      <c r="G342" s="38"/>
      <c r="H342" s="39">
        <v>5.2999999999999999E-2</v>
      </c>
      <c r="I342" s="26" t="s">
        <v>770</v>
      </c>
      <c r="M342" s="58"/>
    </row>
    <row r="343" spans="1:13" x14ac:dyDescent="0.25">
      <c r="A343" s="26" t="str">
        <f t="shared" si="7"/>
        <v>Perno Cab Cuad 1/2x2.1/2x1/4A BSW</v>
      </c>
      <c r="B343" s="4" t="s">
        <v>774</v>
      </c>
      <c r="C343" s="34">
        <v>34727</v>
      </c>
      <c r="D343" s="35" t="s">
        <v>775</v>
      </c>
      <c r="E343" s="36">
        <v>7.5999999999999998E-2</v>
      </c>
      <c r="F343" s="37" t="s">
        <v>113</v>
      </c>
      <c r="G343" s="41"/>
      <c r="H343" s="39">
        <v>7.5999999999999998E-2</v>
      </c>
      <c r="I343" s="26" t="s">
        <v>770</v>
      </c>
      <c r="M343" s="58"/>
    </row>
    <row r="344" spans="1:13" x14ac:dyDescent="0.25">
      <c r="A344" s="26" t="str">
        <f t="shared" si="7"/>
        <v>Perno Cab Cuad 1/2x2.1/2x1/4A UNC</v>
      </c>
      <c r="B344" s="4" t="s">
        <v>776</v>
      </c>
      <c r="C344" s="34">
        <v>32993</v>
      </c>
      <c r="D344" s="35" t="s">
        <v>777</v>
      </c>
      <c r="E344" s="36">
        <v>7.5999999999999998E-2</v>
      </c>
      <c r="F344" s="37"/>
      <c r="G344" s="41"/>
      <c r="H344" s="39">
        <v>7.5999999999999998E-2</v>
      </c>
      <c r="I344" s="26" t="s">
        <v>770</v>
      </c>
      <c r="M344" s="58"/>
    </row>
    <row r="345" spans="1:13" x14ac:dyDescent="0.25">
      <c r="A345" s="26" t="str">
        <f t="shared" si="7"/>
        <v>Perno Cab Cuad 1/2x1.3/4X1.1/4H</v>
      </c>
      <c r="B345" s="4" t="s">
        <v>778</v>
      </c>
      <c r="C345" s="34">
        <v>35389</v>
      </c>
      <c r="D345" s="35" t="s">
        <v>779</v>
      </c>
      <c r="E345" s="36">
        <v>5.9420000000000001E-2</v>
      </c>
      <c r="F345" s="37"/>
      <c r="G345" s="41"/>
      <c r="H345" s="39">
        <v>5.9420000000000001E-2</v>
      </c>
      <c r="I345" s="26" t="s">
        <v>770</v>
      </c>
      <c r="M345" s="58"/>
    </row>
    <row r="346" spans="1:13" x14ac:dyDescent="0.25">
      <c r="A346" s="26" t="str">
        <f t="shared" si="7"/>
        <v>Perno Cab Cuad 1/2x1.3/4X1.1/4H BSW</v>
      </c>
      <c r="B346" s="4" t="s">
        <v>780</v>
      </c>
      <c r="C346" s="34">
        <v>37608</v>
      </c>
      <c r="D346" s="35" t="s">
        <v>781</v>
      </c>
      <c r="E346" s="36">
        <v>5.9420000000000001E-2</v>
      </c>
      <c r="F346" s="37"/>
      <c r="G346" s="41"/>
      <c r="H346" s="39">
        <v>5.9420000000000001E-2</v>
      </c>
      <c r="I346" s="26" t="s">
        <v>770</v>
      </c>
      <c r="M346" s="58"/>
    </row>
    <row r="347" spans="1:13" x14ac:dyDescent="0.25">
      <c r="A347" s="26" t="str">
        <f t="shared" si="7"/>
        <v>Perno Cab Cuad 1/2x16x10A</v>
      </c>
      <c r="B347" s="4" t="s">
        <v>782</v>
      </c>
      <c r="C347" s="34">
        <v>35787</v>
      </c>
      <c r="D347" s="35" t="s">
        <v>783</v>
      </c>
      <c r="E347" s="36">
        <v>0.41199999999999998</v>
      </c>
      <c r="F347" s="37"/>
      <c r="G347" s="41"/>
      <c r="H347" s="39">
        <v>0.41199999999999998</v>
      </c>
      <c r="I347" s="26" t="s">
        <v>770</v>
      </c>
      <c r="M347" s="58"/>
    </row>
    <row r="348" spans="1:13" x14ac:dyDescent="0.25">
      <c r="A348" s="26" t="str">
        <f t="shared" si="7"/>
        <v>Perno Cab Cuad 1.1/2x8x3.1/2</v>
      </c>
      <c r="B348" s="4" t="s">
        <v>784</v>
      </c>
      <c r="C348" s="34">
        <v>35069</v>
      </c>
      <c r="D348" s="42" t="s">
        <v>785</v>
      </c>
      <c r="E348" s="34">
        <v>2.286</v>
      </c>
      <c r="F348" s="37"/>
      <c r="G348" s="38"/>
      <c r="H348" s="39">
        <v>2.286</v>
      </c>
      <c r="I348" s="26" t="s">
        <v>152</v>
      </c>
      <c r="M348" s="58"/>
    </row>
    <row r="349" spans="1:13" x14ac:dyDescent="0.25">
      <c r="A349" s="26" t="str">
        <f t="shared" ref="A349:A415" si="9">B349&amp;K349</f>
        <v>Perno Cab Cuad 5/8x10x4A</v>
      </c>
      <c r="B349" s="4" t="s">
        <v>786</v>
      </c>
      <c r="C349" s="34">
        <v>34369</v>
      </c>
      <c r="D349" s="35" t="s">
        <v>787</v>
      </c>
      <c r="E349" s="36">
        <v>0.40699999999999997</v>
      </c>
      <c r="F349" s="37"/>
      <c r="G349" s="38"/>
      <c r="H349" s="39">
        <v>0.40699999999999997</v>
      </c>
      <c r="I349" s="26" t="s">
        <v>155</v>
      </c>
      <c r="M349" s="58"/>
    </row>
    <row r="350" spans="1:13" x14ac:dyDescent="0.25">
      <c r="A350" s="26" t="str">
        <f t="shared" si="9"/>
        <v>Perno Cab Cuad 5/8x12x6A</v>
      </c>
      <c r="B350" s="4" t="s">
        <v>788</v>
      </c>
      <c r="C350" s="34">
        <v>38731</v>
      </c>
      <c r="D350" s="35" t="s">
        <v>789</v>
      </c>
      <c r="E350" s="36">
        <v>0.48699999999999999</v>
      </c>
      <c r="F350" s="37"/>
      <c r="G350" s="38"/>
      <c r="H350" s="39">
        <v>0.48699999999999999</v>
      </c>
      <c r="I350" s="26" t="s">
        <v>155</v>
      </c>
      <c r="M350" s="58"/>
    </row>
    <row r="351" spans="1:13" x14ac:dyDescent="0.25">
      <c r="A351" s="26" t="str">
        <f t="shared" si="9"/>
        <v>Perno Cab Cuad 5/8x2.1/2</v>
      </c>
      <c r="B351" s="4" t="s">
        <v>790</v>
      </c>
      <c r="C351" s="34">
        <v>34949</v>
      </c>
      <c r="D351" s="35" t="s">
        <v>791</v>
      </c>
      <c r="E351" s="36">
        <v>0.14799999999999999</v>
      </c>
      <c r="F351" s="37"/>
      <c r="G351" s="38"/>
      <c r="H351" s="39">
        <v>0.14799999999999999</v>
      </c>
      <c r="I351" s="26" t="s">
        <v>155</v>
      </c>
      <c r="M351" s="58"/>
    </row>
    <row r="352" spans="1:13" x14ac:dyDescent="0.25">
      <c r="A352" s="26" t="str">
        <f t="shared" si="9"/>
        <v>Perno Cab Cuad 5/8x2.1/2x1A</v>
      </c>
      <c r="B352" s="4" t="s">
        <v>792</v>
      </c>
      <c r="C352" s="34">
        <v>38793</v>
      </c>
      <c r="D352" s="35" t="s">
        <v>793</v>
      </c>
      <c r="E352" s="36">
        <v>0.14799999999999999</v>
      </c>
      <c r="F352" s="37"/>
      <c r="G352" s="38"/>
      <c r="H352" s="39">
        <v>0.14799999999999999</v>
      </c>
      <c r="I352" s="26" t="s">
        <v>155</v>
      </c>
      <c r="M352" s="58"/>
    </row>
    <row r="353" spans="1:13" x14ac:dyDescent="0.25">
      <c r="A353" s="26" t="str">
        <f t="shared" si="9"/>
        <v>Perno Cab Cuad 5/8x8x4.1/2A</v>
      </c>
      <c r="B353" s="4" t="s">
        <v>794</v>
      </c>
      <c r="C353" s="34">
        <v>34368</v>
      </c>
      <c r="D353" s="35" t="s">
        <v>795</v>
      </c>
      <c r="E353" s="36">
        <v>0.35</v>
      </c>
      <c r="F353" s="37"/>
      <c r="G353" s="38"/>
      <c r="H353" s="39">
        <v>0.35</v>
      </c>
      <c r="I353" s="26" t="s">
        <v>155</v>
      </c>
      <c r="M353" s="58"/>
    </row>
    <row r="354" spans="1:13" x14ac:dyDescent="0.25">
      <c r="A354" s="26" t="str">
        <f t="shared" si="9"/>
        <v>Perno Cab Cuad 7/8x4x2H</v>
      </c>
      <c r="B354" s="4" t="s">
        <v>796</v>
      </c>
      <c r="C354" s="34">
        <v>36133</v>
      </c>
      <c r="D354" s="35" t="s">
        <v>797</v>
      </c>
      <c r="E354" s="36">
        <v>0.39</v>
      </c>
      <c r="F354" s="37"/>
      <c r="G354" s="38"/>
      <c r="H354" s="39">
        <v>0.39</v>
      </c>
      <c r="I354" s="26" t="s">
        <v>152</v>
      </c>
      <c r="M354" s="58"/>
    </row>
    <row r="355" spans="1:13" x14ac:dyDescent="0.25">
      <c r="A355" s="26" t="str">
        <f t="shared" si="9"/>
        <v>Perno Cab Cuad 7/8x5.1/2x2.1/2H Ref</v>
      </c>
      <c r="B355" s="4" t="s">
        <v>798</v>
      </c>
      <c r="C355" s="34">
        <v>35285</v>
      </c>
      <c r="D355" s="35" t="s">
        <v>799</v>
      </c>
      <c r="E355" s="36">
        <v>0.50800000000000001</v>
      </c>
      <c r="F355" s="37" t="s">
        <v>736</v>
      </c>
      <c r="G355" s="38"/>
      <c r="H355" s="39">
        <v>0.69799999999999995</v>
      </c>
      <c r="I355" s="26" t="s">
        <v>152</v>
      </c>
      <c r="M355" s="58"/>
    </row>
    <row r="356" spans="1:13" x14ac:dyDescent="0.25">
      <c r="A356" s="26" t="str">
        <f t="shared" si="9"/>
        <v>Perno Cab Cuad 7/8x5.1/2x2.1/2H</v>
      </c>
      <c r="B356" s="4" t="s">
        <v>800</v>
      </c>
      <c r="C356" s="34">
        <v>38412</v>
      </c>
      <c r="D356" s="35" t="s">
        <v>801</v>
      </c>
      <c r="E356" s="36">
        <v>0.50800000000000001</v>
      </c>
      <c r="F356" s="37"/>
      <c r="G356" s="38"/>
      <c r="H356" s="39">
        <v>0.69799999999999995</v>
      </c>
      <c r="I356" s="26" t="s">
        <v>152</v>
      </c>
      <c r="M356" s="58"/>
    </row>
    <row r="357" spans="1:13" x14ac:dyDescent="0.25">
      <c r="A357" s="26" t="str">
        <f t="shared" si="9"/>
        <v>Perno Cab Cuad G-5 1.1/2x8</v>
      </c>
      <c r="B357" s="4" t="s">
        <v>802</v>
      </c>
      <c r="C357" s="34">
        <v>34216</v>
      </c>
      <c r="D357" s="35" t="s">
        <v>785</v>
      </c>
      <c r="E357" s="36">
        <v>2.286</v>
      </c>
      <c r="F357" s="37"/>
      <c r="G357" s="38"/>
      <c r="H357" s="39">
        <v>2.286</v>
      </c>
      <c r="I357" s="26" t="s">
        <v>152</v>
      </c>
      <c r="M357" s="58"/>
    </row>
    <row r="358" spans="1:13" x14ac:dyDescent="0.25">
      <c r="A358" s="26" t="str">
        <f t="shared" si="9"/>
        <v>Perno Cab Cuad G-5 1x3x57mm</v>
      </c>
      <c r="B358" s="4" t="s">
        <v>803</v>
      </c>
      <c r="C358" s="34">
        <v>38356</v>
      </c>
      <c r="D358" s="35" t="s">
        <v>804</v>
      </c>
      <c r="E358" s="36">
        <v>0.39200000000000002</v>
      </c>
      <c r="F358" s="37"/>
      <c r="G358" s="38"/>
      <c r="H358" s="39">
        <v>0.39200000000000002</v>
      </c>
      <c r="I358" s="26" t="s">
        <v>152</v>
      </c>
      <c r="M358" s="58"/>
    </row>
    <row r="359" spans="1:13" x14ac:dyDescent="0.25">
      <c r="A359" s="26" t="str">
        <f t="shared" si="9"/>
        <v>Perno Cab Cuad T/Perno p/Cruzam 1x4x57</v>
      </c>
      <c r="B359" s="4" t="s">
        <v>805</v>
      </c>
      <c r="C359" s="34">
        <v>35409</v>
      </c>
      <c r="D359" s="35" t="s">
        <v>806</v>
      </c>
      <c r="E359" s="36">
        <v>0.53200000000000003</v>
      </c>
      <c r="F359" s="37" t="s">
        <v>807</v>
      </c>
      <c r="G359" s="38"/>
      <c r="H359" s="39">
        <v>0.53200000000000003</v>
      </c>
      <c r="I359" s="26" t="s">
        <v>152</v>
      </c>
      <c r="M359" s="58"/>
    </row>
    <row r="360" spans="1:13" x14ac:dyDescent="0.25">
      <c r="A360" s="26" t="str">
        <f t="shared" si="9"/>
        <v>Perno Cab Martillo M18x65</v>
      </c>
      <c r="B360" s="4" t="s">
        <v>808</v>
      </c>
      <c r="C360" s="34">
        <v>34512</v>
      </c>
      <c r="D360" s="35" t="s">
        <v>809</v>
      </c>
      <c r="E360" s="36">
        <v>0.19</v>
      </c>
      <c r="F360" s="37"/>
      <c r="G360" s="38"/>
      <c r="H360" s="39">
        <v>0.315</v>
      </c>
      <c r="I360" s="26" t="s">
        <v>152</v>
      </c>
      <c r="M360" s="58"/>
    </row>
    <row r="361" spans="1:13" x14ac:dyDescent="0.25">
      <c r="A361" s="26" t="str">
        <f t="shared" si="9"/>
        <v>Perno Coche 1/2x1.1/2</v>
      </c>
      <c r="B361" s="4" t="s">
        <v>810</v>
      </c>
      <c r="C361" s="34">
        <v>34715</v>
      </c>
      <c r="D361" s="35" t="s">
        <v>811</v>
      </c>
      <c r="E361" s="36">
        <v>5.7000000000000002E-2</v>
      </c>
      <c r="F361" s="37" t="s">
        <v>113</v>
      </c>
      <c r="G361" s="38"/>
      <c r="H361" s="39">
        <v>5.7000000000000002E-2</v>
      </c>
      <c r="I361" s="26" t="s">
        <v>770</v>
      </c>
      <c r="M361" s="58"/>
    </row>
    <row r="362" spans="1:13" x14ac:dyDescent="0.25">
      <c r="A362" s="26" t="str">
        <f t="shared" si="9"/>
        <v>Perno Coche 1/2x2x1.1/4</v>
      </c>
      <c r="B362" s="4" t="s">
        <v>812</v>
      </c>
      <c r="C362" s="34">
        <v>34901</v>
      </c>
      <c r="D362" s="35" t="s">
        <v>813</v>
      </c>
      <c r="E362" s="36">
        <v>6.2E-2</v>
      </c>
      <c r="F362" s="37" t="s">
        <v>113</v>
      </c>
      <c r="G362" s="38"/>
      <c r="H362" s="39">
        <v>6.2E-2</v>
      </c>
      <c r="I362" s="26" t="s">
        <v>770</v>
      </c>
      <c r="M362" s="58"/>
    </row>
    <row r="363" spans="1:13" x14ac:dyDescent="0.25">
      <c r="A363" s="26" t="str">
        <f t="shared" si="9"/>
        <v>Perno Coche p/Prensa Paralela 3/4x45</v>
      </c>
      <c r="B363" s="4" t="s">
        <v>814</v>
      </c>
      <c r="C363" s="34">
        <v>34756</v>
      </c>
      <c r="D363" s="42" t="s">
        <v>815</v>
      </c>
      <c r="E363" s="34">
        <v>0.155</v>
      </c>
      <c r="F363" s="37"/>
      <c r="G363" s="38"/>
      <c r="H363" s="39">
        <v>0.155</v>
      </c>
      <c r="I363" s="26" t="s">
        <v>770</v>
      </c>
      <c r="M363" s="58"/>
    </row>
    <row r="364" spans="1:13" x14ac:dyDescent="0.25">
      <c r="A364" s="26" t="str">
        <f t="shared" si="9"/>
        <v>Perno Coche 3/8x5x1H</v>
      </c>
      <c r="B364" s="4" t="s">
        <v>816</v>
      </c>
      <c r="C364" s="34">
        <v>34652</v>
      </c>
      <c r="D364" s="35" t="s">
        <v>817</v>
      </c>
      <c r="E364" s="36">
        <v>6.3E-2</v>
      </c>
      <c r="F364" s="37"/>
      <c r="G364" s="38"/>
      <c r="H364" s="39">
        <v>6.3E-2</v>
      </c>
      <c r="I364" s="26" t="s">
        <v>770</v>
      </c>
      <c r="M364" s="58"/>
    </row>
    <row r="365" spans="1:13" x14ac:dyDescent="0.25">
      <c r="A365" s="26" t="str">
        <f t="shared" si="9"/>
        <v>Perno Coche 3/8x5x3A</v>
      </c>
      <c r="B365" s="4" t="s">
        <v>818</v>
      </c>
      <c r="C365" s="34">
        <v>36562</v>
      </c>
      <c r="D365" s="35" t="s">
        <v>819</v>
      </c>
      <c r="E365" s="36">
        <v>6.3299999999999995E-2</v>
      </c>
      <c r="F365" s="37"/>
      <c r="G365" s="38"/>
      <c r="H365" s="39">
        <v>6.3299999999999995E-2</v>
      </c>
      <c r="I365" s="26" t="s">
        <v>770</v>
      </c>
      <c r="M365" s="58"/>
    </row>
    <row r="366" spans="1:13" x14ac:dyDescent="0.25">
      <c r="A366" s="26" t="str">
        <f t="shared" si="9"/>
        <v>Perno Coche 5/8x5x2A</v>
      </c>
      <c r="B366" s="4" t="s">
        <v>820</v>
      </c>
      <c r="C366" s="34">
        <v>36219</v>
      </c>
      <c r="D366" s="35" t="s">
        <v>821</v>
      </c>
      <c r="E366" s="36">
        <v>0.224</v>
      </c>
      <c r="F366" s="37"/>
      <c r="G366" s="38"/>
      <c r="H366" s="39">
        <v>0.224</v>
      </c>
      <c r="I366" s="26" t="s">
        <v>770</v>
      </c>
      <c r="M366" s="58"/>
    </row>
    <row r="367" spans="1:13" x14ac:dyDescent="0.25">
      <c r="A367" s="26" t="str">
        <f t="shared" si="9"/>
        <v>Perno Coche 5/8x95</v>
      </c>
      <c r="B367" s="4" t="s">
        <v>822</v>
      </c>
      <c r="C367" s="34">
        <v>34902</v>
      </c>
      <c r="D367" s="42" t="s">
        <v>823</v>
      </c>
      <c r="E367" s="34">
        <v>0.158</v>
      </c>
      <c r="F367" s="37"/>
      <c r="G367" s="38"/>
      <c r="H367" s="39">
        <v>0.158</v>
      </c>
      <c r="I367" s="26" t="s">
        <v>770</v>
      </c>
      <c r="M367" s="58"/>
    </row>
    <row r="368" spans="1:13" x14ac:dyDescent="0.25">
      <c r="A368" s="26" t="str">
        <f t="shared" si="9"/>
        <v>Perno Coche 5/8x9x2H</v>
      </c>
      <c r="B368" s="4" t="s">
        <v>824</v>
      </c>
      <c r="C368" s="34">
        <v>38647</v>
      </c>
      <c r="D368" s="42" t="s">
        <v>825</v>
      </c>
      <c r="E368" s="34">
        <v>0.35</v>
      </c>
      <c r="F368" s="37"/>
      <c r="G368" s="38"/>
      <c r="H368" s="39">
        <v>0.35</v>
      </c>
      <c r="I368" s="26" t="s">
        <v>770</v>
      </c>
      <c r="M368" s="58"/>
    </row>
    <row r="369" spans="1:13" x14ac:dyDescent="0.25">
      <c r="A369" s="26" t="str">
        <f t="shared" si="9"/>
        <v>Perno Coche 5/8x10x2H</v>
      </c>
      <c r="B369" s="4" t="s">
        <v>826</v>
      </c>
      <c r="C369" s="34">
        <v>38648</v>
      </c>
      <c r="D369" s="42" t="s">
        <v>827</v>
      </c>
      <c r="E369" s="34">
        <v>0.38900000000000001</v>
      </c>
      <c r="F369" s="37"/>
      <c r="G369" s="38"/>
      <c r="H369" s="39">
        <v>0.38900000000000001</v>
      </c>
      <c r="I369" s="26" t="s">
        <v>770</v>
      </c>
      <c r="M369" s="58"/>
    </row>
    <row r="370" spans="1:13" x14ac:dyDescent="0.25">
      <c r="A370" s="26" t="str">
        <f t="shared" si="9"/>
        <v>Perno Coche 5/8x11x2H</v>
      </c>
      <c r="B370" s="4" t="s">
        <v>828</v>
      </c>
      <c r="C370" s="34">
        <v>38649</v>
      </c>
      <c r="D370" s="42" t="s">
        <v>829</v>
      </c>
      <c r="E370" s="34">
        <v>0.4279</v>
      </c>
      <c r="F370" s="37"/>
      <c r="G370" s="38"/>
      <c r="H370" s="39">
        <v>0.4279</v>
      </c>
      <c r="I370" s="26" t="s">
        <v>770</v>
      </c>
      <c r="M370" s="58"/>
    </row>
    <row r="371" spans="1:13" x14ac:dyDescent="0.25">
      <c r="A371" s="26" t="str">
        <f t="shared" si="9"/>
        <v>Perno Coche 5/8x12x2H</v>
      </c>
      <c r="B371" s="4" t="s">
        <v>830</v>
      </c>
      <c r="C371" s="34">
        <v>38650</v>
      </c>
      <c r="D371" s="42" t="s">
        <v>831</v>
      </c>
      <c r="E371" s="34">
        <v>0.46679999999999999</v>
      </c>
      <c r="F371" s="37"/>
      <c r="G371" s="38"/>
      <c r="H371" s="39">
        <v>0.46679999999999999</v>
      </c>
      <c r="I371" s="26" t="s">
        <v>770</v>
      </c>
      <c r="M371" s="58"/>
    </row>
    <row r="372" spans="1:13" x14ac:dyDescent="0.25">
      <c r="A372" s="26" t="str">
        <f t="shared" si="9"/>
        <v>Perno Coche 5/8x14x2H</v>
      </c>
      <c r="B372" s="4" t="s">
        <v>832</v>
      </c>
      <c r="C372" s="34">
        <v>38651</v>
      </c>
      <c r="D372" s="42" t="s">
        <v>833</v>
      </c>
      <c r="E372" s="34">
        <v>0.54459999999999997</v>
      </c>
      <c r="F372" s="37"/>
      <c r="G372" s="38"/>
      <c r="H372" s="39">
        <v>0.54459999999999997</v>
      </c>
      <c r="I372" s="26" t="s">
        <v>770</v>
      </c>
      <c r="M372" s="58"/>
    </row>
    <row r="373" spans="1:13" x14ac:dyDescent="0.25">
      <c r="A373" s="26" t="str">
        <f t="shared" si="9"/>
        <v>Perno Coche 5/8x16x2H</v>
      </c>
      <c r="B373" s="4" t="s">
        <v>834</v>
      </c>
      <c r="C373" s="34">
        <v>38652</v>
      </c>
      <c r="D373" s="42" t="s">
        <v>835</v>
      </c>
      <c r="E373" s="34">
        <v>0.62239999999999995</v>
      </c>
      <c r="F373" s="37"/>
      <c r="G373" s="38"/>
      <c r="H373" s="39">
        <v>0.62239999999999995</v>
      </c>
      <c r="I373" s="26" t="s">
        <v>770</v>
      </c>
      <c r="M373" s="58"/>
    </row>
    <row r="374" spans="1:13" x14ac:dyDescent="0.25">
      <c r="A374" s="26" t="str">
        <f t="shared" si="9"/>
        <v>Perno Coraza Molino 4340 1x5.1/2x3.1/2H</v>
      </c>
      <c r="B374" s="4" t="s">
        <v>836</v>
      </c>
      <c r="C374" s="34">
        <v>35128</v>
      </c>
      <c r="D374" s="42" t="s">
        <v>837</v>
      </c>
      <c r="E374" s="34">
        <v>0.71599999999999997</v>
      </c>
      <c r="F374" s="37" t="s">
        <v>838</v>
      </c>
      <c r="G374" s="38"/>
      <c r="H374" s="39">
        <v>0.71599999999999997</v>
      </c>
      <c r="I374" s="26" t="s">
        <v>839</v>
      </c>
      <c r="M374" s="58"/>
    </row>
    <row r="375" spans="1:13" x14ac:dyDescent="0.25">
      <c r="A375" s="26" t="str">
        <f t="shared" si="9"/>
        <v>Perno Coraza Molino G-2 1.3/4x9.1/2x4H</v>
      </c>
      <c r="B375" s="4" t="s">
        <v>840</v>
      </c>
      <c r="C375" s="34">
        <v>35129</v>
      </c>
      <c r="D375" s="42" t="s">
        <v>841</v>
      </c>
      <c r="E375" s="34">
        <v>4</v>
      </c>
      <c r="F375" s="37" t="s">
        <v>842</v>
      </c>
      <c r="G375" s="38"/>
      <c r="H375" s="39">
        <v>4</v>
      </c>
      <c r="I375" s="26" t="s">
        <v>839</v>
      </c>
      <c r="M375" s="58"/>
    </row>
    <row r="376" spans="1:13" x14ac:dyDescent="0.25">
      <c r="A376" s="26" t="str">
        <f t="shared" si="9"/>
        <v>Perno Coraza Molino 4340 1x7x4H</v>
      </c>
      <c r="B376" s="4" t="s">
        <v>843</v>
      </c>
      <c r="C376" s="34">
        <v>35475</v>
      </c>
      <c r="D376" s="42" t="s">
        <v>844</v>
      </c>
      <c r="E376" s="34">
        <v>0.93</v>
      </c>
      <c r="F376" s="37" t="s">
        <v>838</v>
      </c>
      <c r="G376" s="38"/>
      <c r="H376" s="39">
        <v>0.93</v>
      </c>
      <c r="I376" s="26" t="s">
        <v>839</v>
      </c>
      <c r="M376" s="58"/>
    </row>
    <row r="377" spans="1:13" x14ac:dyDescent="0.25">
      <c r="A377" s="26" t="str">
        <f t="shared" si="9"/>
        <v>Perno Coraza Molino 4340 1.1/2x8.1/2x5H</v>
      </c>
      <c r="B377" s="4" t="s">
        <v>845</v>
      </c>
      <c r="C377" s="34">
        <v>35215</v>
      </c>
      <c r="D377" s="42" t="s">
        <v>846</v>
      </c>
      <c r="E377" s="34">
        <v>2.44</v>
      </c>
      <c r="F377" s="37" t="s">
        <v>847</v>
      </c>
      <c r="G377" s="38"/>
      <c r="H377" s="39">
        <v>2.44</v>
      </c>
      <c r="I377" s="26" t="s">
        <v>839</v>
      </c>
      <c r="M377" s="58"/>
    </row>
    <row r="378" spans="1:13" x14ac:dyDescent="0.25">
      <c r="A378" s="26" t="str">
        <f t="shared" si="9"/>
        <v>Perno Coraza Molino 4340 1.1/2x11x6.1/2H</v>
      </c>
      <c r="B378" s="4" t="s">
        <v>848</v>
      </c>
      <c r="C378" s="34">
        <v>35216</v>
      </c>
      <c r="D378" s="42" t="s">
        <v>849</v>
      </c>
      <c r="E378" s="34">
        <v>2.9359999999999999</v>
      </c>
      <c r="F378" s="37" t="s">
        <v>847</v>
      </c>
      <c r="G378" s="38"/>
      <c r="H378" s="39">
        <v>2.9359999999999999</v>
      </c>
      <c r="I378" s="26" t="s">
        <v>839</v>
      </c>
      <c r="M378" s="58"/>
    </row>
    <row r="379" spans="1:13" x14ac:dyDescent="0.25">
      <c r="A379" s="26" t="str">
        <f t="shared" si="9"/>
        <v>Perno Cuello Ret 1/2x1.11/16ESTAMPAR</v>
      </c>
      <c r="B379" s="4" t="s">
        <v>850</v>
      </c>
      <c r="C379" s="34">
        <v>34852</v>
      </c>
      <c r="D379" s="35" t="s">
        <v>851</v>
      </c>
      <c r="E379" s="36">
        <v>6.2E-2</v>
      </c>
      <c r="F379" s="37" t="s">
        <v>113</v>
      </c>
      <c r="G379" s="38"/>
      <c r="H379" s="39">
        <v>6.2E-2</v>
      </c>
      <c r="I379" s="26" t="s">
        <v>224</v>
      </c>
      <c r="J379" s="26" t="s">
        <v>85</v>
      </c>
      <c r="K379" s="26" t="s">
        <v>1597</v>
      </c>
      <c r="L379" s="26">
        <v>389</v>
      </c>
      <c r="M379" s="58"/>
    </row>
    <row r="380" spans="1:13" x14ac:dyDescent="0.25">
      <c r="A380" s="26" t="str">
        <f>B380&amp;K380</f>
        <v>Perno Cuello Ret 5/8x45ESTAMPAR</v>
      </c>
      <c r="B380" s="4" t="s">
        <v>852</v>
      </c>
      <c r="C380" s="34">
        <v>34958</v>
      </c>
      <c r="D380" s="35" t="s">
        <v>853</v>
      </c>
      <c r="E380" s="34">
        <v>0.105</v>
      </c>
      <c r="F380" s="37"/>
      <c r="G380" s="38"/>
      <c r="H380" s="39">
        <v>0.105</v>
      </c>
      <c r="I380" s="26" t="s">
        <v>215</v>
      </c>
      <c r="J380" s="26" t="s">
        <v>85</v>
      </c>
      <c r="K380" s="26" t="s">
        <v>1597</v>
      </c>
      <c r="L380" s="26">
        <v>334</v>
      </c>
      <c r="M380" s="58">
        <v>1</v>
      </c>
    </row>
    <row r="381" spans="1:13" x14ac:dyDescent="0.25">
      <c r="A381" s="52" t="str">
        <f>B381&amp;K381</f>
        <v>Perno Cuello Ret 5/8x45REBABAR</v>
      </c>
      <c r="B381" s="45" t="s">
        <v>852</v>
      </c>
      <c r="C381" s="46">
        <v>34958</v>
      </c>
      <c r="D381" s="47" t="s">
        <v>853</v>
      </c>
      <c r="E381" s="46">
        <v>0.105</v>
      </c>
      <c r="F381" s="49"/>
      <c r="G381" s="50"/>
      <c r="H381" s="51">
        <v>0.105</v>
      </c>
      <c r="I381" s="52" t="s">
        <v>215</v>
      </c>
      <c r="J381" s="52" t="s">
        <v>62</v>
      </c>
      <c r="K381" s="52" t="s">
        <v>1602</v>
      </c>
      <c r="L381" s="52">
        <v>500</v>
      </c>
      <c r="M381" s="58">
        <v>2</v>
      </c>
    </row>
    <row r="382" spans="1:13" x14ac:dyDescent="0.25">
      <c r="A382" s="52" t="str">
        <f>B382&amp;K382</f>
        <v>Perno Cuello Ret 5/8x45LAMINAR</v>
      </c>
      <c r="B382" s="45" t="s">
        <v>852</v>
      </c>
      <c r="C382" s="46">
        <v>34958</v>
      </c>
      <c r="D382" s="47" t="s">
        <v>853</v>
      </c>
      <c r="E382" s="46">
        <v>0.105</v>
      </c>
      <c r="F382" s="49"/>
      <c r="G382" s="50"/>
      <c r="H382" s="51">
        <v>0.105</v>
      </c>
      <c r="I382" s="52" t="s">
        <v>215</v>
      </c>
      <c r="J382" s="61" t="s">
        <v>1636</v>
      </c>
      <c r="K382" s="52" t="s">
        <v>1633</v>
      </c>
      <c r="L382" s="52">
        <v>450</v>
      </c>
      <c r="M382" s="58">
        <v>3</v>
      </c>
    </row>
    <row r="383" spans="1:13" x14ac:dyDescent="0.25">
      <c r="A383" s="52" t="str">
        <f>B383&amp;K383</f>
        <v>Perno Cuello Ret 5/8x45REPASAR</v>
      </c>
      <c r="B383" s="45" t="s">
        <v>852</v>
      </c>
      <c r="C383" s="46">
        <v>34958</v>
      </c>
      <c r="D383" s="47" t="s">
        <v>853</v>
      </c>
      <c r="E383" s="46">
        <v>0.105</v>
      </c>
      <c r="F383" s="49"/>
      <c r="G383" s="50" t="s">
        <v>1638</v>
      </c>
      <c r="H383" s="51">
        <v>0.105</v>
      </c>
      <c r="I383" s="52" t="s">
        <v>215</v>
      </c>
      <c r="J383" s="52" t="s">
        <v>1615</v>
      </c>
      <c r="K383" s="52" t="s">
        <v>1634</v>
      </c>
      <c r="L383" s="52">
        <v>223</v>
      </c>
      <c r="M383" s="58">
        <v>4</v>
      </c>
    </row>
    <row r="384" spans="1:13" x14ac:dyDescent="0.25">
      <c r="A384" s="26" t="str">
        <f t="shared" si="9"/>
        <v>Perno Def Caminera 5/8x2</v>
      </c>
      <c r="B384" s="4" t="s">
        <v>854</v>
      </c>
      <c r="C384" s="34">
        <v>34784</v>
      </c>
      <c r="D384" s="35" t="s">
        <v>855</v>
      </c>
      <c r="E384" s="36">
        <v>0.106</v>
      </c>
      <c r="F384" s="37"/>
      <c r="G384" s="38"/>
      <c r="H384" s="39">
        <v>0.106</v>
      </c>
      <c r="I384" s="26" t="s">
        <v>155</v>
      </c>
      <c r="M384" s="58"/>
    </row>
    <row r="385" spans="1:13" x14ac:dyDescent="0.25">
      <c r="A385" s="26" t="str">
        <f t="shared" si="9"/>
        <v>Perno Defensa Caminera 6.8 M16x30</v>
      </c>
      <c r="B385" s="4" t="s">
        <v>856</v>
      </c>
      <c r="C385" s="34">
        <v>34980</v>
      </c>
      <c r="D385" s="42" t="s">
        <v>857</v>
      </c>
      <c r="E385" s="34">
        <v>7.5999999999999998E-2</v>
      </c>
      <c r="F385" s="37"/>
      <c r="G385" s="38"/>
      <c r="H385" s="39">
        <v>7.5999999999999998E-2</v>
      </c>
      <c r="I385" s="26" t="s">
        <v>155</v>
      </c>
      <c r="M385" s="58"/>
    </row>
    <row r="386" spans="1:13" x14ac:dyDescent="0.25">
      <c r="A386" s="26" t="str">
        <f t="shared" si="9"/>
        <v>Perno Defensa Caminera 6.8 M16x45</v>
      </c>
      <c r="B386" s="4" t="s">
        <v>858</v>
      </c>
      <c r="C386" s="34">
        <v>34981</v>
      </c>
      <c r="D386" s="42" t="s">
        <v>859</v>
      </c>
      <c r="E386" s="34">
        <v>9.1999999999999998E-2</v>
      </c>
      <c r="F386" s="40"/>
      <c r="G386" s="41"/>
      <c r="H386" s="39">
        <v>9.1999999999999998E-2</v>
      </c>
      <c r="I386" s="26" t="s">
        <v>155</v>
      </c>
      <c r="M386" s="58"/>
    </row>
    <row r="387" spans="1:13" x14ac:dyDescent="0.25">
      <c r="A387" s="26" t="str">
        <f t="shared" si="9"/>
        <v>Perno Defensa Caminera 8.8 M16x40</v>
      </c>
      <c r="B387" s="4" t="s">
        <v>860</v>
      </c>
      <c r="C387" s="34">
        <v>34982</v>
      </c>
      <c r="D387" s="42" t="s">
        <v>861</v>
      </c>
      <c r="E387" s="34">
        <v>8.5000000000000006E-2</v>
      </c>
      <c r="F387" s="40"/>
      <c r="G387" s="41"/>
      <c r="H387" s="39">
        <v>8.5000000000000006E-2</v>
      </c>
      <c r="I387" s="26" t="s">
        <v>155</v>
      </c>
      <c r="M387" s="58"/>
    </row>
    <row r="388" spans="1:13" x14ac:dyDescent="0.25">
      <c r="A388" s="26" t="str">
        <f t="shared" si="9"/>
        <v>Perno Expansión 1/2x5</v>
      </c>
      <c r="B388" s="4" t="s">
        <v>862</v>
      </c>
      <c r="C388" s="34">
        <v>34840</v>
      </c>
      <c r="D388" s="35" t="s">
        <v>863</v>
      </c>
      <c r="E388" s="36">
        <v>0.13200000000000001</v>
      </c>
      <c r="F388" s="37" t="s">
        <v>113</v>
      </c>
      <c r="G388" s="38"/>
      <c r="H388" s="39">
        <v>0.13200000000000001</v>
      </c>
      <c r="I388" s="26" t="s">
        <v>155</v>
      </c>
      <c r="M388" s="58"/>
    </row>
    <row r="389" spans="1:13" x14ac:dyDescent="0.25">
      <c r="A389" s="26" t="str">
        <f t="shared" si="9"/>
        <v>Perno Hex Cte 1/2x1x0A</v>
      </c>
      <c r="B389" s="4" t="s">
        <v>864</v>
      </c>
      <c r="C389" s="34">
        <v>35954</v>
      </c>
      <c r="D389" s="35" t="s">
        <v>865</v>
      </c>
      <c r="E389" s="36">
        <v>4.1000000000000002E-2</v>
      </c>
      <c r="F389" s="37"/>
      <c r="G389" s="38"/>
      <c r="H389" s="39">
        <v>4.1000000000000002E-2</v>
      </c>
      <c r="I389" s="26" t="s">
        <v>770</v>
      </c>
      <c r="M389" s="58"/>
    </row>
    <row r="390" spans="1:13" x14ac:dyDescent="0.25">
      <c r="A390" s="26" t="str">
        <f t="shared" si="9"/>
        <v>Perno Hex Cte 1/2x1.1/4x1/2A</v>
      </c>
      <c r="B390" s="4" t="s">
        <v>866</v>
      </c>
      <c r="C390" s="34">
        <v>36205</v>
      </c>
      <c r="D390" s="35" t="s">
        <v>867</v>
      </c>
      <c r="E390" s="36">
        <v>4.8000000000000001E-2</v>
      </c>
      <c r="F390" s="37"/>
      <c r="G390" s="38"/>
      <c r="H390" s="39">
        <v>4.8000000000000001E-2</v>
      </c>
      <c r="I390" s="26" t="s">
        <v>770</v>
      </c>
      <c r="M390" s="58"/>
    </row>
    <row r="391" spans="1:13" x14ac:dyDescent="0.25">
      <c r="A391" s="26" t="str">
        <f t="shared" si="9"/>
        <v>Perno Hex Cte 1/2x1.1/4x0A</v>
      </c>
      <c r="B391" s="4" t="s">
        <v>868</v>
      </c>
      <c r="C391" s="34">
        <v>13823</v>
      </c>
      <c r="D391" s="35" t="s">
        <v>869</v>
      </c>
      <c r="E391" s="36">
        <v>4.4999999999999998E-2</v>
      </c>
      <c r="F391" s="37"/>
      <c r="G391" s="38"/>
      <c r="H391" s="39">
        <v>4.4999999999999998E-2</v>
      </c>
      <c r="I391" s="26" t="s">
        <v>770</v>
      </c>
      <c r="M391" s="58"/>
    </row>
    <row r="392" spans="1:13" x14ac:dyDescent="0.25">
      <c r="A392" s="26" t="str">
        <f t="shared" si="9"/>
        <v>Perno Hex Cte 1/2x1.1/2x0A</v>
      </c>
      <c r="B392" s="4" t="s">
        <v>870</v>
      </c>
      <c r="C392" s="34">
        <v>35283</v>
      </c>
      <c r="D392" s="35" t="s">
        <v>871</v>
      </c>
      <c r="E392" s="36">
        <v>0.05</v>
      </c>
      <c r="F392" s="37"/>
      <c r="G392" s="38"/>
      <c r="H392" s="39">
        <v>0.05</v>
      </c>
      <c r="I392" s="26" t="s">
        <v>770</v>
      </c>
      <c r="M392" s="58"/>
    </row>
    <row r="393" spans="1:13" x14ac:dyDescent="0.25">
      <c r="A393" s="26" t="str">
        <f t="shared" si="9"/>
        <v>Perno Hex Cte 1/2x1.1/2x0A UNC</v>
      </c>
      <c r="B393" s="4" t="s">
        <v>872</v>
      </c>
      <c r="C393" s="34">
        <v>36312</v>
      </c>
      <c r="D393" s="35" t="s">
        <v>873</v>
      </c>
      <c r="E393" s="36">
        <v>0.05</v>
      </c>
      <c r="F393" s="37"/>
      <c r="G393" s="38"/>
      <c r="H393" s="39">
        <v>0.05</v>
      </c>
      <c r="I393" s="26" t="s">
        <v>770</v>
      </c>
      <c r="M393" s="58"/>
    </row>
    <row r="394" spans="1:13" x14ac:dyDescent="0.25">
      <c r="A394" s="26" t="str">
        <f t="shared" si="9"/>
        <v>Perno Hex Cte 1/2x2x0A</v>
      </c>
      <c r="B394" s="4" t="s">
        <v>874</v>
      </c>
      <c r="C394" s="34">
        <v>36233</v>
      </c>
      <c r="D394" s="35" t="s">
        <v>875</v>
      </c>
      <c r="E394" s="36">
        <v>5.8000000000000003E-2</v>
      </c>
      <c r="F394" s="37"/>
      <c r="G394" s="38"/>
      <c r="H394" s="39">
        <v>5.8000000000000003E-2</v>
      </c>
      <c r="I394" s="26" t="s">
        <v>770</v>
      </c>
      <c r="M394" s="58"/>
    </row>
    <row r="395" spans="1:13" x14ac:dyDescent="0.25">
      <c r="A395" s="26" t="str">
        <f t="shared" si="9"/>
        <v>Perno Hex Cte 1/2x2x1/2A</v>
      </c>
      <c r="B395" s="4" t="s">
        <v>876</v>
      </c>
      <c r="C395" s="34">
        <v>36639</v>
      </c>
      <c r="D395" s="35" t="s">
        <v>877</v>
      </c>
      <c r="E395" s="36">
        <v>0.06</v>
      </c>
      <c r="F395" s="37"/>
      <c r="G395" s="38"/>
      <c r="H395" s="39">
        <v>0.06</v>
      </c>
      <c r="I395" s="26" t="s">
        <v>770</v>
      </c>
      <c r="M395" s="58"/>
    </row>
    <row r="396" spans="1:13" x14ac:dyDescent="0.25">
      <c r="A396" s="26" t="str">
        <f t="shared" si="9"/>
        <v>Perno Hex Cte 1/2x2.1/2x0A</v>
      </c>
      <c r="B396" s="4" t="s">
        <v>878</v>
      </c>
      <c r="C396" s="34">
        <v>35462</v>
      </c>
      <c r="D396" s="35" t="s">
        <v>879</v>
      </c>
      <c r="E396" s="36">
        <v>7.0000000000000007E-2</v>
      </c>
      <c r="F396" s="37"/>
      <c r="G396" s="38"/>
      <c r="H396" s="39">
        <v>7.0000000000000007E-2</v>
      </c>
      <c r="I396" s="26" t="s">
        <v>770</v>
      </c>
      <c r="M396" s="58"/>
    </row>
    <row r="397" spans="1:13" x14ac:dyDescent="0.25">
      <c r="A397" s="26" t="str">
        <f t="shared" si="9"/>
        <v>Perno Hex Cte 1/2x3x0A</v>
      </c>
      <c r="B397" s="4" t="s">
        <v>880</v>
      </c>
      <c r="C397" s="34">
        <v>35992</v>
      </c>
      <c r="D397" s="35" t="s">
        <v>881</v>
      </c>
      <c r="E397" s="36">
        <v>9.0999999999999998E-2</v>
      </c>
      <c r="F397" s="37"/>
      <c r="G397" s="38"/>
      <c r="H397" s="39">
        <v>9.0999999999999998E-2</v>
      </c>
      <c r="I397" s="26" t="s">
        <v>770</v>
      </c>
      <c r="M397" s="58"/>
    </row>
    <row r="398" spans="1:13" x14ac:dyDescent="0.25">
      <c r="A398" s="26" t="str">
        <f t="shared" si="9"/>
        <v>Perno Hex Cte 1/2x5x2A</v>
      </c>
      <c r="B398" s="4" t="s">
        <v>882</v>
      </c>
      <c r="C398" s="34">
        <v>35188</v>
      </c>
      <c r="D398" s="35" t="s">
        <v>883</v>
      </c>
      <c r="E398" s="36">
        <v>0.127</v>
      </c>
      <c r="F398" s="37" t="s">
        <v>113</v>
      </c>
      <c r="G398" s="38"/>
      <c r="H398" s="39">
        <v>0.127</v>
      </c>
      <c r="I398" s="26" t="s">
        <v>770</v>
      </c>
      <c r="M398" s="58"/>
    </row>
    <row r="399" spans="1:13" x14ac:dyDescent="0.25">
      <c r="A399" s="26" t="str">
        <f t="shared" si="9"/>
        <v>Perno Hex Cte 1/2x5x3A</v>
      </c>
      <c r="B399" s="4" t="s">
        <v>884</v>
      </c>
      <c r="C399" s="34">
        <v>32736</v>
      </c>
      <c r="D399" s="35" t="s">
        <v>885</v>
      </c>
      <c r="E399" s="36">
        <v>0.13600000000000001</v>
      </c>
      <c r="F399" s="37" t="s">
        <v>113</v>
      </c>
      <c r="G399" s="38"/>
      <c r="H399" s="39">
        <v>0.13600000000000001</v>
      </c>
      <c r="I399" s="26" t="s">
        <v>770</v>
      </c>
      <c r="M399" s="58"/>
    </row>
    <row r="400" spans="1:13" x14ac:dyDescent="0.25">
      <c r="A400" s="26" t="str">
        <f t="shared" si="9"/>
        <v>Perno Hex Cte 1/2x6x3A</v>
      </c>
      <c r="B400" s="4" t="s">
        <v>886</v>
      </c>
      <c r="C400" s="34">
        <v>31456</v>
      </c>
      <c r="D400" s="35" t="s">
        <v>887</v>
      </c>
      <c r="E400" s="36">
        <v>0.156</v>
      </c>
      <c r="F400" s="37" t="s">
        <v>113</v>
      </c>
      <c r="G400" s="38"/>
      <c r="H400" s="39">
        <v>0.156</v>
      </c>
      <c r="I400" s="26" t="s">
        <v>770</v>
      </c>
      <c r="M400" s="58"/>
    </row>
    <row r="401" spans="1:13" x14ac:dyDescent="0.25">
      <c r="A401" s="26" t="str">
        <f t="shared" si="9"/>
        <v>Perno Hex Cte 1/2x6x2A</v>
      </c>
      <c r="B401" s="4" t="s">
        <v>888</v>
      </c>
      <c r="C401" s="34">
        <v>38604</v>
      </c>
      <c r="D401" s="35" t="s">
        <v>889</v>
      </c>
      <c r="E401" s="36">
        <v>0.14899999999999999</v>
      </c>
      <c r="F401" s="37"/>
      <c r="G401" s="38"/>
      <c r="H401" s="39"/>
      <c r="I401" s="26" t="s">
        <v>770</v>
      </c>
      <c r="M401" s="58"/>
    </row>
    <row r="402" spans="1:13" x14ac:dyDescent="0.25">
      <c r="A402" s="26" t="str">
        <f t="shared" si="9"/>
        <v>Perno Hex Cte 1/2x7x4A</v>
      </c>
      <c r="B402" s="4" t="s">
        <v>890</v>
      </c>
      <c r="C402" s="34">
        <v>35364</v>
      </c>
      <c r="D402" s="35" t="s">
        <v>891</v>
      </c>
      <c r="E402" s="36">
        <v>0.18</v>
      </c>
      <c r="F402" s="37" t="s">
        <v>113</v>
      </c>
      <c r="G402" s="38"/>
      <c r="H402" s="39">
        <v>0.18</v>
      </c>
      <c r="I402" s="26" t="s">
        <v>770</v>
      </c>
      <c r="M402" s="58"/>
    </row>
    <row r="403" spans="1:13" x14ac:dyDescent="0.25">
      <c r="A403" s="26" t="str">
        <f t="shared" si="9"/>
        <v>Perno Hex Cte 1/2x8x4A</v>
      </c>
      <c r="B403" s="4" t="s">
        <v>892</v>
      </c>
      <c r="C403" s="34">
        <v>36206</v>
      </c>
      <c r="D403" s="35" t="s">
        <v>893</v>
      </c>
      <c r="E403" s="36">
        <v>0.19400000000000001</v>
      </c>
      <c r="F403" s="37"/>
      <c r="G403" s="38"/>
      <c r="H403" s="39">
        <v>0.19400000000000001</v>
      </c>
      <c r="I403" s="26" t="s">
        <v>770</v>
      </c>
      <c r="M403" s="58"/>
    </row>
    <row r="404" spans="1:13" x14ac:dyDescent="0.25">
      <c r="A404" s="26" t="str">
        <f t="shared" si="9"/>
        <v>Perno Hex Cte 1/2x8x5A</v>
      </c>
      <c r="B404" s="4" t="s">
        <v>894</v>
      </c>
      <c r="C404" s="34">
        <v>35365</v>
      </c>
      <c r="D404" s="35" t="s">
        <v>895</v>
      </c>
      <c r="E404" s="36">
        <v>0.20899999999999999</v>
      </c>
      <c r="F404" s="37" t="s">
        <v>113</v>
      </c>
      <c r="G404" s="38"/>
      <c r="H404" s="39">
        <v>0.20899999999999999</v>
      </c>
      <c r="I404" s="26" t="s">
        <v>770</v>
      </c>
      <c r="M404" s="58"/>
    </row>
    <row r="405" spans="1:13" x14ac:dyDescent="0.25">
      <c r="A405" s="26" t="str">
        <f t="shared" si="9"/>
        <v>Perno Hex Cte 1/2x9x4A</v>
      </c>
      <c r="B405" s="4" t="s">
        <v>896</v>
      </c>
      <c r="C405" s="34">
        <v>36761</v>
      </c>
      <c r="D405" s="35" t="s">
        <v>897</v>
      </c>
      <c r="E405" s="36">
        <v>0.22700000000000001</v>
      </c>
      <c r="F405" s="37" t="s">
        <v>113</v>
      </c>
      <c r="G405" s="38"/>
      <c r="H405" s="39">
        <v>0.22700000000000001</v>
      </c>
      <c r="I405" s="26" t="s">
        <v>770</v>
      </c>
      <c r="M405" s="58"/>
    </row>
    <row r="406" spans="1:13" x14ac:dyDescent="0.25">
      <c r="A406" s="26" t="str">
        <f t="shared" si="9"/>
        <v>Perno Hex Cte 1/2x9x5A</v>
      </c>
      <c r="B406" s="4" t="s">
        <v>898</v>
      </c>
      <c r="C406" s="34">
        <v>35484</v>
      </c>
      <c r="D406" s="35" t="s">
        <v>899</v>
      </c>
      <c r="E406" s="36">
        <v>0.22600000000000001</v>
      </c>
      <c r="F406" s="37" t="s">
        <v>113</v>
      </c>
      <c r="G406" s="38"/>
      <c r="H406" s="39">
        <v>0.22600000000000001</v>
      </c>
      <c r="I406" s="26" t="s">
        <v>770</v>
      </c>
      <c r="M406" s="58"/>
    </row>
    <row r="407" spans="1:13" x14ac:dyDescent="0.25">
      <c r="A407" s="26" t="str">
        <f t="shared" si="9"/>
        <v>Perno Hex Cte 1/2x9x6A</v>
      </c>
      <c r="B407" s="4" t="s">
        <v>900</v>
      </c>
      <c r="C407" s="34">
        <v>35121</v>
      </c>
      <c r="D407" s="35" t="s">
        <v>901</v>
      </c>
      <c r="E407" s="36">
        <v>0.23100000000000001</v>
      </c>
      <c r="F407" s="37" t="s">
        <v>113</v>
      </c>
      <c r="G407" s="38"/>
      <c r="H407" s="39">
        <v>0.23100000000000001</v>
      </c>
      <c r="I407" s="26" t="s">
        <v>770</v>
      </c>
      <c r="M407" s="58"/>
    </row>
    <row r="408" spans="1:13" x14ac:dyDescent="0.25">
      <c r="A408" s="26" t="str">
        <f t="shared" si="9"/>
        <v>Perno Hex Cte 1/2x10x0A</v>
      </c>
      <c r="B408" s="4" t="s">
        <v>902</v>
      </c>
      <c r="C408" s="34">
        <v>38225</v>
      </c>
      <c r="D408" s="35" t="s">
        <v>903</v>
      </c>
      <c r="E408" s="36">
        <v>0.23200000000000001</v>
      </c>
      <c r="F408" s="37"/>
      <c r="G408" s="38"/>
      <c r="H408" s="39">
        <v>0.23200000000000001</v>
      </c>
      <c r="I408" s="26" t="s">
        <v>770</v>
      </c>
      <c r="M408" s="58"/>
    </row>
    <row r="409" spans="1:13" x14ac:dyDescent="0.25">
      <c r="A409" s="26" t="str">
        <f t="shared" si="9"/>
        <v>Perno Hex Cte 1/2x10x5A</v>
      </c>
      <c r="B409" s="4" t="s">
        <v>904</v>
      </c>
      <c r="C409" s="34">
        <v>36843</v>
      </c>
      <c r="D409" s="35" t="s">
        <v>905</v>
      </c>
      <c r="E409" s="36">
        <v>0.24099999999999999</v>
      </c>
      <c r="F409" s="37" t="s">
        <v>113</v>
      </c>
      <c r="G409" s="38"/>
      <c r="H409" s="39">
        <v>0.24099999999999999</v>
      </c>
      <c r="I409" s="26" t="s">
        <v>770</v>
      </c>
      <c r="M409" s="58"/>
    </row>
    <row r="410" spans="1:13" x14ac:dyDescent="0.25">
      <c r="A410" s="26" t="str">
        <f t="shared" si="9"/>
        <v>Perno Hex Cte 1/2x10x6A</v>
      </c>
      <c r="B410" s="4" t="s">
        <v>906</v>
      </c>
      <c r="C410" s="34">
        <v>37021</v>
      </c>
      <c r="D410" s="35" t="s">
        <v>907</v>
      </c>
      <c r="E410" s="36">
        <v>0.245</v>
      </c>
      <c r="F410" s="37" t="s">
        <v>113</v>
      </c>
      <c r="G410" s="38"/>
      <c r="H410" s="39">
        <v>0.245</v>
      </c>
      <c r="I410" s="26" t="s">
        <v>770</v>
      </c>
      <c r="M410" s="58"/>
    </row>
    <row r="411" spans="1:13" x14ac:dyDescent="0.25">
      <c r="A411" s="26" t="str">
        <f t="shared" si="9"/>
        <v>Perno Hex Cte 1/2x10x7A</v>
      </c>
      <c r="B411" s="4" t="s">
        <v>908</v>
      </c>
      <c r="C411" s="34">
        <v>34490</v>
      </c>
      <c r="D411" s="35" t="s">
        <v>909</v>
      </c>
      <c r="E411" s="36">
        <v>0.255</v>
      </c>
      <c r="F411" s="37" t="s">
        <v>113</v>
      </c>
      <c r="G411" s="38"/>
      <c r="H411" s="39">
        <v>0.255</v>
      </c>
      <c r="I411" s="26" t="s">
        <v>770</v>
      </c>
      <c r="M411" s="58"/>
    </row>
    <row r="412" spans="1:13" x14ac:dyDescent="0.25">
      <c r="A412" s="26" t="str">
        <f t="shared" si="9"/>
        <v>Perno Hex Cte 1/2x11x7A</v>
      </c>
      <c r="B412" s="4" t="s">
        <v>910</v>
      </c>
      <c r="C412" s="34"/>
      <c r="D412" s="35" t="s">
        <v>911</v>
      </c>
      <c r="E412" s="36">
        <v>0.28299999999999997</v>
      </c>
      <c r="F412" s="37"/>
      <c r="G412" s="38"/>
      <c r="H412" s="39">
        <v>0.28299999999999997</v>
      </c>
      <c r="I412" s="26" t="s">
        <v>770</v>
      </c>
      <c r="M412" s="58"/>
    </row>
    <row r="413" spans="1:13" x14ac:dyDescent="0.25">
      <c r="A413" s="26" t="str">
        <f t="shared" si="9"/>
        <v>Perno Hex Cte 1/2x11x8A</v>
      </c>
      <c r="B413" s="4" t="s">
        <v>912</v>
      </c>
      <c r="C413" s="34">
        <v>28453</v>
      </c>
      <c r="D413" s="35" t="s">
        <v>913</v>
      </c>
      <c r="E413" s="36">
        <v>0.27900000000000003</v>
      </c>
      <c r="F413" s="37" t="s">
        <v>113</v>
      </c>
      <c r="G413" s="38"/>
      <c r="H413" s="39">
        <v>0.27900000000000003</v>
      </c>
      <c r="I413" s="26" t="s">
        <v>770</v>
      </c>
      <c r="M413" s="58"/>
    </row>
    <row r="414" spans="1:13" x14ac:dyDescent="0.25">
      <c r="A414" s="26" t="str">
        <f t="shared" si="9"/>
        <v>Perno Hex Cte 1/2x12x6H</v>
      </c>
      <c r="B414" s="4" t="s">
        <v>914</v>
      </c>
      <c r="C414" s="34">
        <v>34523</v>
      </c>
      <c r="D414" s="35" t="s">
        <v>915</v>
      </c>
      <c r="E414" s="36">
        <v>0.29599999999999999</v>
      </c>
      <c r="F414" s="37" t="s">
        <v>113</v>
      </c>
      <c r="G414" s="38"/>
      <c r="H414" s="39">
        <v>0.29599999999999999</v>
      </c>
      <c r="I414" s="26" t="s">
        <v>770</v>
      </c>
      <c r="M414" s="58"/>
    </row>
    <row r="415" spans="1:13" x14ac:dyDescent="0.25">
      <c r="A415" s="26" t="str">
        <f t="shared" si="9"/>
        <v>Perno Hex Cte 1/2x12x9A</v>
      </c>
      <c r="B415" s="4" t="s">
        <v>916</v>
      </c>
      <c r="C415" s="34">
        <v>34478</v>
      </c>
      <c r="D415" s="35" t="s">
        <v>917</v>
      </c>
      <c r="E415" s="36">
        <v>0.30599999999999999</v>
      </c>
      <c r="F415" s="37" t="s">
        <v>113</v>
      </c>
      <c r="G415" s="38"/>
      <c r="H415" s="39">
        <v>0.30599999999999999</v>
      </c>
      <c r="I415" s="26" t="s">
        <v>770</v>
      </c>
      <c r="M415" s="58"/>
    </row>
    <row r="416" spans="1:13" x14ac:dyDescent="0.25">
      <c r="A416" s="26" t="str">
        <f t="shared" ref="A416:A479" si="10">B416&amp;K416</f>
        <v>Perno Hex Cte 1/2x13x6A</v>
      </c>
      <c r="B416" s="4" t="s">
        <v>918</v>
      </c>
      <c r="C416" s="34">
        <v>36401</v>
      </c>
      <c r="D416" s="35" t="s">
        <v>919</v>
      </c>
      <c r="E416" s="36">
        <v>0.29899999999999999</v>
      </c>
      <c r="F416" s="37"/>
      <c r="G416" s="38"/>
      <c r="H416" s="39">
        <v>0.29899999999999999</v>
      </c>
      <c r="I416" s="26" t="s">
        <v>770</v>
      </c>
      <c r="M416" s="58"/>
    </row>
    <row r="417" spans="1:13" x14ac:dyDescent="0.25">
      <c r="A417" s="26" t="str">
        <f t="shared" si="10"/>
        <v>Perno Hex Cte 1/2x13x187mmH</v>
      </c>
      <c r="B417" s="4" t="s">
        <v>920</v>
      </c>
      <c r="C417" s="34">
        <v>37674</v>
      </c>
      <c r="D417" s="35" t="s">
        <v>921</v>
      </c>
      <c r="E417" s="36">
        <v>0.29899999999999999</v>
      </c>
      <c r="F417" s="37"/>
      <c r="G417" s="38"/>
      <c r="H417" s="39">
        <v>0.29899999999999999</v>
      </c>
      <c r="I417" s="26" t="s">
        <v>770</v>
      </c>
      <c r="M417" s="58"/>
    </row>
    <row r="418" spans="1:13" x14ac:dyDescent="0.25">
      <c r="A418" s="26" t="str">
        <f t="shared" si="10"/>
        <v>Perno Hex Cte 1/2x13x10A</v>
      </c>
      <c r="B418" s="4" t="s">
        <v>922</v>
      </c>
      <c r="C418" s="34">
        <v>36763</v>
      </c>
      <c r="D418" s="35" t="s">
        <v>923</v>
      </c>
      <c r="E418" s="36">
        <v>0.33400000000000002</v>
      </c>
      <c r="F418" s="37"/>
      <c r="G418" s="38"/>
      <c r="H418" s="39">
        <v>0.33400000000000002</v>
      </c>
      <c r="I418" s="26" t="s">
        <v>770</v>
      </c>
      <c r="M418" s="58"/>
    </row>
    <row r="419" spans="1:13" x14ac:dyDescent="0.25">
      <c r="A419" s="26" t="str">
        <f t="shared" si="10"/>
        <v>Perno Hex Cte 1/2x14x10A</v>
      </c>
      <c r="B419" s="4" t="s">
        <v>924</v>
      </c>
      <c r="C419" s="34">
        <v>33091</v>
      </c>
      <c r="D419" s="35" t="s">
        <v>925</v>
      </c>
      <c r="E419" s="36">
        <v>0.35</v>
      </c>
      <c r="F419" s="37"/>
      <c r="G419" s="38"/>
      <c r="H419" s="39">
        <v>0.35</v>
      </c>
      <c r="I419" s="26" t="s">
        <v>770</v>
      </c>
      <c r="M419" s="58"/>
    </row>
    <row r="420" spans="1:13" x14ac:dyDescent="0.25">
      <c r="A420" s="26" t="str">
        <f t="shared" si="10"/>
        <v>Perno Hex Cte 1/2x14x11A</v>
      </c>
      <c r="B420" s="4" t="s">
        <v>926</v>
      </c>
      <c r="C420" s="34">
        <v>37704</v>
      </c>
      <c r="D420" s="35" t="s">
        <v>927</v>
      </c>
      <c r="E420" s="36">
        <v>0.35099999999999998</v>
      </c>
      <c r="F420" s="37"/>
      <c r="G420" s="38"/>
      <c r="H420" s="39">
        <v>0.35099999999999998</v>
      </c>
      <c r="I420" s="26" t="s">
        <v>770</v>
      </c>
      <c r="M420" s="58"/>
    </row>
    <row r="421" spans="1:13" x14ac:dyDescent="0.25">
      <c r="A421" s="26" t="str">
        <f t="shared" si="10"/>
        <v>Perno Hex Cte 1/2x406</v>
      </c>
      <c r="B421" s="4" t="s">
        <v>928</v>
      </c>
      <c r="C421" s="34">
        <v>34385</v>
      </c>
      <c r="D421" s="35" t="s">
        <v>929</v>
      </c>
      <c r="E421" s="36">
        <v>0.38200000000000001</v>
      </c>
      <c r="F421" s="37" t="s">
        <v>113</v>
      </c>
      <c r="G421" s="38"/>
      <c r="H421" s="39">
        <v>0.38200000000000001</v>
      </c>
      <c r="I421" s="26" t="s">
        <v>770</v>
      </c>
      <c r="M421" s="58"/>
    </row>
    <row r="422" spans="1:13" x14ac:dyDescent="0.25">
      <c r="A422" s="26" t="str">
        <f t="shared" si="10"/>
        <v>Perno Hex Cte 1/2x350</v>
      </c>
      <c r="B422" s="4" t="s">
        <v>930</v>
      </c>
      <c r="C422" s="34">
        <v>36073</v>
      </c>
      <c r="D422" s="35" t="s">
        <v>931</v>
      </c>
      <c r="E422" s="36">
        <v>0.34399999999999997</v>
      </c>
      <c r="F422" s="37"/>
      <c r="G422" s="38"/>
      <c r="H422" s="39">
        <v>0.34399999999999997</v>
      </c>
      <c r="I422" s="26" t="s">
        <v>770</v>
      </c>
      <c r="M422" s="58"/>
    </row>
    <row r="423" spans="1:13" x14ac:dyDescent="0.25">
      <c r="A423" s="26" t="str">
        <f t="shared" si="10"/>
        <v>Perno Hex Cte 1/2x400</v>
      </c>
      <c r="B423" s="4" t="s">
        <v>932</v>
      </c>
      <c r="C423" s="34">
        <v>36072</v>
      </c>
      <c r="D423" s="35" t="s">
        <v>933</v>
      </c>
      <c r="E423" s="36">
        <v>0.39400000000000002</v>
      </c>
      <c r="F423" s="37"/>
      <c r="G423" s="38"/>
      <c r="H423" s="39">
        <v>0.39400000000000002</v>
      </c>
      <c r="I423" s="26" t="s">
        <v>770</v>
      </c>
      <c r="M423" s="58"/>
    </row>
    <row r="424" spans="1:13" x14ac:dyDescent="0.25">
      <c r="A424" s="26" t="str">
        <f t="shared" si="10"/>
        <v>Perno Hex Cte 1/2x450</v>
      </c>
      <c r="B424" s="4" t="s">
        <v>934</v>
      </c>
      <c r="C424" s="34">
        <v>36071</v>
      </c>
      <c r="D424" s="35" t="s">
        <v>935</v>
      </c>
      <c r="E424" s="36">
        <v>0.443</v>
      </c>
      <c r="F424" s="37"/>
      <c r="G424" s="38"/>
      <c r="H424" s="39">
        <v>0.443</v>
      </c>
      <c r="I424" s="26" t="s">
        <v>770</v>
      </c>
      <c r="M424" s="58"/>
    </row>
    <row r="425" spans="1:13" x14ac:dyDescent="0.25">
      <c r="A425" s="26" t="str">
        <f t="shared" si="10"/>
        <v>Perno Hex Cte 3/4x10x5A BSW</v>
      </c>
      <c r="B425" s="4" t="s">
        <v>936</v>
      </c>
      <c r="C425" s="34">
        <v>34738</v>
      </c>
      <c r="D425" s="35" t="s">
        <v>937</v>
      </c>
      <c r="E425" s="36">
        <v>0.59199999999999997</v>
      </c>
      <c r="F425" s="37"/>
      <c r="G425" s="38"/>
      <c r="H425" s="39">
        <v>0.59199999999999997</v>
      </c>
      <c r="I425" s="26" t="s">
        <v>770</v>
      </c>
      <c r="M425" s="58"/>
    </row>
    <row r="426" spans="1:13" x14ac:dyDescent="0.25">
      <c r="A426" s="26" t="str">
        <f t="shared" si="10"/>
        <v>Perno Hex Cte 3/4x10x2H UNC NG</v>
      </c>
      <c r="B426" s="4" t="s">
        <v>938</v>
      </c>
      <c r="C426" s="34">
        <v>36092</v>
      </c>
      <c r="D426" s="35" t="s">
        <v>939</v>
      </c>
      <c r="E426" s="36">
        <v>0.60328999999999999</v>
      </c>
      <c r="F426" s="37"/>
      <c r="G426" s="38"/>
      <c r="H426" s="39">
        <v>0.60328999999999999</v>
      </c>
      <c r="I426" s="26" t="s">
        <v>770</v>
      </c>
      <c r="M426" s="58"/>
    </row>
    <row r="427" spans="1:13" x14ac:dyDescent="0.25">
      <c r="A427" s="26" t="str">
        <f t="shared" si="10"/>
        <v>Perno Hex Cte 3/4x11x7A</v>
      </c>
      <c r="B427" s="4" t="s">
        <v>940</v>
      </c>
      <c r="C427" s="34">
        <v>36129</v>
      </c>
      <c r="D427" s="35" t="s">
        <v>941</v>
      </c>
      <c r="E427" s="36">
        <v>0.65300000000000002</v>
      </c>
      <c r="F427" s="37"/>
      <c r="G427" s="38"/>
      <c r="H427" s="39">
        <v>0.65300000000000002</v>
      </c>
      <c r="I427" s="26" t="s">
        <v>770</v>
      </c>
      <c r="M427" s="58"/>
    </row>
    <row r="428" spans="1:13" x14ac:dyDescent="0.25">
      <c r="A428" s="26" t="str">
        <f t="shared" si="10"/>
        <v>Perno Hex Cte 3/4x11x8A</v>
      </c>
      <c r="B428" s="4" t="s">
        <v>942</v>
      </c>
      <c r="C428" s="34">
        <v>37489</v>
      </c>
      <c r="D428" s="35" t="s">
        <v>943</v>
      </c>
      <c r="E428" s="36">
        <v>0.66</v>
      </c>
      <c r="F428" s="37"/>
      <c r="G428" s="38"/>
      <c r="H428" s="39">
        <v>0.66</v>
      </c>
      <c r="I428" s="26" t="s">
        <v>770</v>
      </c>
      <c r="M428" s="58"/>
    </row>
    <row r="429" spans="1:13" x14ac:dyDescent="0.25">
      <c r="A429" s="26" t="str">
        <f t="shared" si="10"/>
        <v>Perno Hex Cte 3/4x12x9A</v>
      </c>
      <c r="B429" s="4" t="s">
        <v>944</v>
      </c>
      <c r="C429" s="34">
        <v>37258</v>
      </c>
      <c r="D429" s="35" t="s">
        <v>945</v>
      </c>
      <c r="E429" s="36">
        <v>0.73299999999999998</v>
      </c>
      <c r="F429" s="37"/>
      <c r="G429" s="38"/>
      <c r="H429" s="39">
        <v>0.73299999999999998</v>
      </c>
      <c r="I429" s="26" t="s">
        <v>770</v>
      </c>
      <c r="M429" s="58"/>
    </row>
    <row r="430" spans="1:13" x14ac:dyDescent="0.25">
      <c r="A430" s="26" t="str">
        <f t="shared" si="10"/>
        <v>Perno Hex Cte 3/4x14x10A</v>
      </c>
      <c r="B430" s="4" t="s">
        <v>946</v>
      </c>
      <c r="C430" s="34">
        <v>36278</v>
      </c>
      <c r="D430" s="35" t="s">
        <v>947</v>
      </c>
      <c r="E430" s="36">
        <v>0.82199999999999995</v>
      </c>
      <c r="F430" s="37"/>
      <c r="G430" s="38"/>
      <c r="H430" s="39">
        <v>0.82199999999999995</v>
      </c>
      <c r="I430" s="26" t="s">
        <v>770</v>
      </c>
      <c r="M430" s="58"/>
    </row>
    <row r="431" spans="1:13" x14ac:dyDescent="0.25">
      <c r="A431" s="26" t="str">
        <f t="shared" si="10"/>
        <v xml:space="preserve">Perno Hex Cte 3/4x17x4H </v>
      </c>
      <c r="B431" s="4" t="s">
        <v>948</v>
      </c>
      <c r="C431" s="34">
        <v>36303</v>
      </c>
      <c r="D431" s="35" t="s">
        <v>949</v>
      </c>
      <c r="E431" s="36">
        <v>1</v>
      </c>
      <c r="F431" s="37"/>
      <c r="G431" s="38"/>
      <c r="H431" s="39">
        <v>1</v>
      </c>
      <c r="I431" s="26" t="s">
        <v>770</v>
      </c>
      <c r="M431" s="58"/>
    </row>
    <row r="432" spans="1:13" x14ac:dyDescent="0.25">
      <c r="A432" s="26" t="str">
        <f t="shared" si="10"/>
        <v xml:space="preserve">Perno Hex Cte 3/4x17x7H </v>
      </c>
      <c r="B432" s="4" t="s">
        <v>950</v>
      </c>
      <c r="C432" s="34">
        <v>34754</v>
      </c>
      <c r="D432" s="35" t="s">
        <v>951</v>
      </c>
      <c r="E432" s="36">
        <v>0.879</v>
      </c>
      <c r="F432" s="37"/>
      <c r="G432" s="38"/>
      <c r="H432" s="39">
        <v>0.879</v>
      </c>
      <c r="I432" s="26" t="s">
        <v>770</v>
      </c>
      <c r="M432" s="58"/>
    </row>
    <row r="433" spans="1:13" x14ac:dyDescent="0.25">
      <c r="A433" s="26" t="str">
        <f t="shared" si="10"/>
        <v>Perno Hex Cte 3/4x2x0A</v>
      </c>
      <c r="B433" s="4" t="s">
        <v>952</v>
      </c>
      <c r="C433" s="34">
        <v>38441</v>
      </c>
      <c r="D433" s="35" t="s">
        <v>953</v>
      </c>
      <c r="E433" s="36">
        <v>0.158</v>
      </c>
      <c r="F433" s="37"/>
      <c r="G433" s="38"/>
      <c r="H433" s="39">
        <v>0.158</v>
      </c>
      <c r="I433" s="26" t="s">
        <v>770</v>
      </c>
      <c r="M433" s="58"/>
    </row>
    <row r="434" spans="1:13" x14ac:dyDescent="0.25">
      <c r="A434" s="26" t="str">
        <f t="shared" si="10"/>
        <v>Perno Hex Cte 3/4x2.1/2x1A</v>
      </c>
      <c r="B434" s="4" t="s">
        <v>954</v>
      </c>
      <c r="C434" s="34">
        <v>35936</v>
      </c>
      <c r="D434" s="35" t="s">
        <v>955</v>
      </c>
      <c r="E434" s="36">
        <v>0.193</v>
      </c>
      <c r="F434" s="37"/>
      <c r="G434" s="38"/>
      <c r="H434" s="39">
        <v>0.193</v>
      </c>
      <c r="I434" s="26" t="s">
        <v>770</v>
      </c>
      <c r="M434" s="58"/>
    </row>
    <row r="435" spans="1:13" x14ac:dyDescent="0.25">
      <c r="A435" s="26" t="str">
        <f t="shared" si="10"/>
        <v>Perno Hex Cte 3/4x2.1/2x1/2A</v>
      </c>
      <c r="B435" s="4" t="s">
        <v>956</v>
      </c>
      <c r="C435" s="34">
        <v>38348</v>
      </c>
      <c r="D435" s="35" t="s">
        <v>957</v>
      </c>
      <c r="E435" s="36">
        <v>0.188</v>
      </c>
      <c r="F435" s="37"/>
      <c r="G435" s="38"/>
      <c r="H435" s="39">
        <v>0.188</v>
      </c>
      <c r="I435" s="26" t="s">
        <v>770</v>
      </c>
      <c r="M435" s="58"/>
    </row>
    <row r="436" spans="1:13" x14ac:dyDescent="0.25">
      <c r="A436" s="26" t="str">
        <f t="shared" si="10"/>
        <v>Perno Hex Cte 3/4x4x0A</v>
      </c>
      <c r="B436" s="4" t="s">
        <v>958</v>
      </c>
      <c r="C436" s="34">
        <v>37943</v>
      </c>
      <c r="D436" s="35" t="s">
        <v>959</v>
      </c>
      <c r="E436" s="36">
        <v>0.253</v>
      </c>
      <c r="F436" s="37"/>
      <c r="G436" s="38"/>
      <c r="H436" s="39">
        <v>0.253</v>
      </c>
      <c r="I436" s="26" t="s">
        <v>770</v>
      </c>
      <c r="M436" s="58"/>
    </row>
    <row r="437" spans="1:13" x14ac:dyDescent="0.25">
      <c r="A437" s="26" t="str">
        <f t="shared" si="10"/>
        <v>Perno Hex Cte 3/4x4.1/2x1/2A</v>
      </c>
      <c r="B437" s="4" t="s">
        <v>960</v>
      </c>
      <c r="C437" s="34">
        <v>37944</v>
      </c>
      <c r="D437" s="35" t="s">
        <v>961</v>
      </c>
      <c r="E437" s="36">
        <v>0.307</v>
      </c>
      <c r="F437" s="37"/>
      <c r="G437" s="38"/>
      <c r="H437" s="39">
        <v>0.307</v>
      </c>
      <c r="I437" s="26" t="s">
        <v>770</v>
      </c>
      <c r="M437" s="58"/>
    </row>
    <row r="438" spans="1:13" x14ac:dyDescent="0.25">
      <c r="A438" s="26" t="str">
        <f t="shared" si="10"/>
        <v>Perno Hex Cte 3/4x8</v>
      </c>
      <c r="B438" s="4" t="s">
        <v>962</v>
      </c>
      <c r="C438" s="34">
        <v>34762</v>
      </c>
      <c r="D438" s="35" t="s">
        <v>963</v>
      </c>
      <c r="E438" s="36">
        <v>0.48799999999999999</v>
      </c>
      <c r="F438" s="37"/>
      <c r="G438" s="38"/>
      <c r="H438" s="39">
        <v>0.48799999999999999</v>
      </c>
      <c r="I438" s="26" t="s">
        <v>770</v>
      </c>
      <c r="M438" s="58"/>
    </row>
    <row r="439" spans="1:13" x14ac:dyDescent="0.25">
      <c r="A439" s="26" t="str">
        <f t="shared" si="10"/>
        <v>Perno Hex Cte 3/4x9x6A</v>
      </c>
      <c r="B439" s="4" t="s">
        <v>964</v>
      </c>
      <c r="C439" s="34">
        <v>34763</v>
      </c>
      <c r="D439" s="35" t="s">
        <v>965</v>
      </c>
      <c r="E439" s="36">
        <v>0.56499999999999995</v>
      </c>
      <c r="F439" s="37"/>
      <c r="G439" s="38"/>
      <c r="H439" s="39">
        <v>0.56499999999999995</v>
      </c>
      <c r="I439" s="26" t="s">
        <v>770</v>
      </c>
      <c r="M439" s="58"/>
    </row>
    <row r="440" spans="1:13" x14ac:dyDescent="0.25">
      <c r="A440" s="26" t="str">
        <f t="shared" si="10"/>
        <v>Perno Hex Cte 3/4x9x4A</v>
      </c>
      <c r="B440" s="4" t="s">
        <v>966</v>
      </c>
      <c r="C440" s="34">
        <v>36787</v>
      </c>
      <c r="D440" s="35" t="s">
        <v>967</v>
      </c>
      <c r="E440" s="36">
        <v>0.54900000000000004</v>
      </c>
      <c r="F440" s="37"/>
      <c r="G440" s="38"/>
      <c r="H440" s="39">
        <v>0.54900000000000004</v>
      </c>
      <c r="I440" s="26" t="s">
        <v>770</v>
      </c>
      <c r="M440" s="58"/>
    </row>
    <row r="441" spans="1:13" x14ac:dyDescent="0.25">
      <c r="A441" s="26" t="str">
        <f t="shared" si="10"/>
        <v>Perno Hex Cte 3/4x9x5A</v>
      </c>
      <c r="B441" s="4" t="s">
        <v>968</v>
      </c>
      <c r="C441" s="34">
        <v>35541</v>
      </c>
      <c r="D441" s="35" t="s">
        <v>969</v>
      </c>
      <c r="E441" s="36">
        <v>0.53600000000000003</v>
      </c>
      <c r="F441" s="37"/>
      <c r="G441" s="38"/>
      <c r="H441" s="39">
        <v>0.53600000000000003</v>
      </c>
      <c r="I441" s="26" t="s">
        <v>770</v>
      </c>
      <c r="M441" s="58"/>
    </row>
    <row r="442" spans="1:13" x14ac:dyDescent="0.25">
      <c r="A442" s="26" t="str">
        <f t="shared" si="10"/>
        <v>Perno Hex Cte 3/8x6x1,1/4H</v>
      </c>
      <c r="B442" s="4" t="s">
        <v>970</v>
      </c>
      <c r="C442" s="34">
        <v>36074</v>
      </c>
      <c r="D442" s="35" t="s">
        <v>971</v>
      </c>
      <c r="E442" s="36">
        <v>8.9359999999999995E-2</v>
      </c>
      <c r="F442" s="37"/>
      <c r="G442" s="38"/>
      <c r="H442" s="39">
        <v>8.9359999999999995E-2</v>
      </c>
      <c r="I442" s="26" t="s">
        <v>770</v>
      </c>
      <c r="M442" s="58"/>
    </row>
    <row r="443" spans="1:13" x14ac:dyDescent="0.25">
      <c r="A443" s="26" t="str">
        <f t="shared" si="10"/>
        <v>Perno Hex Cte 3/8x12x6H</v>
      </c>
      <c r="B443" s="4" t="s">
        <v>972</v>
      </c>
      <c r="C443" s="34">
        <v>38821</v>
      </c>
      <c r="D443" s="35" t="s">
        <v>973</v>
      </c>
      <c r="E443" s="36">
        <v>0.14399999999999999</v>
      </c>
      <c r="F443" s="37"/>
      <c r="G443" s="38"/>
      <c r="H443" s="39">
        <v>0.14399999999999999</v>
      </c>
      <c r="I443" s="26" t="s">
        <v>770</v>
      </c>
      <c r="M443" s="58"/>
    </row>
    <row r="444" spans="1:13" x14ac:dyDescent="0.25">
      <c r="A444" s="26" t="str">
        <f t="shared" si="10"/>
        <v>Perno Hex Cte 5/8x1x0A</v>
      </c>
      <c r="B444" s="4" t="s">
        <v>974</v>
      </c>
      <c r="C444" s="34">
        <v>36501</v>
      </c>
      <c r="D444" s="35" t="s">
        <v>975</v>
      </c>
      <c r="E444" s="36">
        <v>7.2599999999999998E-2</v>
      </c>
      <c r="F444" s="37"/>
      <c r="G444" s="38"/>
      <c r="H444" s="39">
        <v>7.2599999999999998E-2</v>
      </c>
      <c r="I444" s="26" t="s">
        <v>770</v>
      </c>
      <c r="M444" s="58"/>
    </row>
    <row r="445" spans="1:13" x14ac:dyDescent="0.25">
      <c r="A445" s="26" t="str">
        <f t="shared" si="10"/>
        <v>Perno Hex Cte 5/8x1.1/2x0A</v>
      </c>
      <c r="B445" s="4" t="s">
        <v>976</v>
      </c>
      <c r="C445" s="34">
        <v>35609</v>
      </c>
      <c r="D445" s="35" t="s">
        <v>977</v>
      </c>
      <c r="E445" s="36">
        <v>8.5199999999999998E-2</v>
      </c>
      <c r="F445" s="37"/>
      <c r="G445" s="38"/>
      <c r="H445" s="39">
        <v>8.5199999999999998E-2</v>
      </c>
      <c r="I445" s="26" t="s">
        <v>770</v>
      </c>
      <c r="M445" s="58"/>
    </row>
    <row r="446" spans="1:13" x14ac:dyDescent="0.25">
      <c r="A446" s="26" t="str">
        <f t="shared" si="10"/>
        <v>Perno Hex Cte 5/8x1.1/2x1/2A</v>
      </c>
      <c r="B446" s="4" t="s">
        <v>978</v>
      </c>
      <c r="C446" s="34">
        <v>36445</v>
      </c>
      <c r="D446" s="35" t="s">
        <v>979</v>
      </c>
      <c r="E446" s="36">
        <v>9.1399999999999995E-2</v>
      </c>
      <c r="F446" s="37"/>
      <c r="G446" s="38"/>
      <c r="H446" s="39">
        <v>9.1399999999999995E-2</v>
      </c>
      <c r="I446" s="26" t="s">
        <v>770</v>
      </c>
      <c r="M446" s="58"/>
    </row>
    <row r="447" spans="1:13" x14ac:dyDescent="0.25">
      <c r="A447" s="26" t="str">
        <f t="shared" si="10"/>
        <v>Perno Hex Cte 5/8x1.3/4</v>
      </c>
      <c r="B447" s="4" t="s">
        <v>980</v>
      </c>
      <c r="C447" s="34">
        <v>36999</v>
      </c>
      <c r="D447" s="35" t="s">
        <v>981</v>
      </c>
      <c r="E447" s="36">
        <v>0.99199999999999999</v>
      </c>
      <c r="F447" s="37"/>
      <c r="G447" s="38"/>
      <c r="H447" s="39">
        <v>0.99199999999999999</v>
      </c>
      <c r="I447" s="26" t="s">
        <v>770</v>
      </c>
      <c r="M447" s="58"/>
    </row>
    <row r="448" spans="1:13" x14ac:dyDescent="0.25">
      <c r="A448" s="26" t="str">
        <f t="shared" si="10"/>
        <v>Perno Hex Cte 5/8x2.1/2</v>
      </c>
      <c r="B448" s="4" t="s">
        <v>982</v>
      </c>
      <c r="C448" s="34">
        <v>34695</v>
      </c>
      <c r="D448" s="35" t="s">
        <v>983</v>
      </c>
      <c r="E448" s="36">
        <v>0.122</v>
      </c>
      <c r="F448" s="37"/>
      <c r="G448" s="38"/>
      <c r="H448" s="39">
        <v>0.122</v>
      </c>
      <c r="I448" s="26" t="s">
        <v>770</v>
      </c>
      <c r="M448" s="58"/>
    </row>
    <row r="449" spans="1:13" x14ac:dyDescent="0.25">
      <c r="A449" s="26" t="str">
        <f t="shared" si="10"/>
        <v>Perno Hex Cte 5/8x2.1/2x0A</v>
      </c>
      <c r="B449" s="4" t="s">
        <v>984</v>
      </c>
      <c r="C449" s="34">
        <v>38709</v>
      </c>
      <c r="D449" s="35" t="s">
        <v>985</v>
      </c>
      <c r="E449" s="36">
        <v>0.11940000000000001</v>
      </c>
      <c r="F449" s="37"/>
      <c r="G449" s="38"/>
      <c r="H449" s="39">
        <v>0.11940000000000001</v>
      </c>
      <c r="I449" s="26" t="s">
        <v>770</v>
      </c>
      <c r="M449" s="58"/>
    </row>
    <row r="450" spans="1:13" x14ac:dyDescent="0.25">
      <c r="A450" s="26" t="str">
        <f t="shared" si="10"/>
        <v>Perno Hex Cte 5/8x2.1/2x1A</v>
      </c>
      <c r="B450" s="4" t="s">
        <v>986</v>
      </c>
      <c r="C450" s="34">
        <v>37421</v>
      </c>
      <c r="D450" s="35" t="s">
        <v>987</v>
      </c>
      <c r="E450" s="36">
        <v>0.127</v>
      </c>
      <c r="F450" s="37"/>
      <c r="G450" s="38"/>
      <c r="H450" s="39">
        <v>0.127</v>
      </c>
      <c r="I450" s="26" t="s">
        <v>770</v>
      </c>
      <c r="M450" s="58"/>
    </row>
    <row r="451" spans="1:13" x14ac:dyDescent="0.25">
      <c r="A451" s="26" t="str">
        <f t="shared" si="10"/>
        <v>Perno Hex Cte 5/8x2x0A</v>
      </c>
      <c r="B451" s="4" t="s">
        <v>988</v>
      </c>
      <c r="C451" s="34">
        <v>35015</v>
      </c>
      <c r="D451" s="35" t="s">
        <v>989</v>
      </c>
      <c r="E451" s="36">
        <v>0.10340000000000001</v>
      </c>
      <c r="F451" s="37"/>
      <c r="G451" s="38"/>
      <c r="H451" s="39">
        <v>0.10340000000000001</v>
      </c>
      <c r="I451" s="26" t="s">
        <v>770</v>
      </c>
      <c r="M451" s="58"/>
    </row>
    <row r="452" spans="1:13" x14ac:dyDescent="0.25">
      <c r="A452" s="26" t="str">
        <f t="shared" si="10"/>
        <v>Perno Hex Cte 5/8x2x1/2A</v>
      </c>
      <c r="B452" s="4" t="s">
        <v>990</v>
      </c>
      <c r="C452" s="34">
        <v>35305</v>
      </c>
      <c r="D452" s="35" t="s">
        <v>991</v>
      </c>
      <c r="E452" s="36">
        <v>0.105</v>
      </c>
      <c r="F452" s="37" t="s">
        <v>123</v>
      </c>
      <c r="G452" s="38"/>
      <c r="H452" s="39">
        <v>0.105</v>
      </c>
      <c r="I452" s="26" t="s">
        <v>770</v>
      </c>
      <c r="M452" s="58"/>
    </row>
    <row r="453" spans="1:13" x14ac:dyDescent="0.25">
      <c r="A453" s="26" t="str">
        <f t="shared" si="10"/>
        <v>Perno Hex Cte 5/8x3x0A</v>
      </c>
      <c r="B453" s="4" t="s">
        <v>992</v>
      </c>
      <c r="C453" s="34">
        <v>36574</v>
      </c>
      <c r="D453" s="35" t="s">
        <v>993</v>
      </c>
      <c r="E453" s="36">
        <v>0.13639999999999999</v>
      </c>
      <c r="F453" s="37"/>
      <c r="G453" s="38"/>
      <c r="H453" s="39">
        <v>0.13639999999999999</v>
      </c>
      <c r="I453" s="26" t="s">
        <v>770</v>
      </c>
      <c r="M453" s="58"/>
    </row>
    <row r="454" spans="1:13" x14ac:dyDescent="0.25">
      <c r="A454" s="26" t="str">
        <f t="shared" si="10"/>
        <v>Perno Hex Cte 5/8x3x1.1/2A</v>
      </c>
      <c r="B454" s="4" t="s">
        <v>994</v>
      </c>
      <c r="C454" s="34">
        <v>35636</v>
      </c>
      <c r="D454" s="35" t="s">
        <v>995</v>
      </c>
      <c r="E454" s="36">
        <v>0.1472</v>
      </c>
      <c r="F454" s="37"/>
      <c r="G454" s="38"/>
      <c r="H454" s="39">
        <v>0.1472</v>
      </c>
      <c r="I454" s="26" t="s">
        <v>770</v>
      </c>
      <c r="M454" s="58"/>
    </row>
    <row r="455" spans="1:13" x14ac:dyDescent="0.25">
      <c r="A455" s="26" t="str">
        <f t="shared" si="10"/>
        <v>Perno Hex Cte 5/8x3.1/2</v>
      </c>
      <c r="B455" s="4" t="s">
        <v>996</v>
      </c>
      <c r="C455" s="34">
        <v>34696</v>
      </c>
      <c r="D455" s="35" t="s">
        <v>997</v>
      </c>
      <c r="E455" s="36">
        <v>0.16</v>
      </c>
      <c r="F455" s="37"/>
      <c r="G455" s="38"/>
      <c r="H455" s="39">
        <v>0.16</v>
      </c>
      <c r="I455" s="26" t="s">
        <v>770</v>
      </c>
      <c r="M455" s="58"/>
    </row>
    <row r="456" spans="1:13" x14ac:dyDescent="0.25">
      <c r="A456" s="26" t="str">
        <f t="shared" si="10"/>
        <v>Perno Hex Cte 5/8x5x1.1/2A</v>
      </c>
      <c r="B456" s="4" t="s">
        <v>998</v>
      </c>
      <c r="C456" s="34">
        <v>35029</v>
      </c>
      <c r="D456" s="42" t="s">
        <v>999</v>
      </c>
      <c r="E456" s="34">
        <v>0.20499999999999999</v>
      </c>
      <c r="F456" s="40"/>
      <c r="G456" s="41"/>
      <c r="H456" s="39">
        <v>0.20499999999999999</v>
      </c>
      <c r="I456" s="26" t="s">
        <v>770</v>
      </c>
      <c r="M456" s="58"/>
    </row>
    <row r="457" spans="1:13" x14ac:dyDescent="0.25">
      <c r="A457" s="26" t="str">
        <f t="shared" si="10"/>
        <v>Perno Hex Cte 5/8x7x4A</v>
      </c>
      <c r="B457" s="4" t="s">
        <v>1000</v>
      </c>
      <c r="C457" s="34">
        <v>34595</v>
      </c>
      <c r="D457" s="35" t="s">
        <v>1001</v>
      </c>
      <c r="E457" s="36">
        <v>0.30399999999999999</v>
      </c>
      <c r="F457" s="37"/>
      <c r="G457" s="38"/>
      <c r="H457" s="39">
        <v>0.30399999999999999</v>
      </c>
      <c r="I457" s="26" t="s">
        <v>770</v>
      </c>
      <c r="M457" s="58"/>
    </row>
    <row r="458" spans="1:13" x14ac:dyDescent="0.25">
      <c r="A458" s="26" t="str">
        <f t="shared" si="10"/>
        <v>Perno Hex Cte 5/8x8x4A</v>
      </c>
      <c r="B458" s="4" t="s">
        <v>1002</v>
      </c>
      <c r="C458" s="34">
        <v>34739</v>
      </c>
      <c r="D458" s="35" t="s">
        <v>1003</v>
      </c>
      <c r="E458" s="36">
        <v>0.32</v>
      </c>
      <c r="F458" s="37"/>
      <c r="G458" s="38"/>
      <c r="H458" s="39">
        <v>0.32</v>
      </c>
      <c r="I458" s="26" t="s">
        <v>770</v>
      </c>
      <c r="M458" s="58"/>
    </row>
    <row r="459" spans="1:13" x14ac:dyDescent="0.25">
      <c r="A459" s="26" t="str">
        <f t="shared" si="10"/>
        <v>Perno Hex Cte 5/8x8x5A</v>
      </c>
      <c r="B459" s="4" t="s">
        <v>1004</v>
      </c>
      <c r="C459" s="34">
        <v>35373</v>
      </c>
      <c r="D459" s="35" t="s">
        <v>1005</v>
      </c>
      <c r="E459" s="36">
        <v>0.33611999999999997</v>
      </c>
      <c r="F459" s="37" t="s">
        <v>123</v>
      </c>
      <c r="G459" s="38"/>
      <c r="H459" s="39">
        <v>0.33611999999999997</v>
      </c>
      <c r="I459" s="26" t="s">
        <v>770</v>
      </c>
      <c r="M459" s="58"/>
    </row>
    <row r="460" spans="1:13" x14ac:dyDescent="0.25">
      <c r="A460" s="26" t="str">
        <f t="shared" si="10"/>
        <v>Perno Hex Cte 5/8x9x4A</v>
      </c>
      <c r="B460" s="4" t="s">
        <v>1006</v>
      </c>
      <c r="C460" s="34">
        <v>36365</v>
      </c>
      <c r="D460" s="35" t="s">
        <v>1007</v>
      </c>
      <c r="E460" s="36">
        <v>0.36699999999999999</v>
      </c>
      <c r="F460" s="37"/>
      <c r="G460" s="38"/>
      <c r="H460" s="39">
        <v>0.36699999999999999</v>
      </c>
      <c r="I460" s="26" t="s">
        <v>770</v>
      </c>
      <c r="M460" s="58"/>
    </row>
    <row r="461" spans="1:13" x14ac:dyDescent="0.25">
      <c r="A461" s="26" t="str">
        <f t="shared" si="10"/>
        <v>Perno Hex Cte 5/8x9x5A</v>
      </c>
      <c r="B461" s="4" t="s">
        <v>1008</v>
      </c>
      <c r="C461" s="34">
        <v>35485</v>
      </c>
      <c r="D461" s="35" t="s">
        <v>1009</v>
      </c>
      <c r="E461" s="36">
        <v>0.36599999999999999</v>
      </c>
      <c r="F461" s="37" t="s">
        <v>123</v>
      </c>
      <c r="G461" s="38"/>
      <c r="H461" s="39">
        <v>0.36599999999999999</v>
      </c>
      <c r="I461" s="26" t="s">
        <v>770</v>
      </c>
      <c r="M461" s="58"/>
    </row>
    <row r="462" spans="1:13" x14ac:dyDescent="0.25">
      <c r="A462" s="26" t="str">
        <f t="shared" si="10"/>
        <v>Perno Hex Cte 5/8x9x6A</v>
      </c>
      <c r="B462" s="4" t="s">
        <v>1010</v>
      </c>
      <c r="C462" s="34">
        <v>35056</v>
      </c>
      <c r="D462" s="35" t="s">
        <v>1011</v>
      </c>
      <c r="E462" s="36">
        <v>0.37376999999999999</v>
      </c>
      <c r="F462" s="37"/>
      <c r="G462" s="38"/>
      <c r="H462" s="39">
        <v>0.37376999999999999</v>
      </c>
      <c r="I462" s="26" t="s">
        <v>770</v>
      </c>
      <c r="M462" s="58"/>
    </row>
    <row r="463" spans="1:13" x14ac:dyDescent="0.25">
      <c r="A463" s="26" t="str">
        <f t="shared" si="10"/>
        <v>Perno Hex Cte 5/8x10x7A</v>
      </c>
      <c r="B463" s="4" t="s">
        <v>1012</v>
      </c>
      <c r="C463" s="34">
        <v>34760</v>
      </c>
      <c r="D463" s="35" t="s">
        <v>1013</v>
      </c>
      <c r="E463" s="36">
        <v>0.42399999999999999</v>
      </c>
      <c r="F463" s="37"/>
      <c r="G463" s="38"/>
      <c r="H463" s="39">
        <v>0.42399999999999999</v>
      </c>
      <c r="I463" s="26" t="s">
        <v>770</v>
      </c>
      <c r="M463" s="58"/>
    </row>
    <row r="464" spans="1:13" x14ac:dyDescent="0.25">
      <c r="A464" s="26" t="str">
        <f t="shared" si="10"/>
        <v>Perno Hex Cte 5/8x12x9A</v>
      </c>
      <c r="B464" s="4" t="s">
        <v>1014</v>
      </c>
      <c r="C464" s="34">
        <v>34773</v>
      </c>
      <c r="D464" s="35" t="s">
        <v>1015</v>
      </c>
      <c r="E464" s="36">
        <v>0.496</v>
      </c>
      <c r="F464" s="37"/>
      <c r="G464" s="38"/>
      <c r="H464" s="39">
        <v>0.496</v>
      </c>
      <c r="I464" s="26" t="s">
        <v>770</v>
      </c>
      <c r="M464" s="58"/>
    </row>
    <row r="465" spans="1:13" x14ac:dyDescent="0.25">
      <c r="A465" s="26" t="str">
        <f t="shared" si="10"/>
        <v>Perno Hex Cte 5/8x11x8A</v>
      </c>
      <c r="B465" s="4" t="s">
        <v>1016</v>
      </c>
      <c r="C465" s="34">
        <v>32607</v>
      </c>
      <c r="D465" s="35" t="s">
        <v>1017</v>
      </c>
      <c r="E465" s="36">
        <v>0.47299999999999998</v>
      </c>
      <c r="F465" s="37"/>
      <c r="G465" s="38"/>
      <c r="H465" s="39">
        <v>0.47299999999999998</v>
      </c>
      <c r="I465" s="26" t="s">
        <v>770</v>
      </c>
      <c r="M465" s="58"/>
    </row>
    <row r="466" spans="1:13" x14ac:dyDescent="0.25">
      <c r="A466" s="26" t="str">
        <f t="shared" si="10"/>
        <v>Perno Hex Cte 5/8x12x6A</v>
      </c>
      <c r="B466" s="4" t="s">
        <v>1018</v>
      </c>
      <c r="C466" s="34">
        <v>35521</v>
      </c>
      <c r="D466" s="35" t="s">
        <v>1019</v>
      </c>
      <c r="E466" s="36">
        <v>0.46700000000000003</v>
      </c>
      <c r="F466" s="37"/>
      <c r="G466" s="38"/>
      <c r="H466" s="39">
        <v>0.46700000000000003</v>
      </c>
      <c r="I466" s="26" t="s">
        <v>770</v>
      </c>
      <c r="M466" s="58"/>
    </row>
    <row r="467" spans="1:13" x14ac:dyDescent="0.25">
      <c r="A467" s="26" t="str">
        <f t="shared" si="10"/>
        <v>Perno Hex Cte 5/8x12x8A</v>
      </c>
      <c r="B467" s="4" t="s">
        <v>1020</v>
      </c>
      <c r="C467" s="34">
        <v>35522</v>
      </c>
      <c r="D467" s="35" t="s">
        <v>1021</v>
      </c>
      <c r="E467" s="36">
        <v>0.48699999999999999</v>
      </c>
      <c r="F467" s="37"/>
      <c r="G467" s="38"/>
      <c r="H467" s="39">
        <v>0.48699999999999999</v>
      </c>
      <c r="I467" s="26" t="s">
        <v>770</v>
      </c>
      <c r="M467" s="58"/>
    </row>
    <row r="468" spans="1:13" x14ac:dyDescent="0.25">
      <c r="A468" s="26" t="str">
        <f t="shared" si="10"/>
        <v>Perno Hex Cte 5/8x13x10A</v>
      </c>
      <c r="B468" s="4" t="s">
        <v>1022</v>
      </c>
      <c r="C468" s="34">
        <v>32631</v>
      </c>
      <c r="D468" s="35" t="s">
        <v>1023</v>
      </c>
      <c r="E468" s="36">
        <v>0.52700000000000002</v>
      </c>
      <c r="F468" s="37"/>
      <c r="G468" s="38"/>
      <c r="H468" s="39">
        <v>0.52700000000000002</v>
      </c>
      <c r="I468" s="26" t="s">
        <v>770</v>
      </c>
      <c r="M468" s="58"/>
    </row>
    <row r="469" spans="1:13" x14ac:dyDescent="0.25">
      <c r="A469" s="26" t="str">
        <f t="shared" si="10"/>
        <v>Perno Hex Cte 5/8x14x11A</v>
      </c>
      <c r="B469" s="4" t="s">
        <v>1024</v>
      </c>
      <c r="C469" s="34">
        <v>35232</v>
      </c>
      <c r="D469" s="35" t="s">
        <v>1025</v>
      </c>
      <c r="E469" s="36">
        <v>0.54</v>
      </c>
      <c r="F469" s="37" t="s">
        <v>123</v>
      </c>
      <c r="G469" s="38"/>
      <c r="H469" s="39">
        <v>0.54</v>
      </c>
      <c r="I469" s="26" t="s">
        <v>770</v>
      </c>
      <c r="M469" s="58"/>
    </row>
    <row r="470" spans="1:13" x14ac:dyDescent="0.25">
      <c r="A470" s="26" t="str">
        <f t="shared" si="10"/>
        <v>Perno Hex Cte 5/8x14x3A</v>
      </c>
      <c r="B470" s="4" t="s">
        <v>1026</v>
      </c>
      <c r="C470" s="34">
        <v>35696</v>
      </c>
      <c r="D470" s="35" t="s">
        <v>1027</v>
      </c>
      <c r="E470" s="36">
        <v>0.51600000000000001</v>
      </c>
      <c r="F470" s="37" t="s">
        <v>123</v>
      </c>
      <c r="G470" s="38"/>
      <c r="H470" s="39">
        <v>0.51600000000000001</v>
      </c>
      <c r="I470" s="26" t="s">
        <v>770</v>
      </c>
      <c r="M470" s="58"/>
    </row>
    <row r="471" spans="1:13" x14ac:dyDescent="0.25">
      <c r="A471" s="26" t="str">
        <f t="shared" si="10"/>
        <v>Perno Hex Cte 5/8x14x8A</v>
      </c>
      <c r="B471" s="4" t="s">
        <v>1028</v>
      </c>
      <c r="C471" s="34">
        <v>38015</v>
      </c>
      <c r="D471" s="35" t="s">
        <v>1029</v>
      </c>
      <c r="E471" s="36">
        <v>0.54500000000000004</v>
      </c>
      <c r="F471" s="37"/>
      <c r="G471" s="38"/>
      <c r="H471" s="39">
        <v>0.54500000000000004</v>
      </c>
      <c r="I471" s="26" t="s">
        <v>770</v>
      </c>
      <c r="M471" s="58"/>
    </row>
    <row r="472" spans="1:13" x14ac:dyDescent="0.25">
      <c r="A472" s="26" t="str">
        <f t="shared" si="10"/>
        <v>Perno Hex Cte 5/8x15x3A</v>
      </c>
      <c r="B472" s="4" t="s">
        <v>1030</v>
      </c>
      <c r="C472" s="34">
        <v>37586</v>
      </c>
      <c r="D472" s="35" t="s">
        <v>1031</v>
      </c>
      <c r="E472" s="36">
        <v>0.53700000000000003</v>
      </c>
      <c r="F472" s="37"/>
      <c r="G472" s="38"/>
      <c r="H472" s="39">
        <v>0.53700000000000003</v>
      </c>
      <c r="I472" s="26" t="s">
        <v>770</v>
      </c>
      <c r="M472" s="58"/>
    </row>
    <row r="473" spans="1:13" x14ac:dyDescent="0.25">
      <c r="A473" s="26" t="str">
        <f t="shared" si="10"/>
        <v>Perno Hex Cte 5/8x15x12A</v>
      </c>
      <c r="B473" s="4" t="s">
        <v>1032</v>
      </c>
      <c r="C473" s="34">
        <v>35981</v>
      </c>
      <c r="D473" s="35" t="s">
        <v>1033</v>
      </c>
      <c r="E473" s="36">
        <v>0.61899999999999999</v>
      </c>
      <c r="F473" s="37"/>
      <c r="G473" s="38"/>
      <c r="H473" s="39">
        <v>0.61899999999999999</v>
      </c>
      <c r="I473" s="26" t="s">
        <v>770</v>
      </c>
      <c r="M473" s="58"/>
    </row>
    <row r="474" spans="1:13" x14ac:dyDescent="0.25">
      <c r="A474" s="26" t="str">
        <f t="shared" si="10"/>
        <v>Perno Hex Cte 5/8x16x13A</v>
      </c>
      <c r="B474" s="4" t="s">
        <v>1034</v>
      </c>
      <c r="C474" s="34">
        <v>35982</v>
      </c>
      <c r="D474" s="35" t="s">
        <v>1035</v>
      </c>
      <c r="E474" s="36">
        <v>0.63500000000000001</v>
      </c>
      <c r="F474" s="37"/>
      <c r="G474" s="38"/>
      <c r="H474" s="39">
        <v>0.63500000000000001</v>
      </c>
      <c r="I474" s="26" t="s">
        <v>770</v>
      </c>
      <c r="M474" s="58"/>
    </row>
    <row r="475" spans="1:13" x14ac:dyDescent="0.25">
      <c r="A475" s="26" t="str">
        <f t="shared" si="10"/>
        <v>Perno Hex Cte 5/8x16x3A</v>
      </c>
      <c r="B475" s="4" t="s">
        <v>1036</v>
      </c>
      <c r="C475" s="34">
        <v>39010</v>
      </c>
      <c r="D475" s="35" t="s">
        <v>1037</v>
      </c>
      <c r="E475" s="36">
        <v>0.64800000000000002</v>
      </c>
      <c r="F475" s="37"/>
      <c r="G475" s="38"/>
      <c r="H475" s="39">
        <v>0.64800000000000002</v>
      </c>
      <c r="I475" s="26" t="s">
        <v>770</v>
      </c>
      <c r="M475" s="58"/>
    </row>
    <row r="476" spans="1:13" x14ac:dyDescent="0.25">
      <c r="A476" s="26" t="str">
        <f t="shared" si="10"/>
        <v>Perno Hex Cte 5/8x17x3A</v>
      </c>
      <c r="B476" s="4" t="s">
        <v>1038</v>
      </c>
      <c r="C476" s="34">
        <v>33887</v>
      </c>
      <c r="D476" s="35" t="s">
        <v>1039</v>
      </c>
      <c r="E476" s="36">
        <v>0.61</v>
      </c>
      <c r="F476" s="37"/>
      <c r="G476" s="38"/>
      <c r="H476" s="39">
        <v>0.61</v>
      </c>
      <c r="I476" s="26" t="s">
        <v>770</v>
      </c>
      <c r="M476" s="58"/>
    </row>
    <row r="477" spans="1:13" x14ac:dyDescent="0.25">
      <c r="A477" s="26" t="str">
        <f t="shared" si="10"/>
        <v>Perno Hex Cte G-5 7/8x12x57mm</v>
      </c>
      <c r="B477" s="4" t="s">
        <v>1040</v>
      </c>
      <c r="C477" s="34">
        <v>38357</v>
      </c>
      <c r="D477" s="35" t="s">
        <v>1041</v>
      </c>
      <c r="E477" s="36">
        <v>0.42</v>
      </c>
      <c r="F477" s="37"/>
      <c r="G477" s="38"/>
      <c r="H477" s="39">
        <v>0.42</v>
      </c>
      <c r="I477" s="26" t="s">
        <v>770</v>
      </c>
      <c r="M477" s="58"/>
    </row>
    <row r="478" spans="1:13" x14ac:dyDescent="0.25">
      <c r="A478" s="26" t="str">
        <f t="shared" si="10"/>
        <v>Perno Hex Cte G-5 1x4x2.1/4</v>
      </c>
      <c r="B478" s="4" t="s">
        <v>1042</v>
      </c>
      <c r="C478" s="34">
        <v>35151</v>
      </c>
      <c r="D478" s="35" t="s">
        <v>1043</v>
      </c>
      <c r="E478" s="36">
        <v>0.53071000000000002</v>
      </c>
      <c r="F478" s="37" t="s">
        <v>123</v>
      </c>
      <c r="G478" s="38"/>
      <c r="H478" s="39">
        <v>0.53071000000000002</v>
      </c>
      <c r="I478" s="26" t="s">
        <v>770</v>
      </c>
      <c r="M478" s="58"/>
    </row>
    <row r="479" spans="1:13" x14ac:dyDescent="0.25">
      <c r="A479" s="26" t="str">
        <f t="shared" si="10"/>
        <v>Perno Hex Cte G-5 1x8x2.1/2</v>
      </c>
      <c r="B479" s="4" t="s">
        <v>1044</v>
      </c>
      <c r="C479" s="34">
        <v>35150</v>
      </c>
      <c r="D479" s="35" t="s">
        <v>1045</v>
      </c>
      <c r="E479" s="36">
        <v>1.0015799999999999</v>
      </c>
      <c r="F479" s="37"/>
      <c r="G479" s="38"/>
      <c r="H479" s="39">
        <v>1.0015799999999999</v>
      </c>
      <c r="I479" s="26" t="s">
        <v>770</v>
      </c>
      <c r="M479" s="58"/>
    </row>
    <row r="480" spans="1:13" x14ac:dyDescent="0.25">
      <c r="A480" s="26" t="str">
        <f t="shared" ref="A480:A499" si="11">B480&amp;K480</f>
        <v>Perno Hex Cte G-5 1x10x2.1/2</v>
      </c>
      <c r="B480" s="4" t="s">
        <v>1046</v>
      </c>
      <c r="C480" s="34">
        <v>35149</v>
      </c>
      <c r="D480" s="35" t="s">
        <v>1047</v>
      </c>
      <c r="E480" s="36">
        <v>1.252</v>
      </c>
      <c r="F480" s="37"/>
      <c r="G480" s="38"/>
      <c r="H480" s="39">
        <v>1.252</v>
      </c>
      <c r="I480" s="26" t="s">
        <v>770</v>
      </c>
      <c r="M480" s="58"/>
    </row>
    <row r="481" spans="1:13" x14ac:dyDescent="0.25">
      <c r="A481" s="26" t="str">
        <f t="shared" si="11"/>
        <v>Perno Hex Cte 5/8x150mm</v>
      </c>
      <c r="B481" s="4" t="s">
        <v>1048</v>
      </c>
      <c r="C481" s="34">
        <v>38465</v>
      </c>
      <c r="D481" s="35" t="s">
        <v>1049</v>
      </c>
      <c r="E481" s="36">
        <v>0.26</v>
      </c>
      <c r="F481" s="37"/>
      <c r="G481" s="38"/>
      <c r="H481" s="39">
        <v>0.26</v>
      </c>
      <c r="I481" s="26" t="s">
        <v>770</v>
      </c>
      <c r="M481" s="58"/>
    </row>
    <row r="482" spans="1:13" x14ac:dyDescent="0.25">
      <c r="A482" s="26" t="str">
        <f t="shared" si="11"/>
        <v>Perno Hex Cte M24x50</v>
      </c>
      <c r="B482" s="4" t="s">
        <v>1050</v>
      </c>
      <c r="C482" s="34">
        <v>37884</v>
      </c>
      <c r="D482" s="35" t="s">
        <v>1051</v>
      </c>
      <c r="E482" s="36">
        <v>0.27400000000000002</v>
      </c>
      <c r="F482" s="37"/>
      <c r="G482" s="38"/>
      <c r="H482" s="39">
        <v>0.27400000000000002</v>
      </c>
      <c r="I482" s="26" t="s">
        <v>770</v>
      </c>
      <c r="M482" s="58"/>
    </row>
    <row r="483" spans="1:13" x14ac:dyDescent="0.25">
      <c r="A483" s="26" t="str">
        <f t="shared" si="11"/>
        <v>Perno Hex Cte M24x100</v>
      </c>
      <c r="B483" s="4" t="s">
        <v>1052</v>
      </c>
      <c r="C483" s="34">
        <v>35311</v>
      </c>
      <c r="D483" s="35" t="s">
        <v>1053</v>
      </c>
      <c r="E483" s="36">
        <v>0.44400000000000001</v>
      </c>
      <c r="F483" s="37" t="s">
        <v>1054</v>
      </c>
      <c r="G483" s="38"/>
      <c r="H483" s="39">
        <v>0.54700000000000004</v>
      </c>
      <c r="I483" s="26" t="s">
        <v>770</v>
      </c>
      <c r="M483" s="58"/>
    </row>
    <row r="484" spans="1:13" x14ac:dyDescent="0.25">
      <c r="A484" s="26" t="str">
        <f t="shared" si="11"/>
        <v>Perno Hex Cte M20x160</v>
      </c>
      <c r="B484" s="4" t="s">
        <v>1055</v>
      </c>
      <c r="C484" s="34">
        <v>34788</v>
      </c>
      <c r="D484" s="35" t="s">
        <v>1056</v>
      </c>
      <c r="E484" s="36">
        <v>0.438</v>
      </c>
      <c r="F484" s="37"/>
      <c r="G484" s="38"/>
      <c r="H484" s="39">
        <v>0.49830000000000002</v>
      </c>
      <c r="I484" s="26" t="s">
        <v>770</v>
      </c>
      <c r="M484" s="58"/>
    </row>
    <row r="485" spans="1:13" x14ac:dyDescent="0.25">
      <c r="A485" s="26" t="str">
        <f t="shared" si="11"/>
        <v>Perno Hex Cte M24x120</v>
      </c>
      <c r="B485" s="4" t="s">
        <v>1057</v>
      </c>
      <c r="C485" s="34">
        <v>36313</v>
      </c>
      <c r="D485" s="35" t="s">
        <v>1058</v>
      </c>
      <c r="E485" s="36">
        <v>0.52700000000000002</v>
      </c>
      <c r="F485" s="37"/>
      <c r="G485" s="38"/>
      <c r="H485" s="39">
        <v>0.52700000000000002</v>
      </c>
      <c r="I485" s="26" t="s">
        <v>770</v>
      </c>
      <c r="M485" s="58"/>
    </row>
    <row r="486" spans="1:13" x14ac:dyDescent="0.25">
      <c r="A486" s="26" t="str">
        <f t="shared" si="11"/>
        <v>Perno Maq. Cab Plana Avell Ranur 3/4x2x1.3/4</v>
      </c>
      <c r="B486" s="4" t="s">
        <v>1059</v>
      </c>
      <c r="C486" s="34">
        <v>35312</v>
      </c>
      <c r="D486" s="35" t="s">
        <v>1060</v>
      </c>
      <c r="E486" s="36">
        <v>0.13500000000000001</v>
      </c>
      <c r="F486" s="37" t="s">
        <v>190</v>
      </c>
      <c r="G486" s="38"/>
      <c r="H486" s="39">
        <v>0.13500000000000001</v>
      </c>
      <c r="I486" s="26" t="s">
        <v>152</v>
      </c>
      <c r="M486" s="58"/>
    </row>
    <row r="487" spans="1:13" x14ac:dyDescent="0.25">
      <c r="A487" s="26" t="str">
        <f t="shared" si="11"/>
        <v>Perno Ojo 5/8x10x5H</v>
      </c>
      <c r="B487" s="4" t="s">
        <v>1061</v>
      </c>
      <c r="C487" s="34">
        <v>34420</v>
      </c>
      <c r="D487" s="35" t="s">
        <v>1062</v>
      </c>
      <c r="E487" s="36">
        <v>0.64200000000000002</v>
      </c>
      <c r="F487" s="37"/>
      <c r="G487" s="38"/>
      <c r="H487" s="39">
        <v>0.64200000000000002</v>
      </c>
      <c r="I487" s="26" t="s">
        <v>1063</v>
      </c>
      <c r="J487" s="27" t="s">
        <v>74</v>
      </c>
      <c r="K487" s="27"/>
      <c r="M487" s="58"/>
    </row>
    <row r="488" spans="1:13" x14ac:dyDescent="0.25">
      <c r="A488" s="26" t="str">
        <f t="shared" si="11"/>
        <v>Perno Ojo 5/8x11x3H</v>
      </c>
      <c r="B488" s="4" t="s">
        <v>1064</v>
      </c>
      <c r="C488" s="34">
        <v>36696</v>
      </c>
      <c r="D488" s="35" t="s">
        <v>1065</v>
      </c>
      <c r="E488" s="36">
        <v>0.70399999999999996</v>
      </c>
      <c r="F488" s="37"/>
      <c r="G488" s="38"/>
      <c r="H488" s="39">
        <v>0.70399999999999996</v>
      </c>
      <c r="I488" s="26" t="s">
        <v>1063</v>
      </c>
      <c r="J488" s="27" t="s">
        <v>74</v>
      </c>
      <c r="K488" s="27"/>
      <c r="M488" s="58"/>
    </row>
    <row r="489" spans="1:13" x14ac:dyDescent="0.25">
      <c r="A489" s="26" t="str">
        <f t="shared" si="11"/>
        <v>Perno Ojo 5/8x11x8H</v>
      </c>
      <c r="B489" s="4" t="s">
        <v>1066</v>
      </c>
      <c r="C489" s="34">
        <v>36323</v>
      </c>
      <c r="D489" s="35" t="s">
        <v>1067</v>
      </c>
      <c r="E489" s="36">
        <v>0.70399999999999996</v>
      </c>
      <c r="F489" s="37"/>
      <c r="G489" s="38"/>
      <c r="H489" s="39">
        <v>0.70399999999999996</v>
      </c>
      <c r="I489" s="26" t="s">
        <v>1063</v>
      </c>
      <c r="J489" s="27" t="s">
        <v>74</v>
      </c>
      <c r="K489" s="27"/>
      <c r="M489" s="58"/>
    </row>
    <row r="490" spans="1:13" x14ac:dyDescent="0.25">
      <c r="A490" s="26" t="str">
        <f t="shared" si="11"/>
        <v>Perno Ojo 5/8x12x127H</v>
      </c>
      <c r="B490" s="4" t="s">
        <v>1068</v>
      </c>
      <c r="C490" s="34">
        <v>34913</v>
      </c>
      <c r="D490" s="42" t="s">
        <v>1069</v>
      </c>
      <c r="E490" s="34">
        <v>0.97</v>
      </c>
      <c r="F490" s="37"/>
      <c r="G490" s="38"/>
      <c r="H490" s="39">
        <v>0.97</v>
      </c>
      <c r="I490" s="26" t="s">
        <v>1063</v>
      </c>
      <c r="J490" s="27" t="s">
        <v>74</v>
      </c>
      <c r="K490" s="27"/>
      <c r="M490" s="58"/>
    </row>
    <row r="491" spans="1:13" x14ac:dyDescent="0.25">
      <c r="A491" s="26" t="str">
        <f t="shared" si="11"/>
        <v>Perno Ojo 5/8x12x5H</v>
      </c>
      <c r="B491" s="4" t="s">
        <v>1070</v>
      </c>
      <c r="C491" s="34">
        <v>38379</v>
      </c>
      <c r="D491" s="42" t="s">
        <v>1071</v>
      </c>
      <c r="E491" s="34">
        <v>0.73399999999999999</v>
      </c>
      <c r="F491" s="37"/>
      <c r="G491" s="38"/>
      <c r="H491" s="39">
        <v>0.73399999999999999</v>
      </c>
      <c r="I491" s="26" t="s">
        <v>1063</v>
      </c>
      <c r="J491" s="27" t="s">
        <v>74</v>
      </c>
      <c r="K491" s="27"/>
      <c r="M491" s="58"/>
    </row>
    <row r="492" spans="1:13" x14ac:dyDescent="0.25">
      <c r="A492" s="26" t="str">
        <f t="shared" si="11"/>
        <v>Perno Ojo 5/8x12x9H</v>
      </c>
      <c r="B492" s="4" t="s">
        <v>1072</v>
      </c>
      <c r="C492" s="34">
        <v>35843</v>
      </c>
      <c r="D492" s="42" t="s">
        <v>1073</v>
      </c>
      <c r="E492" s="34">
        <v>0.68300000000000005</v>
      </c>
      <c r="F492" s="37"/>
      <c r="G492" s="38"/>
      <c r="H492" s="39">
        <v>0.68300000000000005</v>
      </c>
      <c r="I492" s="26" t="s">
        <v>1063</v>
      </c>
      <c r="J492" s="27" t="s">
        <v>74</v>
      </c>
      <c r="K492" s="27"/>
      <c r="M492" s="58"/>
    </row>
    <row r="493" spans="1:13" x14ac:dyDescent="0.25">
      <c r="A493" s="26" t="str">
        <f t="shared" si="11"/>
        <v>Perno Ojo 5/8x13x3H</v>
      </c>
      <c r="B493" s="4" t="s">
        <v>1074</v>
      </c>
      <c r="C493" s="34">
        <v>35193</v>
      </c>
      <c r="D493" s="42" t="s">
        <v>1075</v>
      </c>
      <c r="E493" s="34">
        <v>0.76800000000000002</v>
      </c>
      <c r="F493" s="37" t="s">
        <v>123</v>
      </c>
      <c r="G493" s="38"/>
      <c r="H493" s="39">
        <v>0.76800000000000002</v>
      </c>
      <c r="I493" s="26" t="s">
        <v>1063</v>
      </c>
      <c r="J493" s="27" t="s">
        <v>74</v>
      </c>
      <c r="K493" s="27"/>
      <c r="M493" s="58"/>
    </row>
    <row r="494" spans="1:13" x14ac:dyDescent="0.25">
      <c r="A494" s="26" t="str">
        <f t="shared" si="11"/>
        <v>Perno Ojo 5/8x14x9H</v>
      </c>
      <c r="B494" s="4" t="s">
        <v>1076</v>
      </c>
      <c r="C494" s="34">
        <v>35971</v>
      </c>
      <c r="D494" s="42" t="s">
        <v>1077</v>
      </c>
      <c r="E494" s="34">
        <v>1.0549999999999999</v>
      </c>
      <c r="F494" s="37"/>
      <c r="G494" s="38"/>
      <c r="H494" s="39">
        <v>1.0549999999999999</v>
      </c>
      <c r="I494" s="26" t="s">
        <v>1063</v>
      </c>
      <c r="J494" s="27" t="s">
        <v>74</v>
      </c>
      <c r="K494" s="27"/>
      <c r="M494" s="58"/>
    </row>
    <row r="495" spans="1:13" x14ac:dyDescent="0.25">
      <c r="A495" s="26" t="str">
        <f t="shared" si="11"/>
        <v>Perno Ojo 5/8x14x11H</v>
      </c>
      <c r="B495" s="4" t="s">
        <v>1078</v>
      </c>
      <c r="C495" s="34">
        <v>35845</v>
      </c>
      <c r="D495" s="42" t="s">
        <v>1079</v>
      </c>
      <c r="E495" s="34">
        <v>0.77800000000000002</v>
      </c>
      <c r="F495" s="37"/>
      <c r="G495" s="38"/>
      <c r="H495" s="39">
        <v>0.77800000000000002</v>
      </c>
      <c r="I495" s="26" t="s">
        <v>1063</v>
      </c>
      <c r="J495" s="27" t="s">
        <v>74</v>
      </c>
      <c r="K495" s="27"/>
      <c r="M495" s="58"/>
    </row>
    <row r="496" spans="1:13" x14ac:dyDescent="0.25">
      <c r="A496" s="26" t="str">
        <f t="shared" si="11"/>
        <v>Perno Ojo 5/8x15x12HESTAMPAR</v>
      </c>
      <c r="B496" s="4" t="s">
        <v>1080</v>
      </c>
      <c r="C496" s="34">
        <v>34818</v>
      </c>
      <c r="D496" s="35" t="s">
        <v>1081</v>
      </c>
      <c r="E496" s="36">
        <v>0.77700000000000002</v>
      </c>
      <c r="F496" s="37"/>
      <c r="G496" s="38"/>
      <c r="H496" s="39">
        <v>0.77700000000000002</v>
      </c>
      <c r="I496" s="26" t="s">
        <v>1063</v>
      </c>
      <c r="J496" s="27" t="s">
        <v>74</v>
      </c>
      <c r="K496" s="27" t="s">
        <v>1597</v>
      </c>
      <c r="L496" s="26">
        <v>41</v>
      </c>
      <c r="M496" s="58"/>
    </row>
    <row r="497" spans="1:13" x14ac:dyDescent="0.25">
      <c r="A497" s="26" t="str">
        <f t="shared" si="11"/>
        <v>Perno Ojo 5/8x406x187mmESTAMPAR</v>
      </c>
      <c r="B497" s="4" t="s">
        <v>1082</v>
      </c>
      <c r="C497" s="34">
        <v>37779</v>
      </c>
      <c r="D497" s="35" t="s">
        <v>1083</v>
      </c>
      <c r="E497" s="36">
        <v>0.84399999999999997</v>
      </c>
      <c r="F497" s="37"/>
      <c r="G497" s="38"/>
      <c r="H497" s="39">
        <v>0.84399999999999997</v>
      </c>
      <c r="I497" s="26" t="s">
        <v>1063</v>
      </c>
      <c r="J497" s="27" t="s">
        <v>74</v>
      </c>
      <c r="K497" s="27" t="s">
        <v>1597</v>
      </c>
      <c r="L497" s="26">
        <v>43</v>
      </c>
      <c r="M497" s="58"/>
    </row>
    <row r="498" spans="1:13" x14ac:dyDescent="0.25">
      <c r="A498" s="26" t="str">
        <f t="shared" si="11"/>
        <v>Perno Ojo 5/8x17x14HESTAMPAR</v>
      </c>
      <c r="B498" s="4" t="s">
        <v>1084</v>
      </c>
      <c r="C498" s="34">
        <v>35012</v>
      </c>
      <c r="D498" s="42" t="s">
        <v>1085</v>
      </c>
      <c r="E498" s="34">
        <v>0.82199999999999995</v>
      </c>
      <c r="F498" s="37" t="s">
        <v>123</v>
      </c>
      <c r="G498" s="38">
        <v>652</v>
      </c>
      <c r="H498" s="39">
        <v>0.82199999999999995</v>
      </c>
      <c r="I498" s="26" t="s">
        <v>1063</v>
      </c>
      <c r="J498" s="27" t="s">
        <v>74</v>
      </c>
      <c r="K498" s="27" t="s">
        <v>1597</v>
      </c>
      <c r="L498" s="26">
        <v>41</v>
      </c>
      <c r="M498" s="58"/>
    </row>
    <row r="499" spans="1:13" x14ac:dyDescent="0.25">
      <c r="A499" s="26" t="str">
        <f t="shared" si="11"/>
        <v>Perno Ojo 5/8x229ESTAMPAR</v>
      </c>
      <c r="B499" s="4" t="s">
        <v>1086</v>
      </c>
      <c r="C499" s="34">
        <v>34871</v>
      </c>
      <c r="D499" s="35" t="s">
        <v>1087</v>
      </c>
      <c r="E499" s="36">
        <v>0.57899999999999996</v>
      </c>
      <c r="F499" s="37"/>
      <c r="G499" s="38"/>
      <c r="H499" s="39">
        <v>0.57899999999999996</v>
      </c>
      <c r="I499" s="26" t="s">
        <v>1063</v>
      </c>
      <c r="J499" s="27" t="s">
        <v>74</v>
      </c>
      <c r="K499" s="27" t="s">
        <v>1597</v>
      </c>
      <c r="L499" s="26">
        <v>43</v>
      </c>
      <c r="M499" s="58"/>
    </row>
    <row r="500" spans="1:13" x14ac:dyDescent="0.25">
      <c r="A500" s="26" t="str">
        <f>B500&amp;K500</f>
        <v>Perno Ojo 5/8x7x3HESTAMPAR</v>
      </c>
      <c r="B500" s="4" t="s">
        <v>1088</v>
      </c>
      <c r="C500" s="34">
        <v>34514</v>
      </c>
      <c r="D500" s="35" t="s">
        <v>1089</v>
      </c>
      <c r="E500" s="36">
        <v>0.53300000000000003</v>
      </c>
      <c r="F500" s="37"/>
      <c r="G500" s="38"/>
      <c r="H500" s="39">
        <v>0.53300000000000003</v>
      </c>
      <c r="I500" s="26" t="s">
        <v>1063</v>
      </c>
      <c r="J500" s="27" t="s">
        <v>74</v>
      </c>
      <c r="K500" s="27" t="s">
        <v>1597</v>
      </c>
      <c r="L500" s="26">
        <v>43</v>
      </c>
      <c r="M500" s="58"/>
    </row>
    <row r="501" spans="1:13" x14ac:dyDescent="0.25">
      <c r="A501" s="26" t="str">
        <f t="shared" ref="A501:A566" si="12">B501&amp;K501</f>
        <v>Perno Ojo 5/8x8x4HESTAMPAR</v>
      </c>
      <c r="B501" s="4" t="s">
        <v>1090</v>
      </c>
      <c r="C501" s="34">
        <v>35269</v>
      </c>
      <c r="D501" s="35" t="s">
        <v>1091</v>
      </c>
      <c r="E501" s="36">
        <v>0.53600000000000003</v>
      </c>
      <c r="F501" s="37"/>
      <c r="G501" s="38"/>
      <c r="H501" s="39">
        <v>0.53600000000000003</v>
      </c>
      <c r="I501" s="26" t="s">
        <v>1063</v>
      </c>
      <c r="J501" s="27" t="s">
        <v>74</v>
      </c>
      <c r="K501" s="27" t="s">
        <v>1597</v>
      </c>
      <c r="L501" s="26">
        <v>43</v>
      </c>
      <c r="M501" s="58"/>
    </row>
    <row r="502" spans="1:13" x14ac:dyDescent="0.25">
      <c r="A502" s="26" t="str">
        <f t="shared" si="12"/>
        <v>Perno Ojo 5/8x9x3HESTAMPAR</v>
      </c>
      <c r="B502" s="4" t="s">
        <v>1092</v>
      </c>
      <c r="C502" s="34">
        <v>34661</v>
      </c>
      <c r="D502" s="35" t="s">
        <v>1093</v>
      </c>
      <c r="E502" s="36">
        <v>0.60399999999999998</v>
      </c>
      <c r="F502" s="37"/>
      <c r="G502" s="38"/>
      <c r="H502" s="39">
        <v>0.60399999999999998</v>
      </c>
      <c r="I502" s="26" t="s">
        <v>1063</v>
      </c>
      <c r="J502" s="27" t="s">
        <v>74</v>
      </c>
      <c r="K502" s="27" t="s">
        <v>1597</v>
      </c>
      <c r="L502" s="26">
        <v>43</v>
      </c>
      <c r="M502" s="58"/>
    </row>
    <row r="503" spans="1:13" x14ac:dyDescent="0.25">
      <c r="A503" s="26" t="str">
        <f t="shared" si="12"/>
        <v>Perno Ojo 5/8x9x5HESTAMPAR</v>
      </c>
      <c r="B503" s="4" t="s">
        <v>1094</v>
      </c>
      <c r="C503" s="34">
        <v>35001</v>
      </c>
      <c r="D503" s="35" t="s">
        <v>1095</v>
      </c>
      <c r="E503" s="36">
        <v>0.58699999999999997</v>
      </c>
      <c r="F503" s="37"/>
      <c r="G503" s="38"/>
      <c r="H503" s="39">
        <v>0.58699999999999997</v>
      </c>
      <c r="I503" s="26" t="s">
        <v>1063</v>
      </c>
      <c r="J503" s="27" t="s">
        <v>74</v>
      </c>
      <c r="K503" s="27" t="s">
        <v>1597</v>
      </c>
      <c r="L503" s="26">
        <v>43</v>
      </c>
      <c r="M503" s="58">
        <v>1</v>
      </c>
    </row>
    <row r="504" spans="1:13" x14ac:dyDescent="0.25">
      <c r="A504" s="26" t="str">
        <f t="shared" si="12"/>
        <v>Perno Ojo 5/8x9x5HREBABA EXT</v>
      </c>
      <c r="B504" s="45" t="s">
        <v>1094</v>
      </c>
      <c r="C504" s="46">
        <v>35001</v>
      </c>
      <c r="D504" s="47" t="s">
        <v>1095</v>
      </c>
      <c r="E504" s="48">
        <v>0.58699999999999997</v>
      </c>
      <c r="F504" s="49"/>
      <c r="G504" s="50"/>
      <c r="H504" s="51">
        <v>0.58699999999999997</v>
      </c>
      <c r="I504" s="52" t="s">
        <v>1063</v>
      </c>
      <c r="J504" s="53" t="s">
        <v>73</v>
      </c>
      <c r="K504" s="53" t="s">
        <v>1600</v>
      </c>
      <c r="L504" s="52">
        <v>200</v>
      </c>
      <c r="M504" s="60">
        <v>2</v>
      </c>
    </row>
    <row r="505" spans="1:13" x14ac:dyDescent="0.25">
      <c r="A505" s="26" t="str">
        <f t="shared" si="12"/>
        <v>Perno Ojo 5/8x9x5HREBABA INT</v>
      </c>
      <c r="B505" s="45" t="s">
        <v>1094</v>
      </c>
      <c r="C505" s="46">
        <v>35001</v>
      </c>
      <c r="D505" s="47" t="s">
        <v>1095</v>
      </c>
      <c r="E505" s="48">
        <v>0.58699999999999997</v>
      </c>
      <c r="F505" s="49"/>
      <c r="G505" s="50"/>
      <c r="H505" s="51">
        <v>0.58699999999999997</v>
      </c>
      <c r="I505" s="52" t="s">
        <v>1063</v>
      </c>
      <c r="J505" s="53" t="s">
        <v>73</v>
      </c>
      <c r="K505" s="53" t="s">
        <v>1599</v>
      </c>
      <c r="L505" s="52">
        <v>200</v>
      </c>
      <c r="M505" s="60">
        <v>3</v>
      </c>
    </row>
    <row r="506" spans="1:13" x14ac:dyDescent="0.25">
      <c r="A506" s="26" t="str">
        <f t="shared" si="12"/>
        <v>Perno Ojo 5/8x9x5HENDEREZAR</v>
      </c>
      <c r="B506" s="45" t="s">
        <v>1094</v>
      </c>
      <c r="C506" s="46">
        <v>35001</v>
      </c>
      <c r="D506" s="47" t="s">
        <v>1095</v>
      </c>
      <c r="E506" s="48">
        <v>0.58699999999999997</v>
      </c>
      <c r="F506" s="49"/>
      <c r="G506" s="50"/>
      <c r="H506" s="51">
        <v>0.58699999999999997</v>
      </c>
      <c r="I506" s="52" t="s">
        <v>1063</v>
      </c>
      <c r="J506" s="53" t="s">
        <v>72</v>
      </c>
      <c r="K506" s="53" t="s">
        <v>1608</v>
      </c>
      <c r="L506" s="52">
        <v>200</v>
      </c>
      <c r="M506" s="60">
        <v>4</v>
      </c>
    </row>
    <row r="507" spans="1:13" x14ac:dyDescent="0.25">
      <c r="A507" s="26" t="str">
        <f>B507&amp;K507</f>
        <v>Perno Ojo 5/8x9x5HPUNTEAR</v>
      </c>
      <c r="B507" s="45" t="s">
        <v>1094</v>
      </c>
      <c r="C507" s="46">
        <v>35001</v>
      </c>
      <c r="D507" s="47" t="s">
        <v>1095</v>
      </c>
      <c r="E507" s="48">
        <v>0.58699999999999997</v>
      </c>
      <c r="F507" s="49"/>
      <c r="G507" s="50"/>
      <c r="H507" s="51">
        <v>0.58699999999999997</v>
      </c>
      <c r="I507" s="52" t="s">
        <v>1063</v>
      </c>
      <c r="J507" s="53" t="s">
        <v>1611</v>
      </c>
      <c r="K507" s="53" t="s">
        <v>1603</v>
      </c>
      <c r="L507" s="52">
        <v>75</v>
      </c>
      <c r="M507" s="60">
        <v>5</v>
      </c>
    </row>
    <row r="508" spans="1:13" x14ac:dyDescent="0.25">
      <c r="A508" s="26" t="str">
        <f>B508&amp;K508</f>
        <v>Perno Ojo 5/8x9x5HTERRAJAR</v>
      </c>
      <c r="B508" s="45" t="s">
        <v>1094</v>
      </c>
      <c r="C508" s="46">
        <v>35001</v>
      </c>
      <c r="D508" s="47" t="s">
        <v>1095</v>
      </c>
      <c r="E508" s="48">
        <v>0.58699999999999997</v>
      </c>
      <c r="F508" s="49"/>
      <c r="G508" s="50" t="s">
        <v>1638</v>
      </c>
      <c r="H508" s="51">
        <v>0.58699999999999997</v>
      </c>
      <c r="I508" s="52" t="s">
        <v>1063</v>
      </c>
      <c r="J508" s="53" t="s">
        <v>1614</v>
      </c>
      <c r="K508" s="53" t="s">
        <v>1601</v>
      </c>
      <c r="L508" s="52">
        <v>60</v>
      </c>
      <c r="M508" s="60">
        <v>6</v>
      </c>
    </row>
    <row r="509" spans="1:13" x14ac:dyDescent="0.25">
      <c r="A509" s="26" t="str">
        <f t="shared" si="12"/>
        <v>Perno Ojo 5/8x9x6H</v>
      </c>
      <c r="B509" s="4" t="s">
        <v>1096</v>
      </c>
      <c r="C509" s="34">
        <v>35682</v>
      </c>
      <c r="D509" s="35" t="s">
        <v>1097</v>
      </c>
      <c r="E509" s="36">
        <v>0.57899999999999996</v>
      </c>
      <c r="F509" s="37"/>
      <c r="G509" s="38"/>
      <c r="H509" s="39">
        <v>0.57899999999999996</v>
      </c>
      <c r="I509" s="26" t="s">
        <v>1063</v>
      </c>
      <c r="J509" s="27"/>
      <c r="K509" s="27"/>
      <c r="L509" s="26">
        <v>43</v>
      </c>
      <c r="M509" s="58"/>
    </row>
    <row r="510" spans="1:13" x14ac:dyDescent="0.25">
      <c r="A510" s="26" t="str">
        <f t="shared" si="12"/>
        <v>Perno Ojo G-5 3/4x10x4H</v>
      </c>
      <c r="B510" s="4" t="s">
        <v>1098</v>
      </c>
      <c r="C510" s="34">
        <v>34694</v>
      </c>
      <c r="D510" s="35" t="s">
        <v>1099</v>
      </c>
      <c r="E510" s="36">
        <v>1.4950000000000001</v>
      </c>
      <c r="F510" s="37"/>
      <c r="G510" s="38"/>
      <c r="H510" s="39">
        <v>1.4950000000000001</v>
      </c>
      <c r="I510" s="26" t="s">
        <v>1063</v>
      </c>
      <c r="M510" s="58"/>
    </row>
    <row r="511" spans="1:13" x14ac:dyDescent="0.25">
      <c r="A511" s="26" t="str">
        <f t="shared" si="12"/>
        <v>Perno Ojo G-5 3/4x13</v>
      </c>
      <c r="B511" s="4" t="s">
        <v>1100</v>
      </c>
      <c r="C511" s="34">
        <v>34820</v>
      </c>
      <c r="D511" s="35" t="s">
        <v>1101</v>
      </c>
      <c r="E511" s="36">
        <v>1.4950000000000001</v>
      </c>
      <c r="F511" s="37"/>
      <c r="G511" s="38"/>
      <c r="H511" s="39">
        <v>1.4950000000000001</v>
      </c>
      <c r="I511" s="26" t="s">
        <v>1063</v>
      </c>
      <c r="M511" s="58"/>
    </row>
    <row r="512" spans="1:13" x14ac:dyDescent="0.25">
      <c r="A512" s="26" t="str">
        <f t="shared" si="12"/>
        <v>Perno Ojo Soldado 1/2x300</v>
      </c>
      <c r="B512" s="4" t="s">
        <v>1102</v>
      </c>
      <c r="C512" s="34">
        <v>38112</v>
      </c>
      <c r="D512" s="35" t="s">
        <v>1103</v>
      </c>
      <c r="E512" s="36">
        <v>0.48</v>
      </c>
      <c r="F512" s="37"/>
      <c r="G512" s="38"/>
      <c r="H512" s="39">
        <v>0.48</v>
      </c>
      <c r="I512" s="26" t="s">
        <v>1063</v>
      </c>
      <c r="M512" s="58"/>
    </row>
    <row r="513" spans="1:13" x14ac:dyDescent="0.25">
      <c r="A513" s="26" t="str">
        <f t="shared" si="12"/>
        <v>Perno Ojo Soldado 1/2x406</v>
      </c>
      <c r="B513" s="4" t="s">
        <v>1104</v>
      </c>
      <c r="C513" s="34">
        <v>35410</v>
      </c>
      <c r="D513" s="35" t="s">
        <v>1105</v>
      </c>
      <c r="E513" s="36">
        <v>0.62</v>
      </c>
      <c r="F513" s="37"/>
      <c r="G513" s="38"/>
      <c r="H513" s="39">
        <v>0.62</v>
      </c>
      <c r="I513" s="26" t="s">
        <v>1063</v>
      </c>
      <c r="M513" s="58"/>
    </row>
    <row r="514" spans="1:13" x14ac:dyDescent="0.25">
      <c r="A514" s="26" t="str">
        <f t="shared" si="12"/>
        <v>Perno Ojo soldado 3/4x7x4H</v>
      </c>
      <c r="B514" s="4" t="s">
        <v>1106</v>
      </c>
      <c r="C514" s="34">
        <v>34524</v>
      </c>
      <c r="D514" s="35" t="s">
        <v>1107</v>
      </c>
      <c r="E514" s="36">
        <v>0.90500000000000003</v>
      </c>
      <c r="F514" s="37"/>
      <c r="G514" s="38"/>
      <c r="H514" s="39">
        <v>0.90500000000000003</v>
      </c>
      <c r="I514" s="26" t="s">
        <v>1063</v>
      </c>
      <c r="M514" s="58"/>
    </row>
    <row r="515" spans="1:13" x14ac:dyDescent="0.25">
      <c r="A515" s="26" t="str">
        <f t="shared" si="12"/>
        <v>Perno Ojo soldado 3/4x7x4H</v>
      </c>
      <c r="B515" s="4" t="s">
        <v>1106</v>
      </c>
      <c r="C515" s="34">
        <v>34524</v>
      </c>
      <c r="D515" s="35" t="s">
        <v>1107</v>
      </c>
      <c r="E515" s="36">
        <v>0.90500000000000003</v>
      </c>
      <c r="F515" s="37"/>
      <c r="G515" s="38"/>
      <c r="H515" s="39">
        <v>0.90500000000000003</v>
      </c>
      <c r="I515" s="26" t="s">
        <v>1063</v>
      </c>
      <c r="M515" s="58"/>
    </row>
    <row r="516" spans="1:13" x14ac:dyDescent="0.25">
      <c r="A516" s="26" t="str">
        <f t="shared" si="12"/>
        <v>Perno Ojo Soldado 3/4x9x4H</v>
      </c>
      <c r="B516" s="4" t="s">
        <v>1108</v>
      </c>
      <c r="C516" s="34">
        <v>34926</v>
      </c>
      <c r="D516" s="42" t="s">
        <v>1109</v>
      </c>
      <c r="E516" s="34">
        <v>1.177</v>
      </c>
      <c r="F516" s="37"/>
      <c r="G516" s="38"/>
      <c r="H516" s="39">
        <v>1.177</v>
      </c>
      <c r="I516" s="26" t="s">
        <v>1063</v>
      </c>
      <c r="M516" s="58"/>
    </row>
    <row r="517" spans="1:13" x14ac:dyDescent="0.25">
      <c r="A517" s="26" t="str">
        <f t="shared" si="12"/>
        <v>Perno Ojo Soldado 3/4x10x5H</v>
      </c>
      <c r="B517" s="4" t="s">
        <v>1110</v>
      </c>
      <c r="C517" s="34">
        <v>38083</v>
      </c>
      <c r="D517" s="42" t="s">
        <v>1111</v>
      </c>
      <c r="E517" s="34">
        <v>1.1970000000000001</v>
      </c>
      <c r="F517" s="37"/>
      <c r="G517" s="38"/>
      <c r="H517" s="39">
        <v>1.1970000000000001</v>
      </c>
      <c r="I517" s="26" t="s">
        <v>1063</v>
      </c>
      <c r="M517" s="58"/>
    </row>
    <row r="518" spans="1:13" x14ac:dyDescent="0.25">
      <c r="A518" s="26" t="str">
        <f t="shared" si="12"/>
        <v>Perno Ojo Soldado 3/4x11x3H</v>
      </c>
      <c r="B518" s="4" t="s">
        <v>1112</v>
      </c>
      <c r="C518" s="34">
        <v>36279</v>
      </c>
      <c r="D518" s="35" t="s">
        <v>1113</v>
      </c>
      <c r="E518" s="36">
        <v>1.329</v>
      </c>
      <c r="F518" s="37"/>
      <c r="G518" s="38"/>
      <c r="H518" s="39">
        <v>1.329</v>
      </c>
      <c r="I518" s="26" t="s">
        <v>1063</v>
      </c>
      <c r="M518" s="58"/>
    </row>
    <row r="519" spans="1:13" x14ac:dyDescent="0.25">
      <c r="A519" s="26" t="str">
        <f t="shared" si="12"/>
        <v>Perno Ojo Soldado 3/4x13x4H</v>
      </c>
      <c r="B519" s="4" t="s">
        <v>1114</v>
      </c>
      <c r="C519" s="34">
        <v>34511</v>
      </c>
      <c r="D519" s="35" t="s">
        <v>1115</v>
      </c>
      <c r="E519" s="36">
        <v>1.395</v>
      </c>
      <c r="F519" s="37"/>
      <c r="G519" s="38"/>
      <c r="H519" s="39">
        <v>1.395</v>
      </c>
      <c r="I519" s="26" t="s">
        <v>1063</v>
      </c>
      <c r="M519" s="58"/>
    </row>
    <row r="520" spans="1:13" x14ac:dyDescent="0.25">
      <c r="A520" s="26" t="str">
        <f t="shared" si="12"/>
        <v>Perno Ojo Soldado 3/4x17x4H</v>
      </c>
      <c r="B520" s="4" t="s">
        <v>1116</v>
      </c>
      <c r="C520" s="34">
        <v>37053</v>
      </c>
      <c r="D520" s="35" t="s">
        <v>1117</v>
      </c>
      <c r="E520" s="36">
        <v>1.655</v>
      </c>
      <c r="F520" s="37"/>
      <c r="G520" s="38"/>
      <c r="H520" s="39">
        <v>1.655</v>
      </c>
      <c r="I520" s="26" t="s">
        <v>1063</v>
      </c>
      <c r="M520" s="58"/>
    </row>
    <row r="521" spans="1:13" x14ac:dyDescent="0.25">
      <c r="A521" s="26" t="str">
        <f t="shared" si="12"/>
        <v xml:space="preserve">Perno Ojo Soldado 5/8x9x5H  </v>
      </c>
      <c r="B521" s="4" t="s">
        <v>1118</v>
      </c>
      <c r="C521" s="34">
        <v>36482</v>
      </c>
      <c r="D521" s="35" t="s">
        <v>1119</v>
      </c>
      <c r="E521" s="36">
        <v>0.85599999999999998</v>
      </c>
      <c r="F521" s="37"/>
      <c r="G521" s="38"/>
      <c r="H521" s="39">
        <v>0.85599999999999998</v>
      </c>
      <c r="I521" s="26" t="s">
        <v>1063</v>
      </c>
      <c r="M521" s="58"/>
    </row>
    <row r="522" spans="1:13" x14ac:dyDescent="0.25">
      <c r="A522" s="26" t="str">
        <f t="shared" si="12"/>
        <v>Perno Ojo Soldado 5/8x11x8H</v>
      </c>
      <c r="B522" s="4" t="s">
        <v>1120</v>
      </c>
      <c r="C522" s="34">
        <v>36525</v>
      </c>
      <c r="D522" s="35" t="s">
        <v>1121</v>
      </c>
      <c r="E522" s="36">
        <v>0.96</v>
      </c>
      <c r="F522" s="37"/>
      <c r="G522" s="38"/>
      <c r="H522" s="39">
        <v>0.96</v>
      </c>
      <c r="I522" s="26" t="s">
        <v>1063</v>
      </c>
      <c r="M522" s="58"/>
    </row>
    <row r="523" spans="1:13" x14ac:dyDescent="0.25">
      <c r="A523" s="26" t="str">
        <f t="shared" si="12"/>
        <v xml:space="preserve">Perno Ojo Soldado 5/8x14x6H  </v>
      </c>
      <c r="B523" s="4" t="s">
        <v>1122</v>
      </c>
      <c r="C523" s="34">
        <v>36051</v>
      </c>
      <c r="D523" s="42" t="s">
        <v>1077</v>
      </c>
      <c r="E523" s="34">
        <v>1.0549999999999999</v>
      </c>
      <c r="F523" s="37"/>
      <c r="G523" s="38"/>
      <c r="H523" s="39">
        <v>1.0549999999999999</v>
      </c>
      <c r="I523" s="26" t="s">
        <v>1063</v>
      </c>
      <c r="M523" s="58"/>
    </row>
    <row r="524" spans="1:13" x14ac:dyDescent="0.25">
      <c r="A524" s="26" t="str">
        <f t="shared" si="12"/>
        <v>Perno p/Cruzamiento 3/4x10</v>
      </c>
      <c r="B524" s="4" t="s">
        <v>1123</v>
      </c>
      <c r="C524" s="34">
        <v>35764</v>
      </c>
      <c r="D524" s="35" t="s">
        <v>1124</v>
      </c>
      <c r="E524" s="36">
        <v>0.68300000000000005</v>
      </c>
      <c r="F524" s="37"/>
      <c r="G524" s="38"/>
      <c r="H524" s="39">
        <v>0.68300000000000005</v>
      </c>
      <c r="I524" s="26" t="s">
        <v>152</v>
      </c>
      <c r="M524" s="58"/>
    </row>
    <row r="525" spans="1:13" x14ac:dyDescent="0.25">
      <c r="A525" s="26" t="str">
        <f t="shared" si="12"/>
        <v>Perno p/Cruzamiento 1x12</v>
      </c>
      <c r="B525" s="4" t="s">
        <v>1125</v>
      </c>
      <c r="C525" s="34">
        <v>34561</v>
      </c>
      <c r="D525" s="35" t="s">
        <v>1126</v>
      </c>
      <c r="E525" s="36">
        <v>1.35</v>
      </c>
      <c r="F525" s="37"/>
      <c r="G525" s="38"/>
      <c r="H525" s="39">
        <v>1.35</v>
      </c>
      <c r="I525" s="26" t="s">
        <v>152</v>
      </c>
      <c r="M525" s="58"/>
    </row>
    <row r="526" spans="1:13" x14ac:dyDescent="0.25">
      <c r="A526" s="26" t="str">
        <f t="shared" si="12"/>
        <v>Perno p/Cruzamiento 1x15</v>
      </c>
      <c r="B526" s="4" t="s">
        <v>1127</v>
      </c>
      <c r="C526" s="34">
        <v>34560</v>
      </c>
      <c r="D526" s="35" t="s">
        <v>1128</v>
      </c>
      <c r="E526" s="36">
        <v>1.6</v>
      </c>
      <c r="F526" s="37"/>
      <c r="G526" s="38"/>
      <c r="H526" s="39">
        <v>1.6</v>
      </c>
      <c r="I526" s="26" t="s">
        <v>152</v>
      </c>
      <c r="M526" s="58"/>
    </row>
    <row r="527" spans="1:13" x14ac:dyDescent="0.25">
      <c r="A527" s="26" t="str">
        <f t="shared" si="12"/>
        <v>Perno p/Cruzamiento 1x8.1/2</v>
      </c>
      <c r="B527" s="4" t="s">
        <v>1129</v>
      </c>
      <c r="C527" s="34">
        <v>34563</v>
      </c>
      <c r="D527" s="35" t="s">
        <v>1130</v>
      </c>
      <c r="E527" s="36">
        <v>1.0109999999999999</v>
      </c>
      <c r="F527" s="37"/>
      <c r="G527" s="38"/>
      <c r="H527" s="39">
        <v>1.0109999999999999</v>
      </c>
      <c r="I527" s="26" t="s">
        <v>152</v>
      </c>
      <c r="M527" s="58"/>
    </row>
    <row r="528" spans="1:13" x14ac:dyDescent="0.25">
      <c r="A528" s="26" t="str">
        <f t="shared" si="12"/>
        <v>Perno p/Cruzamiento 1x9</v>
      </c>
      <c r="B528" s="4" t="s">
        <v>1131</v>
      </c>
      <c r="C528" s="34">
        <v>34562</v>
      </c>
      <c r="D528" s="35" t="s">
        <v>1132</v>
      </c>
      <c r="E528" s="36">
        <v>1.1080000000000001</v>
      </c>
      <c r="F528" s="37"/>
      <c r="G528" s="38"/>
      <c r="H528" s="39">
        <v>1.1080000000000001</v>
      </c>
      <c r="I528" s="26" t="s">
        <v>152</v>
      </c>
      <c r="M528" s="58"/>
    </row>
    <row r="529" spans="1:13" x14ac:dyDescent="0.25">
      <c r="A529" s="26" t="str">
        <f t="shared" si="12"/>
        <v>Perno p/Cruzamiento 1.1/8xM190</v>
      </c>
      <c r="B529" s="4" t="s">
        <v>1133</v>
      </c>
      <c r="C529" s="34">
        <v>35329</v>
      </c>
      <c r="D529" s="35" t="s">
        <v>1134</v>
      </c>
      <c r="E529" s="36">
        <v>1.28</v>
      </c>
      <c r="F529" s="37"/>
      <c r="G529" s="38"/>
      <c r="H529" s="39">
        <v>1.6680000000000001</v>
      </c>
      <c r="I529" s="26" t="s">
        <v>152</v>
      </c>
      <c r="M529" s="58"/>
    </row>
    <row r="530" spans="1:13" x14ac:dyDescent="0.25">
      <c r="A530" s="26" t="str">
        <f t="shared" si="12"/>
        <v>Perno p/Cruzamiento 1.1/8xM200</v>
      </c>
      <c r="B530" s="4" t="s">
        <v>1135</v>
      </c>
      <c r="C530" s="34">
        <v>35497</v>
      </c>
      <c r="D530" s="35" t="s">
        <v>1136</v>
      </c>
      <c r="E530" s="36">
        <v>1.33</v>
      </c>
      <c r="F530" s="37"/>
      <c r="G530" s="38"/>
      <c r="H530" s="39">
        <v>1.7180000000000002</v>
      </c>
      <c r="I530" s="26" t="s">
        <v>152</v>
      </c>
      <c r="M530" s="58"/>
    </row>
    <row r="531" spans="1:13" x14ac:dyDescent="0.25">
      <c r="A531" s="26" t="str">
        <f t="shared" si="12"/>
        <v>Perno p/Cruzamiento 1.1/8xM210</v>
      </c>
      <c r="B531" s="4" t="s">
        <v>1137</v>
      </c>
      <c r="C531" s="34"/>
      <c r="D531" s="35" t="s">
        <v>1138</v>
      </c>
      <c r="E531" s="36">
        <v>1.45</v>
      </c>
      <c r="F531" s="37"/>
      <c r="G531" s="38"/>
      <c r="H531" s="39">
        <v>1.8340000000000001</v>
      </c>
      <c r="I531" s="26" t="s">
        <v>152</v>
      </c>
      <c r="M531" s="58"/>
    </row>
    <row r="532" spans="1:13" x14ac:dyDescent="0.25">
      <c r="A532" s="26" t="str">
        <f t="shared" si="12"/>
        <v>Perno p/Cruzamiento 1.1/8xM215</v>
      </c>
      <c r="B532" s="4" t="s">
        <v>1139</v>
      </c>
      <c r="C532" s="34"/>
      <c r="D532" s="35" t="s">
        <v>1140</v>
      </c>
      <c r="E532" s="36">
        <v>1.4</v>
      </c>
      <c r="F532" s="37"/>
      <c r="G532" s="38"/>
      <c r="H532" s="39">
        <v>1.784</v>
      </c>
      <c r="I532" s="26" t="s">
        <v>152</v>
      </c>
      <c r="M532" s="58"/>
    </row>
    <row r="533" spans="1:13" x14ac:dyDescent="0.25">
      <c r="A533" s="26" t="str">
        <f t="shared" si="12"/>
        <v>Perno p/Cruzamiento 1.1/8xM230</v>
      </c>
      <c r="B533" s="4" t="s">
        <v>1141</v>
      </c>
      <c r="C533" s="34"/>
      <c r="D533" s="35" t="s">
        <v>1142</v>
      </c>
      <c r="E533" s="36">
        <v>1.48</v>
      </c>
      <c r="F533" s="37"/>
      <c r="G533" s="38"/>
      <c r="H533" s="39">
        <v>1.8640000000000001</v>
      </c>
      <c r="I533" s="26" t="s">
        <v>152</v>
      </c>
      <c r="M533" s="58"/>
    </row>
    <row r="534" spans="1:13" x14ac:dyDescent="0.25">
      <c r="A534" s="26" t="str">
        <f t="shared" si="12"/>
        <v>Perno p/Cruzamiento 1.1/8xM240</v>
      </c>
      <c r="B534" s="4" t="s">
        <v>1143</v>
      </c>
      <c r="C534" s="34"/>
      <c r="D534" s="35" t="s">
        <v>1144</v>
      </c>
      <c r="E534" s="36">
        <v>1.53</v>
      </c>
      <c r="F534" s="37"/>
      <c r="G534" s="38"/>
      <c r="H534" s="39">
        <v>1.9140000000000001</v>
      </c>
      <c r="I534" s="26" t="s">
        <v>152</v>
      </c>
      <c r="M534" s="58"/>
    </row>
    <row r="535" spans="1:13" x14ac:dyDescent="0.25">
      <c r="A535" s="26" t="str">
        <f t="shared" si="12"/>
        <v>Perno p/Cruzamiento 1.1/8xM280</v>
      </c>
      <c r="B535" s="4" t="s">
        <v>1145</v>
      </c>
      <c r="C535" s="34"/>
      <c r="D535" s="35" t="s">
        <v>1146</v>
      </c>
      <c r="E535" s="36">
        <v>1.73</v>
      </c>
      <c r="F535" s="37"/>
      <c r="G535" s="38"/>
      <c r="H535" s="39">
        <v>2.1139999999999999</v>
      </c>
      <c r="I535" s="26" t="s">
        <v>152</v>
      </c>
      <c r="M535" s="58"/>
    </row>
    <row r="536" spans="1:13" x14ac:dyDescent="0.25">
      <c r="A536" s="26" t="str">
        <f t="shared" si="12"/>
        <v>Perno p/Cruzamiento 1.1/8xM290</v>
      </c>
      <c r="B536" s="4" t="s">
        <v>1147</v>
      </c>
      <c r="C536" s="34"/>
      <c r="D536" s="35" t="s">
        <v>1148</v>
      </c>
      <c r="E536" s="36">
        <v>1.78</v>
      </c>
      <c r="F536" s="37"/>
      <c r="G536" s="38"/>
      <c r="H536" s="39">
        <v>2.1639999999999997</v>
      </c>
      <c r="I536" s="26" t="s">
        <v>152</v>
      </c>
      <c r="M536" s="58"/>
    </row>
    <row r="537" spans="1:13" x14ac:dyDescent="0.25">
      <c r="A537" s="26" t="str">
        <f t="shared" si="12"/>
        <v>Perno p/Cruzamiento 1.1/8xM305</v>
      </c>
      <c r="B537" s="4" t="s">
        <v>1149</v>
      </c>
      <c r="C537" s="34"/>
      <c r="D537" s="35" t="s">
        <v>1150</v>
      </c>
      <c r="E537" s="36">
        <v>1.85</v>
      </c>
      <c r="F537" s="37"/>
      <c r="G537" s="38"/>
      <c r="H537" s="39">
        <v>2.234</v>
      </c>
      <c r="I537" s="26" t="s">
        <v>152</v>
      </c>
      <c r="M537" s="58"/>
    </row>
    <row r="538" spans="1:13" x14ac:dyDescent="0.25">
      <c r="A538" s="26" t="str">
        <f t="shared" si="12"/>
        <v>Perno p/Cruzamiento 1.1/8xM320</v>
      </c>
      <c r="B538" s="4" t="s">
        <v>1151</v>
      </c>
      <c r="C538" s="34"/>
      <c r="D538" s="35" t="s">
        <v>1152</v>
      </c>
      <c r="E538" s="36">
        <v>1.93</v>
      </c>
      <c r="F538" s="37"/>
      <c r="G538" s="38"/>
      <c r="H538" s="39">
        <v>2.3139999999999996</v>
      </c>
      <c r="I538" s="26" t="s">
        <v>152</v>
      </c>
      <c r="M538" s="58"/>
    </row>
    <row r="539" spans="1:13" x14ac:dyDescent="0.25">
      <c r="A539" s="26" t="str">
        <f t="shared" si="12"/>
        <v>Perno p/Cruzamiento 1.1/8xM355</v>
      </c>
      <c r="B539" s="4" t="s">
        <v>1153</v>
      </c>
      <c r="C539" s="34"/>
      <c r="D539" s="35" t="s">
        <v>1154</v>
      </c>
      <c r="E539" s="36">
        <v>2.1</v>
      </c>
      <c r="F539" s="37"/>
      <c r="G539" s="38"/>
      <c r="H539" s="39">
        <v>2.484</v>
      </c>
      <c r="I539" s="26" t="s">
        <v>152</v>
      </c>
      <c r="M539" s="58"/>
    </row>
    <row r="540" spans="1:13" x14ac:dyDescent="0.25">
      <c r="A540" s="26" t="str">
        <f t="shared" si="12"/>
        <v>Perno p/Cruzamiento 1.1/8xM370</v>
      </c>
      <c r="B540" s="4" t="s">
        <v>1155</v>
      </c>
      <c r="C540" s="34"/>
      <c r="D540" s="35" t="s">
        <v>1156</v>
      </c>
      <c r="E540" s="36">
        <v>2.1800000000000002</v>
      </c>
      <c r="F540" s="37"/>
      <c r="G540" s="38"/>
      <c r="H540" s="39">
        <v>2.5640000000000001</v>
      </c>
      <c r="I540" s="26" t="s">
        <v>152</v>
      </c>
      <c r="M540" s="58"/>
    </row>
    <row r="541" spans="1:13" x14ac:dyDescent="0.25">
      <c r="A541" s="26" t="str">
        <f t="shared" si="12"/>
        <v>Perno p/Cruzamiento 1.1/8xM380</v>
      </c>
      <c r="B541" s="4" t="s">
        <v>1157</v>
      </c>
      <c r="C541" s="34"/>
      <c r="D541" s="35" t="s">
        <v>1158</v>
      </c>
      <c r="E541" s="36">
        <v>2.23</v>
      </c>
      <c r="F541" s="37"/>
      <c r="G541" s="38"/>
      <c r="H541" s="39">
        <v>2.6139999999999999</v>
      </c>
      <c r="I541" s="26" t="s">
        <v>152</v>
      </c>
      <c r="M541" s="58"/>
    </row>
    <row r="542" spans="1:13" x14ac:dyDescent="0.25">
      <c r="A542" s="26" t="str">
        <f t="shared" si="12"/>
        <v>Perno p/Cruzamiento 1.1/8xM420</v>
      </c>
      <c r="B542" s="4" t="s">
        <v>1159</v>
      </c>
      <c r="C542" s="34"/>
      <c r="D542" s="35" t="s">
        <v>1160</v>
      </c>
      <c r="E542" s="36">
        <v>2.44</v>
      </c>
      <c r="F542" s="37"/>
      <c r="G542" s="38"/>
      <c r="H542" s="39">
        <v>2.8239999999999998</v>
      </c>
      <c r="I542" s="26" t="s">
        <v>152</v>
      </c>
      <c r="M542" s="58"/>
    </row>
    <row r="543" spans="1:13" x14ac:dyDescent="0.25">
      <c r="A543" s="26" t="str">
        <f t="shared" si="12"/>
        <v>Perno p/Cruzamiento 7/8x3.1/2</v>
      </c>
      <c r="B543" s="4" t="s">
        <v>1161</v>
      </c>
      <c r="C543" s="34">
        <v>35831</v>
      </c>
      <c r="D543" s="35" t="s">
        <v>1162</v>
      </c>
      <c r="E543" s="36">
        <v>0.35</v>
      </c>
      <c r="F543" s="37"/>
      <c r="G543" s="38"/>
      <c r="H543" s="39">
        <v>0.35</v>
      </c>
      <c r="I543" s="26" t="s">
        <v>152</v>
      </c>
      <c r="M543" s="58"/>
    </row>
    <row r="544" spans="1:13" x14ac:dyDescent="0.25">
      <c r="A544" s="26" t="str">
        <f t="shared" si="12"/>
        <v>Perno p/Cruzamiento 7/8x12</v>
      </c>
      <c r="B544" s="4" t="s">
        <v>1163</v>
      </c>
      <c r="C544" s="34">
        <v>34566</v>
      </c>
      <c r="D544" s="35" t="s">
        <v>1164</v>
      </c>
      <c r="E544" s="36">
        <v>1.2</v>
      </c>
      <c r="F544" s="37"/>
      <c r="G544" s="38"/>
      <c r="H544" s="39">
        <v>1.2</v>
      </c>
      <c r="I544" s="26" t="s">
        <v>152</v>
      </c>
      <c r="M544" s="58"/>
    </row>
    <row r="545" spans="1:13" x14ac:dyDescent="0.25">
      <c r="A545" s="26" t="str">
        <f t="shared" si="12"/>
        <v>Perno p/Cruzamiento 7/8x15</v>
      </c>
      <c r="B545" s="4" t="s">
        <v>1165</v>
      </c>
      <c r="C545" s="34">
        <v>34565</v>
      </c>
      <c r="D545" s="35" t="s">
        <v>1166</v>
      </c>
      <c r="E545" s="36">
        <v>1.5</v>
      </c>
      <c r="F545" s="37"/>
      <c r="G545" s="38"/>
      <c r="H545" s="39">
        <v>1.5</v>
      </c>
      <c r="I545" s="26" t="s">
        <v>152</v>
      </c>
      <c r="M545" s="58"/>
    </row>
    <row r="546" spans="1:13" x14ac:dyDescent="0.25">
      <c r="A546" s="26" t="str">
        <f t="shared" si="12"/>
        <v>Perno p/Cruzamiento 7/8x7.1/2</v>
      </c>
      <c r="B546" s="4" t="s">
        <v>1167</v>
      </c>
      <c r="C546" s="34">
        <v>35334</v>
      </c>
      <c r="D546" s="35" t="s">
        <v>1168</v>
      </c>
      <c r="E546" s="36">
        <v>0.73</v>
      </c>
      <c r="F546" s="37"/>
      <c r="G546" s="38"/>
      <c r="H546" s="39">
        <v>0.73</v>
      </c>
      <c r="I546" s="26" t="s">
        <v>152</v>
      </c>
      <c r="M546" s="58"/>
    </row>
    <row r="547" spans="1:13" x14ac:dyDescent="0.25">
      <c r="A547" s="26" t="str">
        <f t="shared" si="12"/>
        <v xml:space="preserve">Perno p/Cruzamiento 7/8x8 </v>
      </c>
      <c r="B547" s="4" t="s">
        <v>1169</v>
      </c>
      <c r="C547" s="34">
        <v>35212</v>
      </c>
      <c r="D547" s="35" t="s">
        <v>1170</v>
      </c>
      <c r="E547" s="36">
        <v>0.755</v>
      </c>
      <c r="F547" s="37"/>
      <c r="G547" s="38"/>
      <c r="H547" s="39">
        <v>0.755</v>
      </c>
      <c r="I547" s="26" t="s">
        <v>152</v>
      </c>
      <c r="M547" s="58"/>
    </row>
    <row r="548" spans="1:13" x14ac:dyDescent="0.25">
      <c r="A548" s="26" t="str">
        <f t="shared" si="12"/>
        <v>Perno p/Cruzamiento 7/8x8.1/2</v>
      </c>
      <c r="B548" s="4" t="s">
        <v>1171</v>
      </c>
      <c r="C548" s="34">
        <v>34568</v>
      </c>
      <c r="D548" s="35" t="s">
        <v>1172</v>
      </c>
      <c r="E548" s="36">
        <v>0.7</v>
      </c>
      <c r="F548" s="37"/>
      <c r="G548" s="38"/>
      <c r="H548" s="39">
        <v>0.7</v>
      </c>
      <c r="I548" s="26" t="s">
        <v>152</v>
      </c>
      <c r="M548" s="58"/>
    </row>
    <row r="549" spans="1:13" x14ac:dyDescent="0.25">
      <c r="A549" s="26" t="str">
        <f t="shared" si="12"/>
        <v>Perno p/Cruzamiento 7/8x9</v>
      </c>
      <c r="B549" s="4" t="s">
        <v>1173</v>
      </c>
      <c r="C549" s="34">
        <v>34567</v>
      </c>
      <c r="D549" s="35" t="s">
        <v>1174</v>
      </c>
      <c r="E549" s="36">
        <v>0.75700000000000001</v>
      </c>
      <c r="F549" s="37"/>
      <c r="G549" s="38"/>
      <c r="H549" s="39">
        <v>0.75700000000000001</v>
      </c>
      <c r="I549" s="26" t="s">
        <v>152</v>
      </c>
      <c r="M549" s="58"/>
    </row>
    <row r="550" spans="1:13" x14ac:dyDescent="0.25">
      <c r="A550" s="26" t="str">
        <f t="shared" si="12"/>
        <v>Perno p/Cruzamiento 7/8x10,1/2</v>
      </c>
      <c r="B550" s="4" t="s">
        <v>1175</v>
      </c>
      <c r="C550" s="34">
        <v>35832</v>
      </c>
      <c r="D550" s="35" t="s">
        <v>1176</v>
      </c>
      <c r="E550" s="36">
        <v>0.95</v>
      </c>
      <c r="F550" s="37"/>
      <c r="G550" s="38"/>
      <c r="H550" s="39">
        <v>0.95</v>
      </c>
      <c r="I550" s="26" t="s">
        <v>152</v>
      </c>
      <c r="M550" s="58"/>
    </row>
    <row r="551" spans="1:13" x14ac:dyDescent="0.25">
      <c r="A551" s="26" t="str">
        <f t="shared" si="12"/>
        <v>Perno P/Durmiente Puente 3/4x200</v>
      </c>
      <c r="B551" s="4" t="s">
        <v>1177</v>
      </c>
      <c r="C551" s="34">
        <v>34400</v>
      </c>
      <c r="D551" s="35" t="s">
        <v>1178</v>
      </c>
      <c r="E551" s="36">
        <v>0.74</v>
      </c>
      <c r="F551" s="37"/>
      <c r="G551" s="38"/>
      <c r="H551" s="39">
        <v>0.74</v>
      </c>
      <c r="I551" s="26" t="s">
        <v>152</v>
      </c>
      <c r="M551" s="58"/>
    </row>
    <row r="552" spans="1:13" x14ac:dyDescent="0.25">
      <c r="A552" s="26" t="str">
        <f t="shared" si="12"/>
        <v>Perno p/Durmiente Puente 3/4x300</v>
      </c>
      <c r="B552" s="4" t="s">
        <v>1179</v>
      </c>
      <c r="C552" s="34">
        <v>34570</v>
      </c>
      <c r="D552" s="35" t="s">
        <v>1180</v>
      </c>
      <c r="E552" s="36">
        <v>0.75</v>
      </c>
      <c r="F552" s="37"/>
      <c r="G552" s="38"/>
      <c r="H552" s="39">
        <v>0.88700000000000001</v>
      </c>
      <c r="I552" s="26" t="s">
        <v>152</v>
      </c>
      <c r="M552" s="58"/>
    </row>
    <row r="553" spans="1:13" x14ac:dyDescent="0.25">
      <c r="A553" s="26" t="str">
        <f t="shared" si="12"/>
        <v>Perno p/Durmiente Puente 3/4x400</v>
      </c>
      <c r="B553" s="4" t="s">
        <v>1181</v>
      </c>
      <c r="C553" s="34">
        <v>34673</v>
      </c>
      <c r="D553" s="35" t="s">
        <v>1182</v>
      </c>
      <c r="E553" s="36">
        <v>0.85</v>
      </c>
      <c r="F553" s="37"/>
      <c r="G553" s="38"/>
      <c r="H553" s="39">
        <v>0.85</v>
      </c>
      <c r="I553" s="26" t="s">
        <v>152</v>
      </c>
      <c r="M553" s="58"/>
    </row>
    <row r="554" spans="1:13" x14ac:dyDescent="0.25">
      <c r="A554" s="26" t="str">
        <f t="shared" si="12"/>
        <v>Perno p/Durmiente Puente 3/4x500</v>
      </c>
      <c r="B554" s="4" t="s">
        <v>1183</v>
      </c>
      <c r="C554" s="34">
        <v>34573</v>
      </c>
      <c r="D554" s="35" t="s">
        <v>1184</v>
      </c>
      <c r="E554" s="36">
        <v>0.95</v>
      </c>
      <c r="F554" s="37"/>
      <c r="G554" s="38"/>
      <c r="H554" s="39">
        <v>1.087</v>
      </c>
      <c r="I554" s="26" t="s">
        <v>152</v>
      </c>
      <c r="M554" s="58"/>
    </row>
    <row r="555" spans="1:13" x14ac:dyDescent="0.25">
      <c r="A555" s="26" t="str">
        <f t="shared" si="12"/>
        <v>Perno p/Eclisa 3/4x99</v>
      </c>
      <c r="B555" s="4" t="s">
        <v>1185</v>
      </c>
      <c r="C555" s="34">
        <v>37842</v>
      </c>
      <c r="D555" s="35" t="s">
        <v>1186</v>
      </c>
      <c r="E555" s="36">
        <v>0.43409999999999999</v>
      </c>
      <c r="F555" s="37"/>
      <c r="G555" s="38"/>
      <c r="H555" s="39">
        <v>0.43409999999999999</v>
      </c>
      <c r="I555" s="26" t="s">
        <v>152</v>
      </c>
      <c r="M555" s="58"/>
    </row>
    <row r="556" spans="1:13" x14ac:dyDescent="0.25">
      <c r="A556" s="26" t="str">
        <f t="shared" si="12"/>
        <v>Perno Riel p/Eclisa G-5 7/8x130</v>
      </c>
      <c r="B556" s="4" t="s">
        <v>1187</v>
      </c>
      <c r="C556" s="34">
        <v>38095</v>
      </c>
      <c r="D556" s="35" t="s">
        <v>1188</v>
      </c>
      <c r="E556" s="36">
        <v>0.495</v>
      </c>
      <c r="F556" s="37"/>
      <c r="G556" s="38"/>
      <c r="H556" s="39"/>
      <c r="I556" s="26" t="s">
        <v>152</v>
      </c>
      <c r="M556" s="58"/>
    </row>
    <row r="557" spans="1:13" x14ac:dyDescent="0.25">
      <c r="A557" s="26" t="str">
        <f t="shared" si="12"/>
        <v>Perno p/Silla 7/8x77</v>
      </c>
      <c r="B557" s="4" t="s">
        <v>1189</v>
      </c>
      <c r="C557" s="34">
        <v>35153</v>
      </c>
      <c r="D557" s="35" t="s">
        <v>1190</v>
      </c>
      <c r="E557" s="36">
        <v>0.32300000000000001</v>
      </c>
      <c r="F557" s="37" t="s">
        <v>1191</v>
      </c>
      <c r="G557" s="38"/>
      <c r="H557" s="39">
        <v>0.32300000000000001</v>
      </c>
      <c r="I557" s="26" t="s">
        <v>152</v>
      </c>
      <c r="M557" s="58"/>
    </row>
    <row r="558" spans="1:13" x14ac:dyDescent="0.25">
      <c r="A558" s="26" t="str">
        <f t="shared" si="12"/>
        <v>Perno riel 3/4x4</v>
      </c>
      <c r="B558" s="4" t="s">
        <v>1192</v>
      </c>
      <c r="C558" s="34">
        <v>34916</v>
      </c>
      <c r="D558" s="42" t="s">
        <v>1193</v>
      </c>
      <c r="E558" s="34">
        <v>0.26600000000000001</v>
      </c>
      <c r="F558" s="37"/>
      <c r="G558" s="38"/>
      <c r="H558" s="39">
        <v>0.26600000000000001</v>
      </c>
      <c r="I558" s="26" t="s">
        <v>1194</v>
      </c>
      <c r="M558" s="58"/>
    </row>
    <row r="559" spans="1:13" x14ac:dyDescent="0.25">
      <c r="A559" s="26" t="str">
        <f t="shared" si="12"/>
        <v>Perno riel FFCC 3/4x90</v>
      </c>
      <c r="B559" s="4" t="s">
        <v>1195</v>
      </c>
      <c r="C559" s="34">
        <v>34768</v>
      </c>
      <c r="D559" s="35" t="s">
        <v>1196</v>
      </c>
      <c r="E559" s="36">
        <v>0.27500000000000002</v>
      </c>
      <c r="F559" s="37"/>
      <c r="G559" s="38"/>
      <c r="H559" s="39">
        <v>0.27500000000000002</v>
      </c>
      <c r="I559" s="26" t="s">
        <v>1194</v>
      </c>
      <c r="M559" s="58"/>
    </row>
    <row r="560" spans="1:13" x14ac:dyDescent="0.25">
      <c r="A560" s="26" t="str">
        <f t="shared" si="12"/>
        <v>Perno riel FFCC FGO 3/4x90</v>
      </c>
      <c r="B560" s="4" t="s">
        <v>1197</v>
      </c>
      <c r="C560" s="34">
        <v>36441</v>
      </c>
      <c r="D560" s="35" t="s">
        <v>1198</v>
      </c>
      <c r="E560" s="36">
        <v>0.28000000000000003</v>
      </c>
      <c r="F560" s="37"/>
      <c r="G560" s="38"/>
      <c r="H560" s="39">
        <v>0.40200000000000002</v>
      </c>
      <c r="I560" s="26" t="s">
        <v>1194</v>
      </c>
      <c r="M560" s="58"/>
    </row>
    <row r="561" spans="1:13" x14ac:dyDescent="0.25">
      <c r="A561" s="26" t="str">
        <f t="shared" si="12"/>
        <v>Perno riel FFCC BCY 7/8x115</v>
      </c>
      <c r="B561" s="4" t="s">
        <v>1199</v>
      </c>
      <c r="C561" s="34">
        <v>34546</v>
      </c>
      <c r="D561" s="35" t="s">
        <v>1200</v>
      </c>
      <c r="E561" s="36">
        <v>0.44500000000000001</v>
      </c>
      <c r="F561" s="37"/>
      <c r="G561" s="38"/>
      <c r="H561" s="39">
        <v>0.63200000000000001</v>
      </c>
      <c r="I561" s="26" t="s">
        <v>1194</v>
      </c>
      <c r="M561" s="58"/>
    </row>
    <row r="562" spans="1:13" x14ac:dyDescent="0.25">
      <c r="A562" s="26" t="str">
        <f t="shared" si="12"/>
        <v>Perno riel FFCC BCY 7/8x152</v>
      </c>
      <c r="B562" s="4" t="s">
        <v>1201</v>
      </c>
      <c r="C562" s="34">
        <v>35027</v>
      </c>
      <c r="D562" s="42" t="s">
        <v>1202</v>
      </c>
      <c r="E562" s="34">
        <v>0.56210000000000004</v>
      </c>
      <c r="F562" s="37"/>
      <c r="G562" s="38"/>
      <c r="H562" s="39">
        <v>0.7491000000000001</v>
      </c>
      <c r="I562" s="26" t="s">
        <v>1194</v>
      </c>
      <c r="J562" s="39"/>
      <c r="K562" s="39"/>
      <c r="L562" s="39"/>
      <c r="M562" s="58"/>
    </row>
    <row r="563" spans="1:13" x14ac:dyDescent="0.25">
      <c r="A563" s="26" t="str">
        <f t="shared" si="12"/>
        <v>Perno riel FFCC BCY 7/8x6"</v>
      </c>
      <c r="B563" s="4" t="s">
        <v>1203</v>
      </c>
      <c r="C563" s="34">
        <v>37911</v>
      </c>
      <c r="D563" s="42" t="s">
        <v>1204</v>
      </c>
      <c r="E563" s="34">
        <v>0.435</v>
      </c>
      <c r="F563" s="37"/>
      <c r="G563" s="38"/>
      <c r="H563" s="39">
        <v>0.622</v>
      </c>
      <c r="I563" s="26" t="s">
        <v>1194</v>
      </c>
      <c r="J563" s="39"/>
      <c r="K563" s="39"/>
      <c r="L563" s="39"/>
      <c r="M563" s="58"/>
    </row>
    <row r="564" spans="1:13" x14ac:dyDescent="0.25">
      <c r="A564" s="26" t="str">
        <f t="shared" si="12"/>
        <v>Perno riel t/Silla DJZ 1x76</v>
      </c>
      <c r="B564" s="4" t="s">
        <v>1205</v>
      </c>
      <c r="C564" s="34">
        <v>34564</v>
      </c>
      <c r="D564" s="35" t="s">
        <v>1206</v>
      </c>
      <c r="E564" s="36">
        <v>0.502</v>
      </c>
      <c r="F564" s="37"/>
      <c r="G564" s="38"/>
      <c r="H564" s="39">
        <v>0.76200000000000001</v>
      </c>
      <c r="I564" s="26" t="s">
        <v>1194</v>
      </c>
      <c r="M564" s="58"/>
    </row>
    <row r="565" spans="1:13" x14ac:dyDescent="0.25">
      <c r="A565" s="26" t="str">
        <f t="shared" si="12"/>
        <v>Perno riel FFCC JDZ 1x130</v>
      </c>
      <c r="B565" s="4" t="s">
        <v>1207</v>
      </c>
      <c r="C565" s="34">
        <v>35020</v>
      </c>
      <c r="D565" s="42" t="s">
        <v>1208</v>
      </c>
      <c r="E565" s="34">
        <v>0.68500000000000005</v>
      </c>
      <c r="F565" s="37"/>
      <c r="G565" s="38"/>
      <c r="H565" s="39">
        <v>0.94500000000000006</v>
      </c>
      <c r="I565" s="26" t="s">
        <v>1194</v>
      </c>
      <c r="J565" s="39"/>
      <c r="K565" s="39"/>
      <c r="L565" s="39"/>
      <c r="M565" s="58"/>
    </row>
    <row r="566" spans="1:13" x14ac:dyDescent="0.25">
      <c r="A566" s="26" t="str">
        <f t="shared" si="12"/>
        <v>Perno riel FFCC JDZ 1x156</v>
      </c>
      <c r="B566" s="4" t="s">
        <v>1209</v>
      </c>
      <c r="C566" s="34">
        <v>34298</v>
      </c>
      <c r="D566" s="35" t="s">
        <v>1210</v>
      </c>
      <c r="E566" s="36">
        <v>0.68700000000000006</v>
      </c>
      <c r="F566" s="37"/>
      <c r="G566" s="38"/>
      <c r="H566" s="39">
        <v>0.94700000000000006</v>
      </c>
      <c r="I566" s="26" t="s">
        <v>1194</v>
      </c>
      <c r="M566" s="58"/>
    </row>
    <row r="567" spans="1:13" x14ac:dyDescent="0.25">
      <c r="A567" s="26" t="str">
        <f t="shared" ref="A567:A630" si="13">B567&amp;K567</f>
        <v>Perno riel FFCC JDZ 1x165</v>
      </c>
      <c r="B567" s="4" t="s">
        <v>1211</v>
      </c>
      <c r="C567" s="34">
        <v>35670</v>
      </c>
      <c r="D567" s="35" t="s">
        <v>1212</v>
      </c>
      <c r="E567" s="36">
        <v>0.72663</v>
      </c>
      <c r="F567" s="37"/>
      <c r="G567" s="38"/>
      <c r="H567" s="39">
        <v>0.98663000000000001</v>
      </c>
      <c r="I567" s="26" t="s">
        <v>1194</v>
      </c>
      <c r="J567" s="39">
        <v>0.99723000000000006</v>
      </c>
      <c r="K567" s="39"/>
      <c r="L567" s="39"/>
      <c r="M567" s="58"/>
    </row>
    <row r="568" spans="1:13" x14ac:dyDescent="0.25">
      <c r="A568" s="26" t="str">
        <f t="shared" si="13"/>
        <v>Perno riel FFCC JDZ 1x180</v>
      </c>
      <c r="B568" s="4" t="s">
        <v>1213</v>
      </c>
      <c r="C568" s="34">
        <v>37896</v>
      </c>
      <c r="D568" s="35" t="s">
        <v>1214</v>
      </c>
      <c r="E568" s="36">
        <v>0.79268000000000005</v>
      </c>
      <c r="F568" s="37"/>
      <c r="G568" s="38"/>
      <c r="H568" s="39">
        <v>1.0526800000000001</v>
      </c>
      <c r="I568" s="26" t="s">
        <v>1194</v>
      </c>
      <c r="J568" s="39"/>
      <c r="K568" s="39"/>
      <c r="L568" s="39"/>
      <c r="M568" s="58"/>
    </row>
    <row r="569" spans="1:13" x14ac:dyDescent="0.25">
      <c r="A569" s="26" t="str">
        <f t="shared" si="13"/>
        <v>Perno riel FFCC JDZ 1x200</v>
      </c>
      <c r="B569" s="4" t="s">
        <v>1215</v>
      </c>
      <c r="C569" s="34">
        <v>38288</v>
      </c>
      <c r="D569" s="35" t="s">
        <v>1216</v>
      </c>
      <c r="E569" s="36">
        <v>0.88075000000000003</v>
      </c>
      <c r="F569" s="37"/>
      <c r="G569" s="38"/>
      <c r="H569" s="39">
        <v>1.1407500000000002</v>
      </c>
      <c r="I569" s="26" t="s">
        <v>1194</v>
      </c>
      <c r="J569" s="39"/>
      <c r="K569" s="39"/>
      <c r="L569" s="39"/>
      <c r="M569" s="58"/>
    </row>
    <row r="570" spans="1:13" x14ac:dyDescent="0.25">
      <c r="A570" s="26" t="str">
        <f t="shared" si="13"/>
        <v>Perno riel FFCC KJX 1x140</v>
      </c>
      <c r="B570" s="4" t="s">
        <v>1217</v>
      </c>
      <c r="C570" s="34">
        <v>34547</v>
      </c>
      <c r="D570" s="35" t="s">
        <v>1218</v>
      </c>
      <c r="E570" s="36">
        <v>0.72</v>
      </c>
      <c r="F570" s="37"/>
      <c r="G570" s="38"/>
      <c r="H570" s="39">
        <v>0.98</v>
      </c>
      <c r="I570" s="26" t="s">
        <v>1194</v>
      </c>
      <c r="J570" s="39">
        <v>0.94279999999999997</v>
      </c>
      <c r="K570" s="39"/>
      <c r="L570" s="39"/>
      <c r="M570" s="58"/>
    </row>
    <row r="571" spans="1:13" x14ac:dyDescent="0.25">
      <c r="A571" s="26" t="str">
        <f t="shared" si="13"/>
        <v>Perno riel FFCC KA 1x175</v>
      </c>
      <c r="B571" s="4" t="s">
        <v>1219</v>
      </c>
      <c r="C571" s="34">
        <v>37491</v>
      </c>
      <c r="D571" s="35" t="s">
        <v>1220</v>
      </c>
      <c r="E571" s="36">
        <v>0.81</v>
      </c>
      <c r="F571" s="37"/>
      <c r="G571" s="38"/>
      <c r="H571" s="39">
        <v>1.0328000000000002</v>
      </c>
      <c r="I571" s="26" t="s">
        <v>1194</v>
      </c>
      <c r="J571" s="39"/>
      <c r="K571" s="39"/>
      <c r="L571" s="39"/>
      <c r="M571" s="58"/>
    </row>
    <row r="572" spans="1:13" x14ac:dyDescent="0.25">
      <c r="A572" s="26" t="str">
        <f t="shared" si="13"/>
        <v>Perno riel FFCC KZ 7/8x98</v>
      </c>
      <c r="B572" s="4" t="s">
        <v>1221</v>
      </c>
      <c r="C572" s="34">
        <v>34371</v>
      </c>
      <c r="D572" s="35" t="s">
        <v>1222</v>
      </c>
      <c r="E572" s="36">
        <v>0.32300000000000001</v>
      </c>
      <c r="F572" s="37"/>
      <c r="G572" s="38"/>
      <c r="H572" s="39">
        <v>0.45800000000000002</v>
      </c>
      <c r="I572" s="26" t="s">
        <v>1194</v>
      </c>
      <c r="M572" s="58"/>
    </row>
    <row r="573" spans="1:13" x14ac:dyDescent="0.25">
      <c r="A573" s="26" t="str">
        <f t="shared" si="13"/>
        <v>Perno riel FFCC U 3/4x100</v>
      </c>
      <c r="B573" s="4" t="s">
        <v>1223</v>
      </c>
      <c r="C573" s="34">
        <v>34465</v>
      </c>
      <c r="D573" s="35" t="s">
        <v>1224</v>
      </c>
      <c r="E573" s="36">
        <v>0.3</v>
      </c>
      <c r="F573" s="37"/>
      <c r="G573" s="38"/>
      <c r="H573" s="39">
        <v>0.3</v>
      </c>
      <c r="I573" s="26" t="s">
        <v>1194</v>
      </c>
      <c r="M573" s="58"/>
    </row>
    <row r="574" spans="1:13" x14ac:dyDescent="0.25">
      <c r="A574" s="26" t="str">
        <f t="shared" si="13"/>
        <v>Perno riel FFCC LGC 3/4x85</v>
      </c>
      <c r="B574" s="4" t="s">
        <v>1225</v>
      </c>
      <c r="C574" s="34">
        <v>35209</v>
      </c>
      <c r="D574" s="35" t="s">
        <v>1226</v>
      </c>
      <c r="E574" s="36">
        <v>0.26100000000000001</v>
      </c>
      <c r="F574" s="37" t="s">
        <v>190</v>
      </c>
      <c r="G574" s="38"/>
      <c r="H574" s="39">
        <v>0.26100000000000001</v>
      </c>
      <c r="I574" s="26" t="s">
        <v>1194</v>
      </c>
      <c r="M574" s="58"/>
    </row>
    <row r="575" spans="1:13" x14ac:dyDescent="0.25">
      <c r="A575" s="26" t="str">
        <f t="shared" si="13"/>
        <v>Perno riel FFCC P Cab Cuad 3/4x85</v>
      </c>
      <c r="B575" s="4" t="s">
        <v>1227</v>
      </c>
      <c r="C575" s="34">
        <v>35228</v>
      </c>
      <c r="D575" s="35" t="s">
        <v>1228</v>
      </c>
      <c r="E575" s="36">
        <v>0.23499999999999999</v>
      </c>
      <c r="F575" s="37" t="s">
        <v>190</v>
      </c>
      <c r="G575" s="38"/>
      <c r="H575" s="39">
        <v>0.23499999999999999</v>
      </c>
      <c r="I575" s="26" t="s">
        <v>1194</v>
      </c>
      <c r="M575" s="58"/>
    </row>
    <row r="576" spans="1:13" x14ac:dyDescent="0.25">
      <c r="A576" s="26" t="str">
        <f t="shared" si="13"/>
        <v>Perno riel FFCC LP 3/4x85</v>
      </c>
      <c r="B576" s="4" t="s">
        <v>1229</v>
      </c>
      <c r="C576" s="34">
        <v>34067</v>
      </c>
      <c r="D576" s="35" t="s">
        <v>1230</v>
      </c>
      <c r="E576" s="36">
        <v>0.23799999999999999</v>
      </c>
      <c r="F576" s="37"/>
      <c r="G576" s="38"/>
      <c r="H576" s="39">
        <v>0.23799999999999999</v>
      </c>
      <c r="I576" s="26" t="s">
        <v>1194</v>
      </c>
      <c r="M576" s="58"/>
    </row>
    <row r="577" spans="1:13" x14ac:dyDescent="0.25">
      <c r="A577" s="26" t="str">
        <f t="shared" si="13"/>
        <v>Perno riel FFCC 7/8x4x2H</v>
      </c>
      <c r="B577" s="4" t="s">
        <v>1231</v>
      </c>
      <c r="C577" s="34">
        <v>38726</v>
      </c>
      <c r="D577" s="35" t="s">
        <v>1232</v>
      </c>
      <c r="E577" s="36">
        <v>0.42399999999999999</v>
      </c>
      <c r="F577" s="37"/>
      <c r="G577" s="38"/>
      <c r="H577" s="39">
        <v>0.42399999999999999</v>
      </c>
      <c r="I577" s="26" t="s">
        <v>1194</v>
      </c>
      <c r="M577" s="58"/>
    </row>
    <row r="578" spans="1:13" x14ac:dyDescent="0.25">
      <c r="A578" s="26" t="str">
        <f t="shared" si="13"/>
        <v>Perno riel NA 1x3.1/2</v>
      </c>
      <c r="B578" s="4" t="s">
        <v>1233</v>
      </c>
      <c r="C578" s="34">
        <v>34780</v>
      </c>
      <c r="D578" s="35" t="s">
        <v>1234</v>
      </c>
      <c r="E578" s="36">
        <v>0.46200000000000002</v>
      </c>
      <c r="F578" s="37"/>
      <c r="G578" s="38"/>
      <c r="H578" s="39">
        <v>0.46200000000000002</v>
      </c>
      <c r="I578" s="26" t="s">
        <v>1194</v>
      </c>
      <c r="M578" s="58"/>
    </row>
    <row r="579" spans="1:13" x14ac:dyDescent="0.25">
      <c r="A579" s="26" t="str">
        <f t="shared" si="13"/>
        <v>Perno riel NA 1x6</v>
      </c>
      <c r="B579" s="4" t="s">
        <v>1235</v>
      </c>
      <c r="C579" s="34">
        <v>34778</v>
      </c>
      <c r="D579" s="35" t="s">
        <v>1236</v>
      </c>
      <c r="E579" s="36">
        <v>0.7</v>
      </c>
      <c r="F579" s="37"/>
      <c r="G579" s="38"/>
      <c r="H579" s="39">
        <v>0.7</v>
      </c>
      <c r="I579" s="26" t="s">
        <v>1194</v>
      </c>
      <c r="M579" s="58"/>
    </row>
    <row r="580" spans="1:13" x14ac:dyDescent="0.25">
      <c r="A580" s="26" t="str">
        <f t="shared" si="13"/>
        <v>Perno riel NA 1x6.1/2</v>
      </c>
      <c r="B580" s="4" t="s">
        <v>1237</v>
      </c>
      <c r="C580" s="34">
        <v>34779</v>
      </c>
      <c r="D580" s="35" t="s">
        <v>1238</v>
      </c>
      <c r="E580" s="36">
        <v>0.75</v>
      </c>
      <c r="F580" s="37"/>
      <c r="G580" s="38"/>
      <c r="H580" s="39">
        <v>0.75</v>
      </c>
      <c r="I580" s="26" t="s">
        <v>1194</v>
      </c>
      <c r="M580" s="58"/>
    </row>
    <row r="581" spans="1:13" x14ac:dyDescent="0.25">
      <c r="A581" s="26" t="str">
        <f t="shared" si="13"/>
        <v>Perno riel G-2 3/4x4x1.3/4H</v>
      </c>
      <c r="B581" s="4" t="s">
        <v>1239</v>
      </c>
      <c r="C581" s="34">
        <v>36366</v>
      </c>
      <c r="D581" s="35" t="s">
        <v>1193</v>
      </c>
      <c r="E581" s="36">
        <v>0.26600000000000001</v>
      </c>
      <c r="F581" s="37"/>
      <c r="G581" s="38"/>
      <c r="H581" s="39">
        <v>0.26600000000000001</v>
      </c>
      <c r="I581" s="26" t="s">
        <v>1194</v>
      </c>
      <c r="M581" s="58"/>
    </row>
    <row r="582" spans="1:13" x14ac:dyDescent="0.25">
      <c r="A582" s="26" t="str">
        <f t="shared" si="13"/>
        <v>Perno riel NA 3/4x4.1/4</v>
      </c>
      <c r="B582" s="4" t="s">
        <v>1240</v>
      </c>
      <c r="C582" s="34">
        <v>34776</v>
      </c>
      <c r="D582" s="35" t="s">
        <v>1241</v>
      </c>
      <c r="E582" s="36">
        <v>0.28199999999999997</v>
      </c>
      <c r="F582" s="37"/>
      <c r="G582" s="38"/>
      <c r="H582" s="39">
        <v>0.28199999999999997</v>
      </c>
      <c r="I582" s="26" t="s">
        <v>1194</v>
      </c>
      <c r="M582" s="58"/>
    </row>
    <row r="583" spans="1:13" x14ac:dyDescent="0.25">
      <c r="A583" s="26" t="str">
        <f t="shared" si="13"/>
        <v>Perno riel NA 5/8x3.1/4</v>
      </c>
      <c r="B583" s="4" t="s">
        <v>1242</v>
      </c>
      <c r="C583" s="34">
        <v>34775</v>
      </c>
      <c r="D583" s="35" t="s">
        <v>1243</v>
      </c>
      <c r="E583" s="36">
        <v>0.153</v>
      </c>
      <c r="F583" s="37"/>
      <c r="G583" s="38"/>
      <c r="H583" s="39">
        <v>0.153</v>
      </c>
      <c r="I583" s="26" t="s">
        <v>1194</v>
      </c>
      <c r="M583" s="58"/>
    </row>
    <row r="584" spans="1:13" x14ac:dyDescent="0.25">
      <c r="A584" s="26" t="str">
        <f t="shared" si="13"/>
        <v>Perno riel NA 7/8x4.1/4x2H</v>
      </c>
      <c r="B584" s="4" t="s">
        <v>1244</v>
      </c>
      <c r="C584" s="34">
        <v>35310</v>
      </c>
      <c r="D584" s="35" t="s">
        <v>1245</v>
      </c>
      <c r="E584" s="36">
        <v>0.39200000000000002</v>
      </c>
      <c r="F584" s="37" t="s">
        <v>736</v>
      </c>
      <c r="G584" s="38"/>
      <c r="H584" s="39">
        <v>0.55620000000000003</v>
      </c>
      <c r="I584" s="26" t="s">
        <v>1194</v>
      </c>
      <c r="M584" s="58"/>
    </row>
    <row r="585" spans="1:13" x14ac:dyDescent="0.25">
      <c r="A585" s="26" t="str">
        <f t="shared" si="13"/>
        <v>Perno riel NA 7/8x5x2H</v>
      </c>
      <c r="B585" s="4" t="s">
        <v>1246</v>
      </c>
      <c r="C585" s="34">
        <v>34777</v>
      </c>
      <c r="D585" s="35" t="s">
        <v>1247</v>
      </c>
      <c r="E585" s="36">
        <v>0.44900000000000001</v>
      </c>
      <c r="F585" s="37"/>
      <c r="G585" s="38"/>
      <c r="H585" s="39">
        <v>0.44900000000000001</v>
      </c>
      <c r="I585" s="26" t="s">
        <v>1194</v>
      </c>
      <c r="M585" s="58"/>
    </row>
    <row r="586" spans="1:13" x14ac:dyDescent="0.25">
      <c r="A586" s="26" t="str">
        <f t="shared" si="13"/>
        <v>Perno riel NA G-5 1x3.1/2</v>
      </c>
      <c r="B586" s="4" t="s">
        <v>1248</v>
      </c>
      <c r="C586" s="34">
        <v>35003</v>
      </c>
      <c r="D586" s="42" t="s">
        <v>1249</v>
      </c>
      <c r="E586" s="34">
        <v>0.46200000000000002</v>
      </c>
      <c r="F586" s="37"/>
      <c r="G586" s="38"/>
      <c r="H586" s="39">
        <v>0.46200000000000002</v>
      </c>
      <c r="I586" s="26" t="s">
        <v>1194</v>
      </c>
      <c r="M586" s="58"/>
    </row>
    <row r="587" spans="1:13" x14ac:dyDescent="0.25">
      <c r="A587" s="26" t="str">
        <f t="shared" si="13"/>
        <v>Perno riel NA G-5 1x3.1/2</v>
      </c>
      <c r="B587" s="4" t="s">
        <v>1248</v>
      </c>
      <c r="C587" s="34">
        <v>35003</v>
      </c>
      <c r="D587" s="42" t="s">
        <v>1249</v>
      </c>
      <c r="E587" s="34">
        <v>0.46200000000000002</v>
      </c>
      <c r="F587" s="37"/>
      <c r="G587" s="38"/>
      <c r="H587" s="39">
        <v>0.46200000000000002</v>
      </c>
      <c r="I587" s="26" t="s">
        <v>1194</v>
      </c>
      <c r="M587" s="58"/>
    </row>
    <row r="588" spans="1:13" x14ac:dyDescent="0.25">
      <c r="A588" s="26" t="str">
        <f t="shared" si="13"/>
        <v>Perno riel NA G-5 7/8x5</v>
      </c>
      <c r="B588" s="4" t="s">
        <v>1250</v>
      </c>
      <c r="C588" s="34">
        <v>35002</v>
      </c>
      <c r="D588" s="42" t="s">
        <v>1251</v>
      </c>
      <c r="E588" s="34">
        <v>0.46200000000000002</v>
      </c>
      <c r="F588" s="37"/>
      <c r="G588" s="38"/>
      <c r="H588" s="39">
        <v>0.46200000000000002</v>
      </c>
      <c r="I588" s="26" t="s">
        <v>1194</v>
      </c>
      <c r="M588" s="58"/>
    </row>
    <row r="589" spans="1:13" x14ac:dyDescent="0.25">
      <c r="A589" s="26" t="str">
        <f t="shared" si="13"/>
        <v>Perno riel p/Tirante K-U-Y-Z 1x100</v>
      </c>
      <c r="B589" s="4" t="s">
        <v>1252</v>
      </c>
      <c r="C589" s="34">
        <v>35328</v>
      </c>
      <c r="D589" s="42" t="s">
        <v>1253</v>
      </c>
      <c r="E589" s="34">
        <v>0.53</v>
      </c>
      <c r="F589" s="37"/>
      <c r="G589" s="38"/>
      <c r="H589" s="39">
        <v>0.53</v>
      </c>
      <c r="I589" s="26" t="s">
        <v>1194</v>
      </c>
      <c r="M589" s="58"/>
    </row>
    <row r="590" spans="1:13" x14ac:dyDescent="0.25">
      <c r="A590" s="26" t="str">
        <f t="shared" si="13"/>
        <v>Perno riel t/Silla BCY 7/8x70</v>
      </c>
      <c r="B590" s="4" t="s">
        <v>1254</v>
      </c>
      <c r="C590" s="34">
        <v>34569</v>
      </c>
      <c r="D590" s="35" t="s">
        <v>1255</v>
      </c>
      <c r="E590" s="36">
        <v>0.35399999999999998</v>
      </c>
      <c r="F590" s="37"/>
      <c r="G590" s="38"/>
      <c r="H590" s="39">
        <v>0.54100000000000004</v>
      </c>
      <c r="I590" s="26" t="s">
        <v>1194</v>
      </c>
      <c r="J590" s="39"/>
      <c r="K590" s="39"/>
      <c r="L590" s="39"/>
      <c r="M590" s="58"/>
    </row>
    <row r="591" spans="1:13" x14ac:dyDescent="0.25">
      <c r="A591" s="26" t="str">
        <f t="shared" si="13"/>
        <v>Perno Talón Aguja BCY 7/8x240</v>
      </c>
      <c r="B591" s="4" t="s">
        <v>1256</v>
      </c>
      <c r="C591" s="34">
        <v>34468</v>
      </c>
      <c r="D591" s="35" t="s">
        <v>1257</v>
      </c>
      <c r="E591" s="36">
        <v>0.88</v>
      </c>
      <c r="F591" s="37"/>
      <c r="G591" s="38"/>
      <c r="H591" s="39">
        <v>1.0467</v>
      </c>
      <c r="I591" s="26" t="s">
        <v>152</v>
      </c>
      <c r="M591" s="58"/>
    </row>
    <row r="592" spans="1:13" x14ac:dyDescent="0.25">
      <c r="A592" s="26" t="str">
        <f t="shared" si="13"/>
        <v>Perno Talón Aguja DJKZ  1x260</v>
      </c>
      <c r="B592" s="4" t="s">
        <v>1258</v>
      </c>
      <c r="C592" s="34">
        <v>34559</v>
      </c>
      <c r="D592" s="35" t="s">
        <v>1259</v>
      </c>
      <c r="E592" s="36">
        <v>1.25</v>
      </c>
      <c r="F592" s="37"/>
      <c r="G592" s="38"/>
      <c r="H592" s="39">
        <v>1.4868000000000001</v>
      </c>
      <c r="I592" s="26" t="s">
        <v>152</v>
      </c>
      <c r="J592" s="39"/>
      <c r="K592" s="39"/>
      <c r="L592" s="39"/>
      <c r="M592" s="58"/>
    </row>
    <row r="593" spans="1:13" x14ac:dyDescent="0.25">
      <c r="A593" s="26" t="str">
        <f t="shared" si="13"/>
        <v>Pletina 32x6x180 p/Elemento Montaje</v>
      </c>
      <c r="B593" s="4" t="s">
        <v>1260</v>
      </c>
      <c r="C593" s="34">
        <v>34583</v>
      </c>
      <c r="D593" s="35" t="s">
        <v>1261</v>
      </c>
      <c r="E593" s="36">
        <v>0.24</v>
      </c>
      <c r="F593" s="37"/>
      <c r="G593" s="38"/>
      <c r="H593" s="39">
        <v>0.24</v>
      </c>
      <c r="I593" s="26" t="s">
        <v>149</v>
      </c>
      <c r="M593" s="58"/>
    </row>
    <row r="594" spans="1:13" x14ac:dyDescent="0.25">
      <c r="A594" s="26" t="str">
        <f t="shared" si="13"/>
        <v>Pletina Abrazadera Poste Tubular</v>
      </c>
      <c r="B594" s="4" t="s">
        <v>1262</v>
      </c>
      <c r="C594" s="34">
        <v>34879</v>
      </c>
      <c r="D594" s="42" t="s">
        <v>1263</v>
      </c>
      <c r="E594" s="34">
        <v>0.48499999999999999</v>
      </c>
      <c r="F594" s="37"/>
      <c r="G594" s="38"/>
      <c r="H594" s="39">
        <v>0.48499999999999999</v>
      </c>
      <c r="I594" s="26" t="s">
        <v>149</v>
      </c>
      <c r="M594" s="58"/>
    </row>
    <row r="595" spans="1:13" x14ac:dyDescent="0.25">
      <c r="A595" s="26" t="str">
        <f t="shared" si="13"/>
        <v>Pletina Corta p/Elemento Montaje 32x6x172</v>
      </c>
      <c r="B595" s="4" t="s">
        <v>1264</v>
      </c>
      <c r="C595" s="34">
        <v>34714</v>
      </c>
      <c r="D595" s="35" t="s">
        <v>1265</v>
      </c>
      <c r="E595" s="36">
        <v>0.26500000000000001</v>
      </c>
      <c r="F595" s="37"/>
      <c r="G595" s="38"/>
      <c r="H595" s="39">
        <v>0.26500000000000001</v>
      </c>
      <c r="I595" s="26" t="s">
        <v>149</v>
      </c>
      <c r="M595" s="58"/>
    </row>
    <row r="596" spans="1:13" x14ac:dyDescent="0.25">
      <c r="A596" s="26" t="str">
        <f t="shared" si="13"/>
        <v>Pletina Curva p/Cruceta 50x5x300</v>
      </c>
      <c r="B596" s="4" t="s">
        <v>1266</v>
      </c>
      <c r="C596" s="34">
        <v>35795</v>
      </c>
      <c r="D596" s="35" t="s">
        <v>1267</v>
      </c>
      <c r="E596" s="36">
        <v>0.83</v>
      </c>
      <c r="F596" s="37"/>
      <c r="G596" s="38"/>
      <c r="H596" s="39">
        <v>0.83</v>
      </c>
      <c r="I596" s="26" t="s">
        <v>149</v>
      </c>
      <c r="M596" s="58"/>
    </row>
    <row r="597" spans="1:13" x14ac:dyDescent="0.25">
      <c r="A597" s="26" t="str">
        <f t="shared" si="13"/>
        <v>Pletina Curva 38x5x100mm</v>
      </c>
      <c r="B597" s="4" t="s">
        <v>1268</v>
      </c>
      <c r="C597" s="34">
        <v>36866</v>
      </c>
      <c r="D597" s="35" t="s">
        <v>1269</v>
      </c>
      <c r="E597" s="36">
        <v>0.16</v>
      </c>
      <c r="F597" s="37"/>
      <c r="G597" s="38"/>
      <c r="H597" s="39">
        <v>0.16</v>
      </c>
      <c r="I597" s="26" t="s">
        <v>149</v>
      </c>
      <c r="M597" s="58"/>
    </row>
    <row r="598" spans="1:13" x14ac:dyDescent="0.25">
      <c r="A598" s="26" t="str">
        <f t="shared" si="13"/>
        <v>Pletina c/Ova p/Sop Secc Fusible 60x6x360mm</v>
      </c>
      <c r="B598" s="4" t="s">
        <v>1270</v>
      </c>
      <c r="C598" s="34">
        <v>36123</v>
      </c>
      <c r="D598" s="35" t="s">
        <v>1271</v>
      </c>
      <c r="E598" s="36">
        <v>1.0169999999999999</v>
      </c>
      <c r="F598" s="40"/>
      <c r="G598" s="41"/>
      <c r="H598" s="39">
        <v>1.0169999999999999</v>
      </c>
      <c r="I598" s="26" t="s">
        <v>149</v>
      </c>
      <c r="M598" s="58"/>
    </row>
    <row r="599" spans="1:13" x14ac:dyDescent="0.25">
      <c r="A599" s="26" t="str">
        <f t="shared" si="13"/>
        <v>Pletina Elemento Montaje Cruc.Madera ( L )</v>
      </c>
      <c r="B599" s="4" t="s">
        <v>1272</v>
      </c>
      <c r="C599" s="34">
        <v>34584</v>
      </c>
      <c r="D599" s="35" t="s">
        <v>1273</v>
      </c>
      <c r="E599" s="36">
        <v>0.72</v>
      </c>
      <c r="F599" s="37"/>
      <c r="G599" s="38"/>
      <c r="H599" s="39">
        <v>0.72</v>
      </c>
      <c r="I599" s="26" t="s">
        <v>149</v>
      </c>
      <c r="M599" s="58"/>
    </row>
    <row r="600" spans="1:13" x14ac:dyDescent="0.25">
      <c r="A600" s="26" t="str">
        <f t="shared" si="13"/>
        <v>Pletina Elemento Montaje Cruc.Metálica( Z )</v>
      </c>
      <c r="B600" s="4" t="s">
        <v>1274</v>
      </c>
      <c r="C600" s="34">
        <v>34587</v>
      </c>
      <c r="D600" s="35" t="s">
        <v>1275</v>
      </c>
      <c r="E600" s="36">
        <v>0.69299999999999995</v>
      </c>
      <c r="F600" s="37"/>
      <c r="G600" s="38"/>
      <c r="H600" s="39">
        <v>0.69299999999999995</v>
      </c>
      <c r="I600" s="26" t="s">
        <v>149</v>
      </c>
      <c r="M600" s="58"/>
    </row>
    <row r="601" spans="1:13" x14ac:dyDescent="0.25">
      <c r="A601" s="26" t="str">
        <f t="shared" si="13"/>
        <v>Pletina L p/Elemento Montaje 38x6x205x86</v>
      </c>
      <c r="B601" s="4" t="s">
        <v>1276</v>
      </c>
      <c r="C601" s="34">
        <v>34713</v>
      </c>
      <c r="D601" s="35" t="s">
        <v>1277</v>
      </c>
      <c r="E601" s="36">
        <v>0.85119999999999996</v>
      </c>
      <c r="F601" s="37"/>
      <c r="G601" s="38"/>
      <c r="H601" s="39">
        <v>0.85119999999999996</v>
      </c>
      <c r="I601" s="26" t="s">
        <v>149</v>
      </c>
      <c r="M601" s="58"/>
    </row>
    <row r="602" spans="1:13" x14ac:dyDescent="0.25">
      <c r="A602" s="26" t="str">
        <f t="shared" si="13"/>
        <v>Pletina p/Ext. Metalica 1.60Mts  50x6x175</v>
      </c>
      <c r="B602" s="4" t="s">
        <v>1278</v>
      </c>
      <c r="C602" s="34">
        <v>35333</v>
      </c>
      <c r="D602" s="35" t="s">
        <v>1279</v>
      </c>
      <c r="E602" s="36">
        <v>0.41199999999999998</v>
      </c>
      <c r="F602" s="37"/>
      <c r="G602" s="38"/>
      <c r="H602" s="39">
        <v>0.41199999999999998</v>
      </c>
      <c r="I602" s="26" t="s">
        <v>149</v>
      </c>
      <c r="M602" s="58"/>
    </row>
    <row r="603" spans="1:13" x14ac:dyDescent="0.25">
      <c r="A603" s="26" t="str">
        <f t="shared" si="13"/>
        <v>Pletina p/Ext. Metalica 178x182x5x200</v>
      </c>
      <c r="B603" s="4" t="s">
        <v>1280</v>
      </c>
      <c r="C603" s="34">
        <v>35339</v>
      </c>
      <c r="D603" s="35" t="s">
        <v>1281</v>
      </c>
      <c r="E603" s="36">
        <v>2.7</v>
      </c>
      <c r="F603" s="37"/>
      <c r="G603" s="38"/>
      <c r="H603" s="39">
        <v>2.7</v>
      </c>
      <c r="I603" s="26" t="s">
        <v>149</v>
      </c>
      <c r="M603" s="58"/>
    </row>
    <row r="604" spans="1:13" x14ac:dyDescent="0.25">
      <c r="A604" s="26" t="str">
        <f t="shared" si="13"/>
        <v>Pletina p/Ext. Metalica 50x5x197mm</v>
      </c>
      <c r="B604" s="4" t="s">
        <v>1282</v>
      </c>
      <c r="C604" s="34">
        <v>38252</v>
      </c>
      <c r="D604" s="35" t="s">
        <v>1283</v>
      </c>
      <c r="E604" s="36">
        <v>0.38</v>
      </c>
      <c r="F604" s="37"/>
      <c r="G604" s="38"/>
      <c r="H604" s="39">
        <v>0.38</v>
      </c>
      <c r="I604" s="26" t="s">
        <v>149</v>
      </c>
      <c r="M604" s="58"/>
    </row>
    <row r="605" spans="1:13" x14ac:dyDescent="0.25">
      <c r="A605" s="26" t="str">
        <f t="shared" si="13"/>
        <v>Pletina p/Ext. Metalica 50x5x218mm</v>
      </c>
      <c r="B605" s="4" t="s">
        <v>1284</v>
      </c>
      <c r="C605" s="34">
        <v>38253</v>
      </c>
      <c r="D605" s="35" t="s">
        <v>1285</v>
      </c>
      <c r="E605" s="36">
        <v>0.42599999999999999</v>
      </c>
      <c r="F605" s="37"/>
      <c r="G605" s="38"/>
      <c r="H605" s="39">
        <v>0.42599999999999999</v>
      </c>
      <c r="I605" s="26" t="s">
        <v>149</v>
      </c>
      <c r="M605" s="58"/>
    </row>
    <row r="606" spans="1:13" x14ac:dyDescent="0.25">
      <c r="A606" s="26" t="str">
        <f t="shared" si="13"/>
        <v>Pletina p/Ext. Metalica 50x5x244mm</v>
      </c>
      <c r="B606" s="4" t="s">
        <v>1286</v>
      </c>
      <c r="C606" s="34">
        <v>38254</v>
      </c>
      <c r="D606" s="35" t="s">
        <v>1287</v>
      </c>
      <c r="E606" s="36">
        <v>0.48099999999999998</v>
      </c>
      <c r="F606" s="37"/>
      <c r="G606" s="38"/>
      <c r="H606" s="39">
        <v>0.48099999999999998</v>
      </c>
      <c r="I606" s="26" t="s">
        <v>149</v>
      </c>
      <c r="M606" s="58"/>
    </row>
    <row r="607" spans="1:13" x14ac:dyDescent="0.25">
      <c r="A607" s="26" t="str">
        <f t="shared" si="13"/>
        <v>Pletina p/Perno J 50x8x150</v>
      </c>
      <c r="B607" s="4" t="s">
        <v>1288</v>
      </c>
      <c r="C607" s="34">
        <v>34396</v>
      </c>
      <c r="D607" s="35" t="s">
        <v>1289</v>
      </c>
      <c r="E607" s="36">
        <v>0.46400000000000002</v>
      </c>
      <c r="F607" s="40"/>
      <c r="G607" s="41"/>
      <c r="H607" s="39">
        <v>0.46400000000000002</v>
      </c>
      <c r="I607" s="26" t="s">
        <v>149</v>
      </c>
      <c r="M607" s="58"/>
    </row>
    <row r="608" spans="1:13" x14ac:dyDescent="0.25">
      <c r="A608" s="26" t="str">
        <f t="shared" si="13"/>
        <v>Pletina p/Soporte Secc Fusible 40x4x395mm</v>
      </c>
      <c r="B608" s="4" t="s">
        <v>1290</v>
      </c>
      <c r="C608" s="34">
        <v>36122</v>
      </c>
      <c r="D608" s="35" t="s">
        <v>1291</v>
      </c>
      <c r="E608" s="36">
        <v>0.496</v>
      </c>
      <c r="F608" s="40"/>
      <c r="G608" s="41"/>
      <c r="H608" s="39">
        <v>0.496</v>
      </c>
      <c r="I608" s="26" t="s">
        <v>149</v>
      </c>
      <c r="M608" s="58"/>
    </row>
    <row r="609" spans="1:13" x14ac:dyDescent="0.25">
      <c r="A609" s="26" t="str">
        <f t="shared" si="13"/>
        <v>Pletina p/Soporte Secc Fusible 32x3x130mm</v>
      </c>
      <c r="B609" s="4" t="s">
        <v>1292</v>
      </c>
      <c r="C609" s="34">
        <v>36124</v>
      </c>
      <c r="D609" s="35" t="s">
        <v>1293</v>
      </c>
      <c r="E609" s="36">
        <v>9.8000000000000004E-2</v>
      </c>
      <c r="F609" s="40"/>
      <c r="G609" s="41"/>
      <c r="H609" s="39">
        <v>9.8000000000000004E-2</v>
      </c>
      <c r="I609" s="26" t="s">
        <v>149</v>
      </c>
      <c r="M609" s="58"/>
    </row>
    <row r="610" spans="1:13" x14ac:dyDescent="0.25">
      <c r="A610" s="26" t="str">
        <f t="shared" si="13"/>
        <v>Pletina p/Soporte Cruceta 60x6x75mm</v>
      </c>
      <c r="B610" s="4" t="s">
        <v>1294</v>
      </c>
      <c r="C610" s="34">
        <v>35200</v>
      </c>
      <c r="D610" s="35" t="s">
        <v>1295</v>
      </c>
      <c r="E610" s="36">
        <v>0.2</v>
      </c>
      <c r="F610" s="40"/>
      <c r="G610" s="41"/>
      <c r="H610" s="39">
        <v>0.2</v>
      </c>
      <c r="I610" s="26" t="s">
        <v>149</v>
      </c>
      <c r="M610" s="58"/>
    </row>
    <row r="611" spans="1:13" x14ac:dyDescent="0.25">
      <c r="A611" s="26" t="str">
        <f t="shared" si="13"/>
        <v>Pletina Refuerzo 38x10x63</v>
      </c>
      <c r="B611" s="4" t="s">
        <v>1296</v>
      </c>
      <c r="C611" s="34">
        <v>34785</v>
      </c>
      <c r="D611" s="35" t="s">
        <v>1297</v>
      </c>
      <c r="E611" s="36">
        <v>0.17399999999999999</v>
      </c>
      <c r="F611" s="40"/>
      <c r="G611" s="41"/>
      <c r="H611" s="39">
        <v>0.17399999999999999</v>
      </c>
      <c r="I611" s="26" t="s">
        <v>149</v>
      </c>
      <c r="M611" s="58"/>
    </row>
    <row r="612" spans="1:13" x14ac:dyDescent="0.25">
      <c r="A612" s="26" t="str">
        <f t="shared" si="13"/>
        <v>Pletina p/Soldar 140x6x140</v>
      </c>
      <c r="B612" s="4" t="s">
        <v>1298</v>
      </c>
      <c r="C612" s="34">
        <v>35766</v>
      </c>
      <c r="D612" s="35" t="s">
        <v>1299</v>
      </c>
      <c r="E612" s="36">
        <v>0.70499999999999996</v>
      </c>
      <c r="F612" s="40"/>
      <c r="G612" s="41"/>
      <c r="H612" s="39">
        <v>0.70499999999999996</v>
      </c>
      <c r="I612" s="26" t="s">
        <v>149</v>
      </c>
      <c r="M612" s="58"/>
    </row>
    <row r="613" spans="1:13" x14ac:dyDescent="0.25">
      <c r="A613" s="26" t="str">
        <f t="shared" si="13"/>
        <v>Pletina p/Soldar 115x4x115</v>
      </c>
      <c r="B613" s="4" t="s">
        <v>1300</v>
      </c>
      <c r="C613" s="34">
        <v>35767</v>
      </c>
      <c r="D613" s="35" t="s">
        <v>1301</v>
      </c>
      <c r="E613" s="36">
        <v>0.45200000000000001</v>
      </c>
      <c r="F613" s="40"/>
      <c r="G613" s="41"/>
      <c r="H613" s="39">
        <v>0.45200000000000001</v>
      </c>
      <c r="I613" s="26" t="s">
        <v>149</v>
      </c>
      <c r="M613" s="58"/>
    </row>
    <row r="614" spans="1:13" x14ac:dyDescent="0.25">
      <c r="A614" s="26" t="str">
        <f t="shared" si="13"/>
        <v>Pletina 50x6x110 p/Brazo L 23kV</v>
      </c>
      <c r="B614" s="4" t="s">
        <v>1302</v>
      </c>
      <c r="C614" s="34">
        <v>32144</v>
      </c>
      <c r="D614" s="35" t="s">
        <v>1303</v>
      </c>
      <c r="E614" s="36">
        <v>0.2596</v>
      </c>
      <c r="F614" s="40"/>
      <c r="G614" s="41"/>
      <c r="H614" s="39">
        <v>0.2596</v>
      </c>
      <c r="I614" s="26" t="s">
        <v>149</v>
      </c>
      <c r="M614" s="58"/>
    </row>
    <row r="615" spans="1:13" x14ac:dyDescent="0.25">
      <c r="A615" s="26" t="str">
        <f t="shared" si="13"/>
        <v>Pletina 50x5x215mm</v>
      </c>
      <c r="B615" s="4" t="s">
        <v>1304</v>
      </c>
      <c r="C615" s="34">
        <v>36337</v>
      </c>
      <c r="D615" s="35" t="s">
        <v>1305</v>
      </c>
      <c r="E615" s="36">
        <v>0.43</v>
      </c>
      <c r="F615" s="40"/>
      <c r="G615" s="41"/>
      <c r="H615" s="39">
        <v>0.43</v>
      </c>
      <c r="I615" s="26" t="s">
        <v>149</v>
      </c>
      <c r="M615" s="58"/>
    </row>
    <row r="616" spans="1:13" x14ac:dyDescent="0.25">
      <c r="A616" s="26" t="str">
        <f t="shared" si="13"/>
        <v>Pletina Unión 10x100x195mm</v>
      </c>
      <c r="B616" s="4" t="s">
        <v>1306</v>
      </c>
      <c r="C616" s="34">
        <v>35148</v>
      </c>
      <c r="D616" s="42" t="s">
        <v>1307</v>
      </c>
      <c r="E616" s="34">
        <v>1.345</v>
      </c>
      <c r="F616" s="40"/>
      <c r="G616" s="41"/>
      <c r="H616" s="39">
        <v>1.345</v>
      </c>
      <c r="I616" s="26" t="s">
        <v>149</v>
      </c>
      <c r="M616" s="58"/>
    </row>
    <row r="617" spans="1:13" x14ac:dyDescent="0.25">
      <c r="A617" s="26" t="str">
        <f t="shared" si="13"/>
        <v>Pletina Unión 12x76x400</v>
      </c>
      <c r="B617" s="4" t="s">
        <v>1308</v>
      </c>
      <c r="C617" s="34">
        <v>35050</v>
      </c>
      <c r="D617" s="42" t="s">
        <v>1309</v>
      </c>
      <c r="E617" s="34">
        <v>3.1</v>
      </c>
      <c r="F617" s="40"/>
      <c r="G617" s="41"/>
      <c r="H617" s="39">
        <v>3.1</v>
      </c>
      <c r="I617" s="26" t="s">
        <v>149</v>
      </c>
      <c r="M617" s="58"/>
    </row>
    <row r="618" spans="1:13" x14ac:dyDescent="0.25">
      <c r="A618" s="26" t="str">
        <f t="shared" si="13"/>
        <v>Pletina Unión 120x10x524</v>
      </c>
      <c r="B618" s="4" t="s">
        <v>1310</v>
      </c>
      <c r="C618" s="34">
        <v>34789</v>
      </c>
      <c r="D618" s="35" t="s">
        <v>1311</v>
      </c>
      <c r="E618" s="36">
        <v>5.38</v>
      </c>
      <c r="F618" s="40"/>
      <c r="G618" s="41"/>
      <c r="H618" s="39">
        <v>5.38</v>
      </c>
      <c r="I618" s="26" t="s">
        <v>149</v>
      </c>
      <c r="M618" s="58"/>
    </row>
    <row r="619" spans="1:13" x14ac:dyDescent="0.25">
      <c r="A619" s="26" t="str">
        <f t="shared" si="13"/>
        <v>Pletina Unión 120x6x305</v>
      </c>
      <c r="B619" s="4" t="s">
        <v>1312</v>
      </c>
      <c r="C619" s="34">
        <v>34615</v>
      </c>
      <c r="D619" s="35" t="s">
        <v>1313</v>
      </c>
      <c r="E619" s="36">
        <v>1.79</v>
      </c>
      <c r="F619" s="40"/>
      <c r="G619" s="41"/>
      <c r="H619" s="39">
        <v>1.79</v>
      </c>
      <c r="I619" s="26" t="s">
        <v>149</v>
      </c>
      <c r="M619" s="58"/>
    </row>
    <row r="620" spans="1:13" x14ac:dyDescent="0.25">
      <c r="A620" s="26" t="str">
        <f t="shared" si="13"/>
        <v>Pletina Unión 120x6x335</v>
      </c>
      <c r="B620" s="4" t="s">
        <v>1314</v>
      </c>
      <c r="C620" s="34">
        <v>35028</v>
      </c>
      <c r="D620" s="42" t="s">
        <v>1315</v>
      </c>
      <c r="E620" s="34">
        <v>1.8620000000000001</v>
      </c>
      <c r="F620" s="40"/>
      <c r="G620" s="41"/>
      <c r="H620" s="39">
        <v>1.8620000000000001</v>
      </c>
      <c r="I620" s="26" t="s">
        <v>149</v>
      </c>
      <c r="M620" s="58"/>
    </row>
    <row r="621" spans="1:13" x14ac:dyDescent="0.25">
      <c r="A621" s="26" t="str">
        <f t="shared" si="13"/>
        <v>Pletina Unión 120x6x344</v>
      </c>
      <c r="B621" s="4" t="s">
        <v>1316</v>
      </c>
      <c r="C621" s="34">
        <v>35368</v>
      </c>
      <c r="D621" s="42" t="s">
        <v>1317</v>
      </c>
      <c r="E621" s="34">
        <v>1.9</v>
      </c>
      <c r="F621" s="40"/>
      <c r="G621" s="41"/>
      <c r="H621" s="39">
        <v>1.9</v>
      </c>
      <c r="I621" s="26" t="s">
        <v>149</v>
      </c>
      <c r="M621" s="58"/>
    </row>
    <row r="622" spans="1:13" x14ac:dyDescent="0.25">
      <c r="A622" s="26" t="str">
        <f t="shared" si="13"/>
        <v>Pletina Unión 120x8x640</v>
      </c>
      <c r="B622" s="4" t="s">
        <v>1318</v>
      </c>
      <c r="C622" s="34">
        <v>35642</v>
      </c>
      <c r="D622" s="42" t="s">
        <v>1319</v>
      </c>
      <c r="E622" s="34">
        <v>5.0999999999999996</v>
      </c>
      <c r="F622" s="40"/>
      <c r="G622" s="41"/>
      <c r="H622" s="39">
        <v>5.0999999999999996</v>
      </c>
      <c r="I622" s="26" t="s">
        <v>149</v>
      </c>
      <c r="M622" s="58"/>
    </row>
    <row r="623" spans="1:13" x14ac:dyDescent="0.25">
      <c r="A623" s="26" t="str">
        <f t="shared" si="13"/>
        <v>Pletina Unión 60x6x150 s/perforación</v>
      </c>
      <c r="B623" s="4" t="s">
        <v>1320</v>
      </c>
      <c r="C623" s="34">
        <v>34493</v>
      </c>
      <c r="D623" s="35" t="s">
        <v>1321</v>
      </c>
      <c r="E623" s="36">
        <v>0.50800000000000001</v>
      </c>
      <c r="F623" s="40"/>
      <c r="G623" s="41"/>
      <c r="H623" s="39">
        <v>0.50800000000000001</v>
      </c>
      <c r="I623" s="26" t="s">
        <v>149</v>
      </c>
      <c r="M623" s="58"/>
    </row>
    <row r="624" spans="1:13" x14ac:dyDescent="0.25">
      <c r="A624" s="26" t="str">
        <f t="shared" si="13"/>
        <v>Pletina Unión 76x6x400</v>
      </c>
      <c r="B624" s="4" t="s">
        <v>1322</v>
      </c>
      <c r="C624" s="34">
        <v>35304</v>
      </c>
      <c r="D624" s="35" t="s">
        <v>1323</v>
      </c>
      <c r="E624" s="36">
        <v>1.53</v>
      </c>
      <c r="F624" s="40"/>
      <c r="G624" s="41"/>
      <c r="H624" s="39">
        <v>1.53</v>
      </c>
      <c r="I624" s="26" t="s">
        <v>149</v>
      </c>
      <c r="M624" s="58"/>
    </row>
    <row r="625" spans="1:13" x14ac:dyDescent="0.25">
      <c r="A625" s="26" t="str">
        <f t="shared" si="13"/>
        <v>Pletina Unión 76x6x295</v>
      </c>
      <c r="B625" s="4" t="s">
        <v>1324</v>
      </c>
      <c r="C625" s="34">
        <v>35030</v>
      </c>
      <c r="D625" s="42" t="s">
        <v>1325</v>
      </c>
      <c r="E625" s="34">
        <v>0.98</v>
      </c>
      <c r="F625" s="40"/>
      <c r="G625" s="41"/>
      <c r="H625" s="39">
        <v>0.98</v>
      </c>
      <c r="I625" s="26" t="s">
        <v>149</v>
      </c>
      <c r="M625" s="58"/>
    </row>
    <row r="626" spans="1:13" x14ac:dyDescent="0.25">
      <c r="A626" s="26" t="str">
        <f t="shared" si="13"/>
        <v>Porta Viga C 100x40x6x496</v>
      </c>
      <c r="B626" s="4" t="s">
        <v>1326</v>
      </c>
      <c r="C626" s="34">
        <v>38227</v>
      </c>
      <c r="D626" s="42" t="s">
        <v>1327</v>
      </c>
      <c r="E626" s="34">
        <v>3.7</v>
      </c>
      <c r="F626" s="40"/>
      <c r="G626" s="41"/>
      <c r="H626" s="39">
        <v>3.7</v>
      </c>
      <c r="I626" s="26" t="s">
        <v>149</v>
      </c>
      <c r="M626" s="58"/>
    </row>
    <row r="627" spans="1:13" x14ac:dyDescent="0.25">
      <c r="A627" s="26" t="str">
        <f t="shared" si="13"/>
        <v>Porta Viga W 125x60x5x500</v>
      </c>
      <c r="B627" s="4" t="s">
        <v>1328</v>
      </c>
      <c r="C627" s="34">
        <v>36305</v>
      </c>
      <c r="D627" s="42" t="s">
        <v>1329</v>
      </c>
      <c r="E627" s="34">
        <v>4.5330000000000004</v>
      </c>
      <c r="F627" s="40"/>
      <c r="G627" s="41"/>
      <c r="H627" s="39">
        <v>4.5330000000000004</v>
      </c>
      <c r="I627" s="26" t="s">
        <v>149</v>
      </c>
      <c r="M627" s="58"/>
    </row>
    <row r="628" spans="1:13" x14ac:dyDescent="0.25">
      <c r="A628" s="26" t="str">
        <f t="shared" si="13"/>
        <v>Poste Soporte 100x100x5x1795</v>
      </c>
      <c r="B628" s="4" t="s">
        <v>1330</v>
      </c>
      <c r="C628" s="34">
        <v>35224</v>
      </c>
      <c r="D628" s="42" t="s">
        <v>1331</v>
      </c>
      <c r="E628" s="34">
        <v>37.798000000000002</v>
      </c>
      <c r="F628" s="40" t="s">
        <v>1332</v>
      </c>
      <c r="G628" s="41"/>
      <c r="H628" s="39">
        <v>37.798000000000002</v>
      </c>
      <c r="I628" s="26" t="s">
        <v>149</v>
      </c>
      <c r="M628" s="58"/>
    </row>
    <row r="629" spans="1:13" x14ac:dyDescent="0.25">
      <c r="A629" s="26" t="str">
        <f t="shared" si="13"/>
        <v>Poste Soporte 100x100x5x2000</v>
      </c>
      <c r="B629" s="4" t="s">
        <v>1333</v>
      </c>
      <c r="C629" s="34">
        <v>35223</v>
      </c>
      <c r="D629" s="42" t="s">
        <v>1334</v>
      </c>
      <c r="E629" s="34">
        <v>45.357999999999997</v>
      </c>
      <c r="F629" s="40" t="s">
        <v>1332</v>
      </c>
      <c r="G629" s="41"/>
      <c r="H629" s="39">
        <v>45.357999999999997</v>
      </c>
      <c r="I629" s="26" t="s">
        <v>149</v>
      </c>
      <c r="M629" s="58"/>
    </row>
    <row r="630" spans="1:13" x14ac:dyDescent="0.25">
      <c r="A630" s="26" t="str">
        <f t="shared" si="13"/>
        <v>Prensa Paralella p/Tir perf. redonda</v>
      </c>
      <c r="B630" s="4" t="s">
        <v>1335</v>
      </c>
      <c r="C630" s="34">
        <v>34118</v>
      </c>
      <c r="D630" s="42" t="s">
        <v>1336</v>
      </c>
      <c r="E630" s="34">
        <v>0.47499999999999998</v>
      </c>
      <c r="F630" s="40"/>
      <c r="G630" s="41"/>
      <c r="H630" s="39">
        <v>0.47499999999999998</v>
      </c>
      <c r="I630" s="26" t="s">
        <v>149</v>
      </c>
      <c r="M630" s="58"/>
    </row>
    <row r="631" spans="1:13" x14ac:dyDescent="0.25">
      <c r="A631" s="26" t="str">
        <f t="shared" ref="A631:A694" si="14">B631&amp;K631</f>
        <v>Prensa Paralella p/Tir perf. Cuadrada</v>
      </c>
      <c r="B631" s="4" t="s">
        <v>1337</v>
      </c>
      <c r="C631" s="34">
        <v>34119</v>
      </c>
      <c r="D631" s="42" t="s">
        <v>1338</v>
      </c>
      <c r="E631" s="34">
        <v>0.46500000000000002</v>
      </c>
      <c r="F631" s="40"/>
      <c r="G631" s="41"/>
      <c r="H631" s="39">
        <v>0.46500000000000002</v>
      </c>
      <c r="I631" s="26" t="s">
        <v>149</v>
      </c>
      <c r="M631" s="58"/>
    </row>
    <row r="632" spans="1:13" x14ac:dyDescent="0.25">
      <c r="A632" s="26" t="str">
        <f t="shared" si="14"/>
        <v>Regleta p/Suspensión de Cable</v>
      </c>
      <c r="B632" s="4" t="s">
        <v>1339</v>
      </c>
      <c r="C632" s="34">
        <v>34681</v>
      </c>
      <c r="D632" s="35" t="s">
        <v>1340</v>
      </c>
      <c r="E632" s="36">
        <v>1.1599999999999999</v>
      </c>
      <c r="F632" s="40"/>
      <c r="G632" s="41"/>
      <c r="H632" s="39">
        <v>1.1599999999999999</v>
      </c>
      <c r="I632" s="26" t="s">
        <v>149</v>
      </c>
      <c r="M632" s="58"/>
    </row>
    <row r="633" spans="1:13" x14ac:dyDescent="0.25">
      <c r="A633" s="26" t="str">
        <f t="shared" si="14"/>
        <v>Rejilla Lateral 980x130</v>
      </c>
      <c r="B633" s="4" t="s">
        <v>1341</v>
      </c>
      <c r="C633" s="34">
        <v>34597</v>
      </c>
      <c r="D633" s="35" t="s">
        <v>1342</v>
      </c>
      <c r="E633" s="36">
        <v>10.5</v>
      </c>
      <c r="F633" s="40"/>
      <c r="G633" s="41"/>
      <c r="H633" s="39">
        <v>10.5</v>
      </c>
      <c r="I633" s="26" t="s">
        <v>149</v>
      </c>
      <c r="M633" s="58"/>
    </row>
    <row r="634" spans="1:13" x14ac:dyDescent="0.25">
      <c r="A634" s="26" t="str">
        <f t="shared" si="14"/>
        <v>Rejilla Rectangular Empotrada 500x1000</v>
      </c>
      <c r="B634" s="4" t="s">
        <v>1343</v>
      </c>
      <c r="C634" s="34">
        <v>34643</v>
      </c>
      <c r="D634" s="35" t="s">
        <v>1344</v>
      </c>
      <c r="E634" s="36">
        <v>62</v>
      </c>
      <c r="F634" s="40"/>
      <c r="G634" s="41"/>
      <c r="H634" s="39">
        <v>62</v>
      </c>
      <c r="I634" s="26" t="s">
        <v>149</v>
      </c>
      <c r="M634" s="58"/>
    </row>
    <row r="635" spans="1:13" x14ac:dyDescent="0.25">
      <c r="A635" s="26" t="str">
        <f t="shared" si="14"/>
        <v>Rejilla Rectangular Empotrada 700x800</v>
      </c>
      <c r="B635" s="4" t="s">
        <v>1345</v>
      </c>
      <c r="C635" s="34">
        <v>34641</v>
      </c>
      <c r="D635" s="35" t="s">
        <v>1346</v>
      </c>
      <c r="E635" s="36">
        <v>70.400000000000006</v>
      </c>
      <c r="F635" s="40"/>
      <c r="G635" s="41"/>
      <c r="H635" s="39">
        <v>70.400000000000006</v>
      </c>
      <c r="I635" s="26" t="s">
        <v>149</v>
      </c>
      <c r="M635" s="58"/>
    </row>
    <row r="636" spans="1:13" x14ac:dyDescent="0.25">
      <c r="A636" s="26" t="str">
        <f t="shared" si="14"/>
        <v>Rejilla Rectangular Empotrada 740x990</v>
      </c>
      <c r="B636" s="4" t="s">
        <v>1347</v>
      </c>
      <c r="C636" s="34">
        <v>34642</v>
      </c>
      <c r="D636" s="35" t="s">
        <v>1348</v>
      </c>
      <c r="E636" s="36">
        <v>86.6</v>
      </c>
      <c r="F636" s="40"/>
      <c r="G636" s="41"/>
      <c r="H636" s="39">
        <v>86.6</v>
      </c>
      <c r="I636" s="26" t="s">
        <v>149</v>
      </c>
      <c r="M636" s="58"/>
    </row>
    <row r="637" spans="1:13" x14ac:dyDescent="0.25">
      <c r="A637" s="26" t="str">
        <f t="shared" si="14"/>
        <v>Rejilla Rectangular Empotrada 980x410</v>
      </c>
      <c r="B637" s="4" t="s">
        <v>1349</v>
      </c>
      <c r="C637" s="34">
        <v>34640</v>
      </c>
      <c r="D637" s="35" t="s">
        <v>1350</v>
      </c>
      <c r="E637" s="36">
        <v>51.4</v>
      </c>
      <c r="F637" s="40"/>
      <c r="G637" s="41"/>
      <c r="H637" s="39">
        <v>51.4</v>
      </c>
      <c r="I637" s="26" t="s">
        <v>149</v>
      </c>
      <c r="M637" s="58"/>
    </row>
    <row r="638" spans="1:13" x14ac:dyDescent="0.25">
      <c r="A638" s="26" t="str">
        <f t="shared" si="14"/>
        <v>Remache Cte 3/4x70</v>
      </c>
      <c r="B638" s="4" t="s">
        <v>1351</v>
      </c>
      <c r="C638" s="34">
        <v>34946</v>
      </c>
      <c r="D638" s="42" t="s">
        <v>1352</v>
      </c>
      <c r="E638" s="34">
        <v>0.22700000000000001</v>
      </c>
      <c r="F638" s="40"/>
      <c r="G638" s="41"/>
      <c r="H638" s="39">
        <v>0.22700000000000001</v>
      </c>
      <c r="I638" s="26" t="s">
        <v>152</v>
      </c>
      <c r="M638" s="58"/>
    </row>
    <row r="639" spans="1:13" x14ac:dyDescent="0.25">
      <c r="A639" s="26" t="str">
        <f t="shared" si="14"/>
        <v>Separador p/Espiga Punta Poste</v>
      </c>
      <c r="B639" s="4" t="s">
        <v>1353</v>
      </c>
      <c r="C639" s="34">
        <v>35748</v>
      </c>
      <c r="D639" s="42" t="s">
        <v>1354</v>
      </c>
      <c r="E639" s="34">
        <v>0.57499999999999996</v>
      </c>
      <c r="F639" s="40"/>
      <c r="G639" s="41"/>
      <c r="H639" s="39">
        <v>0.57499999999999996</v>
      </c>
      <c r="I639" s="26" t="s">
        <v>155</v>
      </c>
      <c r="M639" s="58"/>
    </row>
    <row r="640" spans="1:13" x14ac:dyDescent="0.25">
      <c r="A640" s="26" t="str">
        <f t="shared" si="14"/>
        <v>Separador P/Elemento Montaje Desc.Fus.</v>
      </c>
      <c r="B640" s="4" t="s">
        <v>1355</v>
      </c>
      <c r="C640" s="34">
        <v>34355</v>
      </c>
      <c r="D640" s="35" t="s">
        <v>1356</v>
      </c>
      <c r="E640" s="36">
        <v>1.28</v>
      </c>
      <c r="F640" s="40"/>
      <c r="G640" s="41"/>
      <c r="H640" s="39">
        <v>1.28</v>
      </c>
      <c r="I640" s="26" t="s">
        <v>149</v>
      </c>
      <c r="M640" s="58"/>
    </row>
    <row r="641" spans="1:13" x14ac:dyDescent="0.25">
      <c r="A641" s="26" t="str">
        <f t="shared" si="14"/>
        <v>Separador p/Soporte de 5 vías</v>
      </c>
      <c r="B641" s="4" t="s">
        <v>1357</v>
      </c>
      <c r="C641" s="34">
        <v>34596</v>
      </c>
      <c r="D641" s="35" t="s">
        <v>1358</v>
      </c>
      <c r="E641" s="36">
        <v>6</v>
      </c>
      <c r="F641" s="40"/>
      <c r="G641" s="41"/>
      <c r="H641" s="39">
        <v>6</v>
      </c>
      <c r="I641" s="26" t="s">
        <v>149</v>
      </c>
      <c r="M641" s="58"/>
    </row>
    <row r="642" spans="1:13" x14ac:dyDescent="0.25">
      <c r="A642" s="26" t="str">
        <f t="shared" si="14"/>
        <v>Soporte Caja Empalme</v>
      </c>
      <c r="B642" s="4" t="s">
        <v>1359</v>
      </c>
      <c r="C642" s="34">
        <v>35236</v>
      </c>
      <c r="D642" s="35" t="s">
        <v>1360</v>
      </c>
      <c r="E642" s="36">
        <v>1.02</v>
      </c>
      <c r="F642" s="40"/>
      <c r="G642" s="41"/>
      <c r="H642" s="39">
        <v>1.02</v>
      </c>
      <c r="I642" s="26" t="s">
        <v>149</v>
      </c>
      <c r="M642" s="58"/>
    </row>
    <row r="643" spans="1:13" x14ac:dyDescent="0.25">
      <c r="A643" s="26" t="str">
        <f t="shared" si="14"/>
        <v>Soporte 1 Via p/Alumbrado Público</v>
      </c>
      <c r="B643" s="4" t="s">
        <v>1361</v>
      </c>
      <c r="C643" s="34">
        <v>34944</v>
      </c>
      <c r="D643" s="42" t="s">
        <v>1362</v>
      </c>
      <c r="E643" s="34">
        <v>0.128</v>
      </c>
      <c r="F643" s="40"/>
      <c r="G643" s="41"/>
      <c r="H643" s="39">
        <v>0.128</v>
      </c>
      <c r="I643" s="26" t="s">
        <v>626</v>
      </c>
      <c r="M643" s="58"/>
    </row>
    <row r="644" spans="1:13" x14ac:dyDescent="0.25">
      <c r="A644" s="26" t="str">
        <f t="shared" si="14"/>
        <v>Soporte 2 Vías p/Empalme</v>
      </c>
      <c r="B644" s="4" t="s">
        <v>1363</v>
      </c>
      <c r="C644" s="34">
        <v>35667</v>
      </c>
      <c r="D644" s="42" t="s">
        <v>1364</v>
      </c>
      <c r="E644" s="34">
        <v>0.27</v>
      </c>
      <c r="F644" s="40"/>
      <c r="G644" s="41"/>
      <c r="H644" s="39">
        <v>0.27</v>
      </c>
      <c r="I644" s="26" t="s">
        <v>626</v>
      </c>
      <c r="M644" s="58"/>
    </row>
    <row r="645" spans="1:13" x14ac:dyDescent="0.25">
      <c r="A645" s="26" t="str">
        <f t="shared" si="14"/>
        <v>Soporte 2 Vías p/Empalme s/Pasador</v>
      </c>
      <c r="B645" s="4" t="s">
        <v>1365</v>
      </c>
      <c r="C645" s="34">
        <v>37602</v>
      </c>
      <c r="D645" s="42" t="s">
        <v>1366</v>
      </c>
      <c r="E645" s="34">
        <v>0.28299999999999997</v>
      </c>
      <c r="F645" s="40"/>
      <c r="G645" s="41"/>
      <c r="H645" s="39">
        <v>0.28299999999999997</v>
      </c>
      <c r="I645" s="26" t="s">
        <v>626</v>
      </c>
      <c r="M645" s="58"/>
    </row>
    <row r="646" spans="1:13" x14ac:dyDescent="0.25">
      <c r="A646" s="26" t="str">
        <f t="shared" si="14"/>
        <v>Soporte Cruceta Plana 190x6x200</v>
      </c>
      <c r="B646" s="4" t="s">
        <v>1367</v>
      </c>
      <c r="C646" s="34">
        <v>34650</v>
      </c>
      <c r="D646" s="35" t="s">
        <v>1368</v>
      </c>
      <c r="E646" s="36">
        <v>2.1</v>
      </c>
      <c r="F646" s="40"/>
      <c r="G646" s="41"/>
      <c r="H646" s="39">
        <v>2.1</v>
      </c>
      <c r="I646" s="26" t="s">
        <v>626</v>
      </c>
      <c r="M646" s="58"/>
    </row>
    <row r="647" spans="1:13" x14ac:dyDescent="0.25">
      <c r="A647" s="26" t="str">
        <f t="shared" si="14"/>
        <v>Soporte de Anclaje Pilar Tipo A 40x40x5x900</v>
      </c>
      <c r="B647" s="4" t="s">
        <v>1369</v>
      </c>
      <c r="C647" s="34">
        <v>34796</v>
      </c>
      <c r="D647" s="35" t="s">
        <v>1370</v>
      </c>
      <c r="E647" s="36">
        <v>2.66</v>
      </c>
      <c r="F647" s="40"/>
      <c r="G647" s="41"/>
      <c r="H647" s="39">
        <v>2.66</v>
      </c>
      <c r="I647" s="26" t="s">
        <v>626</v>
      </c>
      <c r="M647" s="58"/>
    </row>
    <row r="648" spans="1:13" x14ac:dyDescent="0.25">
      <c r="A648" s="26" t="str">
        <f t="shared" si="14"/>
        <v>Soporte de Anclaje Pilar Tipo E 40x40x5x900</v>
      </c>
      <c r="B648" s="4" t="s">
        <v>1371</v>
      </c>
      <c r="C648" s="34">
        <v>34799</v>
      </c>
      <c r="D648" s="35" t="s">
        <v>1372</v>
      </c>
      <c r="E648" s="36">
        <v>2.66</v>
      </c>
      <c r="F648" s="40"/>
      <c r="G648" s="41"/>
      <c r="H648" s="39">
        <v>2.66</v>
      </c>
      <c r="I648" s="26" t="s">
        <v>626</v>
      </c>
      <c r="M648" s="58"/>
    </row>
    <row r="649" spans="1:13" x14ac:dyDescent="0.25">
      <c r="A649" s="26" t="str">
        <f t="shared" si="14"/>
        <v>Soporte de Ductos Tipo A 40x40x5x700</v>
      </c>
      <c r="B649" s="4" t="s">
        <v>1373</v>
      </c>
      <c r="C649" s="34">
        <v>34795</v>
      </c>
      <c r="D649" s="35" t="s">
        <v>1374</v>
      </c>
      <c r="E649" s="36">
        <v>2.0699999999999998</v>
      </c>
      <c r="F649" s="40"/>
      <c r="G649" s="41"/>
      <c r="H649" s="39">
        <v>2.0699999999999998</v>
      </c>
      <c r="I649" s="26" t="s">
        <v>626</v>
      </c>
      <c r="M649" s="58"/>
    </row>
    <row r="650" spans="1:13" x14ac:dyDescent="0.25">
      <c r="A650" s="26" t="str">
        <f t="shared" si="14"/>
        <v>Soporte de Ductos Tipo E 40x40x5x700</v>
      </c>
      <c r="B650" s="4" t="s">
        <v>1375</v>
      </c>
      <c r="C650" s="34">
        <v>34798</v>
      </c>
      <c r="D650" s="35" t="s">
        <v>1376</v>
      </c>
      <c r="E650" s="36">
        <v>2.0699999999999998</v>
      </c>
      <c r="F650" s="40"/>
      <c r="G650" s="41"/>
      <c r="H650" s="39">
        <v>2.0699999999999998</v>
      </c>
      <c r="I650" s="26" t="s">
        <v>626</v>
      </c>
      <c r="M650" s="58"/>
    </row>
    <row r="651" spans="1:13" x14ac:dyDescent="0.25">
      <c r="A651" s="26" t="str">
        <f t="shared" si="14"/>
        <v>Soporte de Escalerilla Tipo A 40x40x5x700</v>
      </c>
      <c r="B651" s="4" t="s">
        <v>1377</v>
      </c>
      <c r="C651" s="34">
        <v>34794</v>
      </c>
      <c r="D651" s="35" t="s">
        <v>1378</v>
      </c>
      <c r="E651" s="36">
        <v>2.0699999999999998</v>
      </c>
      <c r="F651" s="40"/>
      <c r="G651" s="41"/>
      <c r="H651" s="39">
        <v>2.0699999999999998</v>
      </c>
      <c r="I651" s="26" t="s">
        <v>626</v>
      </c>
      <c r="M651" s="58"/>
    </row>
    <row r="652" spans="1:13" x14ac:dyDescent="0.25">
      <c r="A652" s="26" t="str">
        <f t="shared" si="14"/>
        <v>Soporte de Escalerilla Tipo E 40x40x5x700</v>
      </c>
      <c r="B652" s="4" t="s">
        <v>1379</v>
      </c>
      <c r="C652" s="34">
        <v>34797</v>
      </c>
      <c r="D652" s="35" t="s">
        <v>1380</v>
      </c>
      <c r="E652" s="36">
        <v>2.0699999999999998</v>
      </c>
      <c r="F652" s="40"/>
      <c r="G652" s="41"/>
      <c r="H652" s="39">
        <v>2.0699999999999998</v>
      </c>
      <c r="I652" s="26" t="s">
        <v>626</v>
      </c>
      <c r="M652" s="58"/>
    </row>
    <row r="653" spans="1:13" x14ac:dyDescent="0.25">
      <c r="A653" s="26" t="str">
        <f t="shared" si="14"/>
        <v>Soporte Met. Montaje Seccionador</v>
      </c>
      <c r="B653" s="4" t="s">
        <v>1381</v>
      </c>
      <c r="C653" s="34">
        <v>36125</v>
      </c>
      <c r="D653" s="35" t="s">
        <v>1382</v>
      </c>
      <c r="E653" s="36">
        <v>2.8</v>
      </c>
      <c r="F653" s="40"/>
      <c r="G653" s="41"/>
      <c r="H653" s="39">
        <v>2.8</v>
      </c>
      <c r="I653" s="26" t="s">
        <v>626</v>
      </c>
      <c r="M653" s="58"/>
    </row>
    <row r="654" spans="1:13" x14ac:dyDescent="0.25">
      <c r="A654" s="26" t="str">
        <f t="shared" si="14"/>
        <v>Soporte L 50x50x5x50</v>
      </c>
      <c r="B654" s="4" t="s">
        <v>1383</v>
      </c>
      <c r="C654" s="34">
        <v>34905</v>
      </c>
      <c r="D654" s="35" t="s">
        <v>1384</v>
      </c>
      <c r="E654" s="36">
        <v>0.188</v>
      </c>
      <c r="F654" s="40"/>
      <c r="G654" s="41"/>
      <c r="H654" s="39">
        <v>0.188</v>
      </c>
      <c r="I654" s="26" t="s">
        <v>626</v>
      </c>
      <c r="M654" s="58"/>
    </row>
    <row r="655" spans="1:13" x14ac:dyDescent="0.25">
      <c r="A655" s="26" t="str">
        <f t="shared" si="14"/>
        <v>Soporte p/Abrazadera 50x8x234 ( T )</v>
      </c>
      <c r="B655" s="4" t="s">
        <v>1385</v>
      </c>
      <c r="C655" s="34">
        <v>34837</v>
      </c>
      <c r="D655" s="35" t="s">
        <v>1386</v>
      </c>
      <c r="E655" s="36">
        <v>1.032</v>
      </c>
      <c r="F655" s="40"/>
      <c r="G655" s="41"/>
      <c r="H655" s="39">
        <v>1.032</v>
      </c>
      <c r="I655" s="26" t="s">
        <v>626</v>
      </c>
      <c r="M655" s="58"/>
    </row>
    <row r="656" spans="1:13" x14ac:dyDescent="0.25">
      <c r="A656" s="26" t="str">
        <f t="shared" si="14"/>
        <v xml:space="preserve">Soporte p/Empalme Mono </v>
      </c>
      <c r="B656" s="4" t="s">
        <v>1387</v>
      </c>
      <c r="C656" s="34">
        <v>35678</v>
      </c>
      <c r="D656" s="35" t="s">
        <v>1388</v>
      </c>
      <c r="E656" s="36">
        <v>0.48</v>
      </c>
      <c r="F656" s="40"/>
      <c r="G656" s="41"/>
      <c r="H656" s="39">
        <v>0.48</v>
      </c>
      <c r="I656" s="26" t="s">
        <v>626</v>
      </c>
      <c r="M656" s="58"/>
    </row>
    <row r="657" spans="1:13" x14ac:dyDescent="0.25">
      <c r="A657" s="26" t="str">
        <f t="shared" si="14"/>
        <v>Soporte p/Red BT/Empalme 65x65x5x50</v>
      </c>
      <c r="B657" s="4" t="s">
        <v>1389</v>
      </c>
      <c r="C657" s="34">
        <v>34931</v>
      </c>
      <c r="D657" s="42" t="s">
        <v>1390</v>
      </c>
      <c r="E657" s="34">
        <v>0.25</v>
      </c>
      <c r="F657" s="40"/>
      <c r="G657" s="41"/>
      <c r="H657" s="39">
        <v>0.25</v>
      </c>
      <c r="I657" s="26" t="s">
        <v>626</v>
      </c>
      <c r="M657" s="58"/>
    </row>
    <row r="658" spans="1:13" x14ac:dyDescent="0.25">
      <c r="A658" s="26" t="str">
        <f t="shared" si="14"/>
        <v>Soporte p/Montaje secc fusible 630A  500V</v>
      </c>
      <c r="B658" s="4" t="s">
        <v>1391</v>
      </c>
      <c r="C658" s="34">
        <v>36121</v>
      </c>
      <c r="D658" s="42" t="s">
        <v>1392</v>
      </c>
      <c r="E658" s="34">
        <v>2.8</v>
      </c>
      <c r="F658" s="40"/>
      <c r="G658" s="41"/>
      <c r="H658" s="39">
        <v>2.8</v>
      </c>
      <c r="I658" s="26" t="s">
        <v>626</v>
      </c>
      <c r="M658" s="58"/>
    </row>
    <row r="659" spans="1:13" x14ac:dyDescent="0.25">
      <c r="A659" s="26" t="str">
        <f t="shared" si="14"/>
        <v>Soporte de Paso 8 Aletas</v>
      </c>
      <c r="B659" s="4" t="s">
        <v>1393</v>
      </c>
      <c r="C659" s="34">
        <v>35028</v>
      </c>
      <c r="D659" s="42" t="s">
        <v>1394</v>
      </c>
      <c r="E659" s="34">
        <v>3.02</v>
      </c>
      <c r="F659" s="40"/>
      <c r="G659" s="41"/>
      <c r="H659" s="39">
        <v>3.02</v>
      </c>
      <c r="I659" s="26" t="s">
        <v>1395</v>
      </c>
      <c r="M659" s="58"/>
    </row>
    <row r="660" spans="1:13" x14ac:dyDescent="0.25">
      <c r="A660" s="26" t="str">
        <f t="shared" si="14"/>
        <v>Soporte de Paso en un Plano 735x500x5x70mm</v>
      </c>
      <c r="B660" s="4" t="s">
        <v>1396</v>
      </c>
      <c r="C660" s="34">
        <v>36000</v>
      </c>
      <c r="D660" s="35" t="s">
        <v>1397</v>
      </c>
      <c r="E660" s="36">
        <v>10.51</v>
      </c>
      <c r="F660" s="40"/>
      <c r="G660" s="41"/>
      <c r="H660" s="39">
        <v>10.51</v>
      </c>
      <c r="I660" s="26" t="s">
        <v>1395</v>
      </c>
      <c r="M660" s="58"/>
    </row>
    <row r="661" spans="1:13" x14ac:dyDescent="0.25">
      <c r="A661" s="26" t="str">
        <f t="shared" si="14"/>
        <v>Soporte de Paso en un Plano 940x590x700mm</v>
      </c>
      <c r="B661" s="4" t="s">
        <v>1398</v>
      </c>
      <c r="C661" s="34">
        <v>34947</v>
      </c>
      <c r="D661" s="42" t="s">
        <v>1399</v>
      </c>
      <c r="E661" s="34">
        <v>17.7</v>
      </c>
      <c r="F661" s="40"/>
      <c r="G661" s="41"/>
      <c r="H661" s="39">
        <v>17.7</v>
      </c>
      <c r="I661" s="26" t="s">
        <v>1395</v>
      </c>
      <c r="M661" s="58"/>
    </row>
    <row r="662" spans="1:13" x14ac:dyDescent="0.25">
      <c r="A662" s="26" t="str">
        <f t="shared" si="14"/>
        <v>Soporte Paso 5/8x321</v>
      </c>
      <c r="B662" s="4" t="s">
        <v>1400</v>
      </c>
      <c r="C662" s="34">
        <v>35605</v>
      </c>
      <c r="D662" s="42" t="s">
        <v>1401</v>
      </c>
      <c r="E662" s="34">
        <v>0.53446000000000005</v>
      </c>
      <c r="F662" s="40"/>
      <c r="G662" s="41"/>
      <c r="H662" s="39">
        <v>0.53446000000000005</v>
      </c>
      <c r="I662" s="26" t="s">
        <v>1402</v>
      </c>
      <c r="M662" s="58"/>
    </row>
    <row r="663" spans="1:13" x14ac:dyDescent="0.25">
      <c r="A663" s="26" t="str">
        <f t="shared" si="14"/>
        <v>Soporte Paso 5/8x378</v>
      </c>
      <c r="B663" s="4" t="s">
        <v>1403</v>
      </c>
      <c r="C663" s="34">
        <v>34613</v>
      </c>
      <c r="D663" s="35" t="s">
        <v>1404</v>
      </c>
      <c r="E663" s="36">
        <v>0.64700000000000002</v>
      </c>
      <c r="F663" s="40"/>
      <c r="G663" s="41"/>
      <c r="H663" s="39">
        <v>0.64700000000000002</v>
      </c>
      <c r="I663" s="26" t="s">
        <v>1402</v>
      </c>
      <c r="M663" s="58"/>
    </row>
    <row r="664" spans="1:13" x14ac:dyDescent="0.25">
      <c r="A664" s="26" t="str">
        <f t="shared" si="14"/>
        <v>Soporte Paso 5/8x416</v>
      </c>
      <c r="B664" s="4" t="s">
        <v>1405</v>
      </c>
      <c r="C664" s="34">
        <v>34793</v>
      </c>
      <c r="D664" s="35" t="s">
        <v>1406</v>
      </c>
      <c r="E664" s="36">
        <v>0.68400000000000005</v>
      </c>
      <c r="F664" s="40"/>
      <c r="G664" s="41"/>
      <c r="H664" s="39">
        <v>0.68400000000000005</v>
      </c>
      <c r="I664" s="26" t="s">
        <v>1402</v>
      </c>
      <c r="M664" s="58"/>
    </row>
    <row r="665" spans="1:13" x14ac:dyDescent="0.25">
      <c r="A665" s="26" t="str">
        <f t="shared" si="14"/>
        <v>Soporte de Paso c/Angulo 605x490x395mm</v>
      </c>
      <c r="B665" s="4" t="s">
        <v>1407</v>
      </c>
      <c r="C665" s="34">
        <v>36355</v>
      </c>
      <c r="D665" s="35" t="s">
        <v>1408</v>
      </c>
      <c r="E665" s="36">
        <v>14</v>
      </c>
      <c r="F665" s="40"/>
      <c r="G665" s="41"/>
      <c r="H665" s="39">
        <v>14</v>
      </c>
      <c r="I665" s="26" t="s">
        <v>1395</v>
      </c>
      <c r="M665" s="58"/>
    </row>
    <row r="666" spans="1:13" x14ac:dyDescent="0.25">
      <c r="A666" s="26" t="str">
        <f t="shared" si="14"/>
        <v>Soporte Paso 1/2x320</v>
      </c>
      <c r="B666" s="4" t="s">
        <v>1409</v>
      </c>
      <c r="C666" s="34">
        <v>35120</v>
      </c>
      <c r="D666" s="35" t="s">
        <v>1410</v>
      </c>
      <c r="E666" s="36">
        <v>0.36</v>
      </c>
      <c r="F666" s="40"/>
      <c r="G666" s="41"/>
      <c r="H666" s="39">
        <v>0.36</v>
      </c>
      <c r="I666" s="26" t="s">
        <v>1402</v>
      </c>
      <c r="M666" s="58"/>
    </row>
    <row r="667" spans="1:13" x14ac:dyDescent="0.25">
      <c r="A667" s="26" t="str">
        <f t="shared" si="14"/>
        <v>Soporte Paso 1/2x320x75H</v>
      </c>
      <c r="B667" s="4" t="s">
        <v>1411</v>
      </c>
      <c r="C667" s="34">
        <v>37601</v>
      </c>
      <c r="D667" s="35" t="s">
        <v>1412</v>
      </c>
      <c r="E667" s="36">
        <v>0.33900000000000002</v>
      </c>
      <c r="F667" s="40"/>
      <c r="G667" s="41"/>
      <c r="H667" s="39">
        <v>0.33900000000000002</v>
      </c>
      <c r="I667" s="26" t="s">
        <v>1402</v>
      </c>
      <c r="M667" s="58"/>
    </row>
    <row r="668" spans="1:13" x14ac:dyDescent="0.25">
      <c r="A668" s="26" t="str">
        <f t="shared" si="14"/>
        <v>Soporte Paso 1/2x378</v>
      </c>
      <c r="B668" s="4" t="s">
        <v>1413</v>
      </c>
      <c r="C668" s="34">
        <v>35243</v>
      </c>
      <c r="D668" s="35" t="s">
        <v>1414</v>
      </c>
      <c r="E668" s="36">
        <v>0.4</v>
      </c>
      <c r="F668" s="40"/>
      <c r="G668" s="41"/>
      <c r="H668" s="39">
        <v>0.4</v>
      </c>
      <c r="I668" s="26" t="s">
        <v>1402</v>
      </c>
      <c r="M668" s="58"/>
    </row>
    <row r="669" spans="1:13" x14ac:dyDescent="0.25">
      <c r="A669" s="26" t="str">
        <f t="shared" si="14"/>
        <v>Soporte Paso 1/2x378x75H</v>
      </c>
      <c r="B669" s="4" t="s">
        <v>1415</v>
      </c>
      <c r="C669" s="34">
        <v>38231</v>
      </c>
      <c r="D669" s="35" t="s">
        <v>1416</v>
      </c>
      <c r="E669" s="36">
        <v>0.40100000000000002</v>
      </c>
      <c r="F669" s="40"/>
      <c r="G669" s="41"/>
      <c r="H669" s="39">
        <v>0.40100000000000002</v>
      </c>
      <c r="I669" s="26" t="s">
        <v>1402</v>
      </c>
      <c r="M669" s="58"/>
    </row>
    <row r="670" spans="1:13" x14ac:dyDescent="0.25">
      <c r="A670" s="26" t="str">
        <f t="shared" si="14"/>
        <v>Soporte Paso 1/2x415 BSW</v>
      </c>
      <c r="B670" s="4" t="s">
        <v>1417</v>
      </c>
      <c r="C670" s="34">
        <v>38230</v>
      </c>
      <c r="D670" s="35" t="s">
        <v>1418</v>
      </c>
      <c r="E670" s="36">
        <v>0.44</v>
      </c>
      <c r="F670" s="40"/>
      <c r="G670" s="41"/>
      <c r="H670" s="39">
        <v>0.44</v>
      </c>
      <c r="I670" s="26" t="s">
        <v>1402</v>
      </c>
      <c r="M670" s="58"/>
    </row>
    <row r="671" spans="1:13" x14ac:dyDescent="0.25">
      <c r="A671" s="26" t="str">
        <f t="shared" si="14"/>
        <v>Soporte Paso 1/2x415</v>
      </c>
      <c r="B671" s="4" t="s">
        <v>1419</v>
      </c>
      <c r="C671" s="34">
        <v>36120</v>
      </c>
      <c r="D671" s="35" t="s">
        <v>1420</v>
      </c>
      <c r="E671" s="36">
        <v>0.44</v>
      </c>
      <c r="F671" s="40"/>
      <c r="G671" s="41"/>
      <c r="H671" s="39">
        <v>0.44</v>
      </c>
      <c r="I671" s="26" t="s">
        <v>1402</v>
      </c>
      <c r="M671" s="58"/>
    </row>
    <row r="672" spans="1:13" x14ac:dyDescent="0.25">
      <c r="A672" s="26" t="str">
        <f t="shared" si="14"/>
        <v>Soporte Paso 1/2x415 c/Perf Hilo</v>
      </c>
      <c r="B672" s="4" t="s">
        <v>1421</v>
      </c>
      <c r="C672" s="34">
        <v>37637</v>
      </c>
      <c r="D672" s="35" t="s">
        <v>1422</v>
      </c>
      <c r="E672" s="36">
        <v>0.38</v>
      </c>
      <c r="F672" s="40"/>
      <c r="G672" s="41"/>
      <c r="H672" s="39">
        <v>0.38</v>
      </c>
      <c r="I672" s="26" t="s">
        <v>1402</v>
      </c>
      <c r="M672" s="58"/>
    </row>
    <row r="673" spans="1:13" x14ac:dyDescent="0.25">
      <c r="A673" s="26" t="str">
        <f t="shared" si="14"/>
        <v>Soporte Paso Soldado 1/2x317</v>
      </c>
      <c r="B673" s="4" t="s">
        <v>1423</v>
      </c>
      <c r="C673" s="34">
        <v>34924</v>
      </c>
      <c r="D673" s="35" t="s">
        <v>1424</v>
      </c>
      <c r="E673" s="36">
        <v>0.38</v>
      </c>
      <c r="F673" s="40"/>
      <c r="G673" s="41"/>
      <c r="H673" s="39">
        <v>0.38</v>
      </c>
      <c r="I673" s="26" t="s">
        <v>1395</v>
      </c>
      <c r="M673" s="58"/>
    </row>
    <row r="674" spans="1:13" x14ac:dyDescent="0.25">
      <c r="A674" s="26" t="str">
        <f t="shared" si="14"/>
        <v>Soporte Paso Soldado 1/2x374</v>
      </c>
      <c r="B674" s="4" t="s">
        <v>1425</v>
      </c>
      <c r="C674" s="34">
        <v>34960</v>
      </c>
      <c r="D674" s="35" t="s">
        <v>1426</v>
      </c>
      <c r="E674" s="36">
        <v>0.435</v>
      </c>
      <c r="F674" s="40"/>
      <c r="G674" s="41"/>
      <c r="H674" s="39">
        <v>0.435</v>
      </c>
      <c r="I674" s="26" t="s">
        <v>1395</v>
      </c>
      <c r="M674" s="58"/>
    </row>
    <row r="675" spans="1:13" x14ac:dyDescent="0.25">
      <c r="A675" s="26" t="str">
        <f t="shared" si="14"/>
        <v>Soporte Paso Soldado 1/2x437</v>
      </c>
      <c r="B675" s="4" t="s">
        <v>1427</v>
      </c>
      <c r="C675" s="34">
        <v>34961</v>
      </c>
      <c r="D675" s="42" t="s">
        <v>1428</v>
      </c>
      <c r="E675" s="34">
        <v>0.497</v>
      </c>
      <c r="F675" s="40"/>
      <c r="G675" s="41"/>
      <c r="H675" s="39">
        <v>0.497</v>
      </c>
      <c r="I675" s="26" t="s">
        <v>1395</v>
      </c>
      <c r="M675" s="58"/>
    </row>
    <row r="676" spans="1:13" x14ac:dyDescent="0.25">
      <c r="A676" s="26" t="str">
        <f t="shared" si="14"/>
        <v>Soporte Racks 6 aletas</v>
      </c>
      <c r="B676" s="4" t="s">
        <v>1429</v>
      </c>
      <c r="C676" s="34">
        <v>34723</v>
      </c>
      <c r="D676" s="35" t="s">
        <v>1430</v>
      </c>
      <c r="E676" s="36">
        <v>2.2000000000000002</v>
      </c>
      <c r="F676" s="40"/>
      <c r="G676" s="41"/>
      <c r="H676" s="39">
        <v>2.2000000000000002</v>
      </c>
      <c r="I676" s="26" t="s">
        <v>626</v>
      </c>
      <c r="M676" s="58"/>
    </row>
    <row r="677" spans="1:13" x14ac:dyDescent="0.25">
      <c r="A677" s="26" t="str">
        <f t="shared" si="14"/>
        <v>Soporte Racks 8 aletas</v>
      </c>
      <c r="B677" s="4" t="s">
        <v>1431</v>
      </c>
      <c r="C677" s="34">
        <v>36555</v>
      </c>
      <c r="D677" s="35" t="s">
        <v>1432</v>
      </c>
      <c r="E677" s="36">
        <v>2.69</v>
      </c>
      <c r="F677" s="40"/>
      <c r="G677" s="41"/>
      <c r="H677" s="39">
        <v>2.69</v>
      </c>
      <c r="I677" s="26" t="s">
        <v>626</v>
      </c>
      <c r="M677" s="58"/>
    </row>
    <row r="678" spans="1:13" x14ac:dyDescent="0.25">
      <c r="A678" s="26" t="str">
        <f t="shared" si="14"/>
        <v>Soporte Racks 10 aletas</v>
      </c>
      <c r="B678" s="4" t="s">
        <v>1433</v>
      </c>
      <c r="C678" s="34">
        <v>35616</v>
      </c>
      <c r="D678" s="35" t="s">
        <v>1434</v>
      </c>
      <c r="E678" s="36">
        <v>4</v>
      </c>
      <c r="F678" s="40"/>
      <c r="G678" s="41"/>
      <c r="H678" s="39">
        <v>4</v>
      </c>
      <c r="I678" s="26" t="s">
        <v>626</v>
      </c>
      <c r="M678" s="58"/>
    </row>
    <row r="679" spans="1:13" x14ac:dyDescent="0.25">
      <c r="A679" s="26" t="str">
        <f t="shared" si="14"/>
        <v>Soporte Remate Liviano</v>
      </c>
      <c r="B679" s="4" t="s">
        <v>1435</v>
      </c>
      <c r="C679" s="34">
        <v>34828</v>
      </c>
      <c r="D679" s="35" t="s">
        <v>1436</v>
      </c>
      <c r="E679" s="36">
        <v>0.26</v>
      </c>
      <c r="F679" s="40"/>
      <c r="G679" s="41"/>
      <c r="H679" s="39">
        <v>0.26</v>
      </c>
      <c r="I679" s="26" t="s">
        <v>689</v>
      </c>
      <c r="M679" s="58"/>
    </row>
    <row r="680" spans="1:13" x14ac:dyDescent="0.25">
      <c r="A680" s="26" t="str">
        <f t="shared" si="14"/>
        <v>Soporte Remate Mediano-14</v>
      </c>
      <c r="B680" s="4" t="s">
        <v>1437</v>
      </c>
      <c r="C680" s="34">
        <v>34544</v>
      </c>
      <c r="D680" s="35" t="s">
        <v>1438</v>
      </c>
      <c r="E680" s="36">
        <v>0.3</v>
      </c>
      <c r="F680" s="40"/>
      <c r="G680" s="41"/>
      <c r="H680" s="39">
        <v>0.3</v>
      </c>
      <c r="I680" s="26" t="s">
        <v>689</v>
      </c>
      <c r="M680" s="58"/>
    </row>
    <row r="681" spans="1:13" x14ac:dyDescent="0.25">
      <c r="A681" s="26" t="str">
        <f t="shared" si="14"/>
        <v>Soporte Remate Pesado</v>
      </c>
      <c r="B681" s="4" t="s">
        <v>1439</v>
      </c>
      <c r="C681" s="34">
        <v>34680</v>
      </c>
      <c r="D681" s="35" t="s">
        <v>1440</v>
      </c>
      <c r="E681" s="36">
        <v>0.46500000000000002</v>
      </c>
      <c r="F681" s="40"/>
      <c r="G681" s="41"/>
      <c r="H681" s="39">
        <v>0.46500000000000002</v>
      </c>
      <c r="I681" s="26" t="s">
        <v>689</v>
      </c>
      <c r="M681" s="58"/>
    </row>
    <row r="682" spans="1:13" x14ac:dyDescent="0.25">
      <c r="A682" s="26" t="str">
        <f t="shared" si="14"/>
        <v>Soporte Secc. Tripolar APR-160</v>
      </c>
      <c r="B682" s="4" t="s">
        <v>1441</v>
      </c>
      <c r="C682" s="34">
        <v>36857</v>
      </c>
      <c r="D682" s="35" t="s">
        <v>1442</v>
      </c>
      <c r="E682" s="36">
        <v>1.04</v>
      </c>
      <c r="F682" s="40"/>
      <c r="G682" s="41"/>
      <c r="H682" s="39">
        <v>1.04</v>
      </c>
      <c r="I682" s="26" t="s">
        <v>1443</v>
      </c>
      <c r="M682" s="58"/>
    </row>
    <row r="683" spans="1:13" x14ac:dyDescent="0.25">
      <c r="A683" s="26" t="str">
        <f t="shared" si="14"/>
        <v>Soporte Susp. p/Cable Preensamblado</v>
      </c>
      <c r="B683" s="4" t="s">
        <v>1444</v>
      </c>
      <c r="C683" s="34">
        <v>34805</v>
      </c>
      <c r="D683" s="42" t="s">
        <v>1445</v>
      </c>
      <c r="E683" s="34">
        <v>0.34</v>
      </c>
      <c r="F683" s="40"/>
      <c r="G683" s="41"/>
      <c r="H683" s="39">
        <v>0.34</v>
      </c>
      <c r="I683" s="26" t="s">
        <v>626</v>
      </c>
      <c r="M683" s="58"/>
    </row>
    <row r="684" spans="1:13" x14ac:dyDescent="0.25">
      <c r="A684" s="26" t="str">
        <f t="shared" si="14"/>
        <v>Soporte Tipo L 220x150x10 c/golilla</v>
      </c>
      <c r="B684" s="4" t="s">
        <v>1446</v>
      </c>
      <c r="C684" s="34">
        <v>34750</v>
      </c>
      <c r="D684" s="35" t="s">
        <v>1442</v>
      </c>
      <c r="E684" s="36">
        <v>1.04</v>
      </c>
      <c r="F684" s="40"/>
      <c r="G684" s="41"/>
      <c r="H684" s="39">
        <v>1.04</v>
      </c>
      <c r="I684" s="26" t="s">
        <v>1443</v>
      </c>
      <c r="M684" s="58"/>
    </row>
    <row r="685" spans="1:13" x14ac:dyDescent="0.25">
      <c r="A685" s="26" t="str">
        <f t="shared" si="14"/>
        <v>Soporte Tipo L 38x6x100x50</v>
      </c>
      <c r="B685" s="4" t="s">
        <v>1447</v>
      </c>
      <c r="C685" s="34">
        <v>34702</v>
      </c>
      <c r="D685" s="35" t="s">
        <v>1448</v>
      </c>
      <c r="E685" s="36">
        <v>0.23699999999999999</v>
      </c>
      <c r="F685" s="40"/>
      <c r="G685" s="41"/>
      <c r="H685" s="39">
        <v>0.23699999999999999</v>
      </c>
      <c r="I685" s="26" t="s">
        <v>626</v>
      </c>
      <c r="M685" s="58"/>
    </row>
    <row r="686" spans="1:13" x14ac:dyDescent="0.25">
      <c r="A686" s="26" t="str">
        <f t="shared" si="14"/>
        <v>Soporte Tipo L p/Acometida</v>
      </c>
      <c r="B686" s="4" t="s">
        <v>1449</v>
      </c>
      <c r="C686" s="34">
        <v>34821</v>
      </c>
      <c r="D686" s="35" t="s">
        <v>1450</v>
      </c>
      <c r="E686" s="36">
        <v>0.44600000000000001</v>
      </c>
      <c r="F686" s="40"/>
      <c r="G686" s="41"/>
      <c r="H686" s="39">
        <v>0.44600000000000001</v>
      </c>
      <c r="I686" s="26" t="s">
        <v>626</v>
      </c>
      <c r="M686" s="58"/>
    </row>
    <row r="687" spans="1:13" x14ac:dyDescent="0.25">
      <c r="A687" s="26" t="str">
        <f t="shared" si="14"/>
        <v>Soporte Trapecio Costanera 40x40x3x1200</v>
      </c>
      <c r="B687" s="4" t="s">
        <v>1451</v>
      </c>
      <c r="C687" s="34">
        <v>34801</v>
      </c>
      <c r="D687" s="35" t="s">
        <v>1452</v>
      </c>
      <c r="E687" s="36">
        <v>2.1800000000000002</v>
      </c>
      <c r="F687" s="40"/>
      <c r="G687" s="41"/>
      <c r="H687" s="39">
        <v>2.1800000000000002</v>
      </c>
      <c r="I687" s="26" t="s">
        <v>626</v>
      </c>
      <c r="M687" s="58"/>
    </row>
    <row r="688" spans="1:13" x14ac:dyDescent="0.25">
      <c r="A688" s="26" t="str">
        <f t="shared" si="14"/>
        <v>Soporte Trapecio Muro 40x40x3x1800</v>
      </c>
      <c r="B688" s="4" t="s">
        <v>1453</v>
      </c>
      <c r="C688" s="34">
        <v>34800</v>
      </c>
      <c r="D688" s="35" t="s">
        <v>1454</v>
      </c>
      <c r="E688" s="36">
        <v>3.28</v>
      </c>
      <c r="F688" s="40"/>
      <c r="G688" s="41"/>
      <c r="H688" s="39">
        <v>3.28</v>
      </c>
      <c r="I688" s="26" t="s">
        <v>626</v>
      </c>
      <c r="M688" s="58"/>
    </row>
    <row r="689" spans="1:13" x14ac:dyDescent="0.25">
      <c r="A689" s="26" t="str">
        <f t="shared" si="14"/>
        <v>Soporte Vertical 80x35x5x920mm</v>
      </c>
      <c r="B689" s="4" t="s">
        <v>1455</v>
      </c>
      <c r="C689" s="34">
        <v>35932</v>
      </c>
      <c r="D689" s="35" t="s">
        <v>1456</v>
      </c>
      <c r="E689" s="36">
        <v>5.18</v>
      </c>
      <c r="F689" s="40"/>
      <c r="G689" s="41"/>
      <c r="H689" s="39">
        <v>5.18</v>
      </c>
      <c r="I689" s="26" t="s">
        <v>1443</v>
      </c>
      <c r="M689" s="58"/>
    </row>
    <row r="690" spans="1:13" x14ac:dyDescent="0.25">
      <c r="A690" s="26" t="str">
        <f t="shared" si="14"/>
        <v>Taco de Madera 80x60x120</v>
      </c>
      <c r="B690" s="4" t="s">
        <v>1457</v>
      </c>
      <c r="C690" s="34">
        <v>34781</v>
      </c>
      <c r="D690" s="35" t="s">
        <v>1458</v>
      </c>
      <c r="E690" s="36">
        <v>0.24299999999999999</v>
      </c>
      <c r="F690" s="40"/>
      <c r="G690" s="41"/>
      <c r="H690" s="39">
        <v>0.24299999999999999</v>
      </c>
      <c r="I690" s="26" t="s">
        <v>1459</v>
      </c>
      <c r="M690" s="58"/>
    </row>
    <row r="691" spans="1:13" x14ac:dyDescent="0.25">
      <c r="A691" s="26" t="str">
        <f t="shared" si="14"/>
        <v>Tapa Cámara 900 x 850</v>
      </c>
      <c r="B691" s="4" t="s">
        <v>1460</v>
      </c>
      <c r="C691" s="34">
        <v>34628</v>
      </c>
      <c r="D691" s="35" t="s">
        <v>1461</v>
      </c>
      <c r="E691" s="36">
        <v>25.3</v>
      </c>
      <c r="F691" s="40"/>
      <c r="G691" s="41"/>
      <c r="H691" s="39">
        <v>25.3</v>
      </c>
      <c r="I691" s="26" t="s">
        <v>149</v>
      </c>
      <c r="M691" s="58"/>
    </row>
    <row r="692" spans="1:13" x14ac:dyDescent="0.25">
      <c r="A692" s="26" t="str">
        <f t="shared" si="14"/>
        <v>Tarra Chica p/Acopio 800x400x900</v>
      </c>
      <c r="B692" s="4" t="s">
        <v>1462</v>
      </c>
      <c r="C692" s="34">
        <v>35342</v>
      </c>
      <c r="D692" s="35" t="s">
        <v>1463</v>
      </c>
      <c r="E692" s="36">
        <v>36.299999999999997</v>
      </c>
      <c r="F692" s="40"/>
      <c r="G692" s="41"/>
      <c r="H692" s="39">
        <v>36.299999999999997</v>
      </c>
      <c r="I692" s="26" t="s">
        <v>270</v>
      </c>
      <c r="M692" s="58"/>
    </row>
    <row r="693" spans="1:13" x14ac:dyDescent="0.25">
      <c r="A693" s="26" t="str">
        <f t="shared" si="14"/>
        <v>Tarra Grande p/Acopio 800x650x900</v>
      </c>
      <c r="B693" s="4" t="s">
        <v>1464</v>
      </c>
      <c r="C693" s="34">
        <v>35341</v>
      </c>
      <c r="D693" s="35" t="s">
        <v>1465</v>
      </c>
      <c r="E693" s="36">
        <v>45.76</v>
      </c>
      <c r="F693" s="40"/>
      <c r="G693" s="41"/>
      <c r="H693" s="39">
        <v>45.76</v>
      </c>
      <c r="I693" s="26" t="s">
        <v>270</v>
      </c>
      <c r="M693" s="58"/>
    </row>
    <row r="694" spans="1:13" x14ac:dyDescent="0.25">
      <c r="A694" s="26" t="str">
        <f t="shared" si="14"/>
        <v>Tirafondo N°1, 7/8x125</v>
      </c>
      <c r="B694" s="4" t="s">
        <v>1466</v>
      </c>
      <c r="C694" s="34">
        <v>35114</v>
      </c>
      <c r="D694" s="35" t="s">
        <v>1467</v>
      </c>
      <c r="E694" s="36">
        <v>0.55200000000000005</v>
      </c>
      <c r="F694" s="40"/>
      <c r="G694" s="41"/>
      <c r="H694" s="39">
        <v>0.55200000000000005</v>
      </c>
      <c r="I694" s="26" t="s">
        <v>1468</v>
      </c>
      <c r="M694" s="58"/>
    </row>
    <row r="695" spans="1:13" x14ac:dyDescent="0.25">
      <c r="A695" s="26" t="str">
        <f t="shared" ref="A695:A753" si="15">B695&amp;K695</f>
        <v>Tirafondo riel 7/8x132</v>
      </c>
      <c r="B695" s="4" t="s">
        <v>1469</v>
      </c>
      <c r="C695" s="34">
        <v>35661</v>
      </c>
      <c r="D695" s="35" t="s">
        <v>1470</v>
      </c>
      <c r="E695" s="36">
        <v>0.44400000000000001</v>
      </c>
      <c r="F695" s="40"/>
      <c r="G695" s="41"/>
      <c r="H695" s="39">
        <v>0.44400000000000001</v>
      </c>
      <c r="I695" s="26" t="s">
        <v>1468</v>
      </c>
      <c r="M695" s="58"/>
    </row>
    <row r="696" spans="1:13" x14ac:dyDescent="0.25">
      <c r="A696" s="26" t="str">
        <f t="shared" si="15"/>
        <v>Tirafondo riel 7/8x194 GV</v>
      </c>
      <c r="B696" s="4" t="s">
        <v>1471</v>
      </c>
      <c r="C696" s="34">
        <v>35729</v>
      </c>
      <c r="D696" s="35" t="s">
        <v>1472</v>
      </c>
      <c r="E696" s="36">
        <v>0.62</v>
      </c>
      <c r="F696" s="40"/>
      <c r="G696" s="41"/>
      <c r="H696" s="39">
        <v>0.62</v>
      </c>
      <c r="I696" s="26" t="s">
        <v>1473</v>
      </c>
      <c r="M696" s="58"/>
    </row>
    <row r="697" spans="1:13" x14ac:dyDescent="0.25">
      <c r="A697" s="26" t="str">
        <f t="shared" si="15"/>
        <v>Tirafondo N°2, 7/8x145</v>
      </c>
      <c r="B697" s="4" t="s">
        <v>1474</v>
      </c>
      <c r="C697" s="34">
        <v>35562</v>
      </c>
      <c r="D697" s="35" t="s">
        <v>1475</v>
      </c>
      <c r="E697" s="36">
        <v>0.63</v>
      </c>
      <c r="F697" s="40"/>
      <c r="G697" s="41"/>
      <c r="H697" s="39">
        <v>0.63</v>
      </c>
      <c r="I697" s="26" t="s">
        <v>1468</v>
      </c>
      <c r="M697" s="58"/>
    </row>
    <row r="698" spans="1:13" x14ac:dyDescent="0.25">
      <c r="A698" s="26" t="str">
        <f t="shared" si="15"/>
        <v>Tirafondo Nº2, 7/8x149</v>
      </c>
      <c r="B698" s="4" t="s">
        <v>1476</v>
      </c>
      <c r="C698" s="34">
        <v>34409</v>
      </c>
      <c r="D698" s="35" t="s">
        <v>1477</v>
      </c>
      <c r="E698" s="36">
        <v>0.55200000000000005</v>
      </c>
      <c r="F698" s="40"/>
      <c r="G698" s="41"/>
      <c r="H698" s="39">
        <v>0.55200000000000005</v>
      </c>
      <c r="I698" s="26" t="s">
        <v>1468</v>
      </c>
      <c r="M698" s="58"/>
    </row>
    <row r="699" spans="1:13" x14ac:dyDescent="0.25">
      <c r="A699" s="26" t="str">
        <f t="shared" si="15"/>
        <v>Tirafondo Nº5, 7/8x150</v>
      </c>
      <c r="B699" s="4" t="s">
        <v>1478</v>
      </c>
      <c r="C699" s="34">
        <v>34892</v>
      </c>
      <c r="D699" s="35" t="s">
        <v>1479</v>
      </c>
      <c r="E699" s="36">
        <v>0.55500000000000005</v>
      </c>
      <c r="F699" s="40"/>
      <c r="G699" s="41"/>
      <c r="H699" s="39">
        <v>0.55500000000000005</v>
      </c>
      <c r="I699" s="26" t="s">
        <v>1468</v>
      </c>
      <c r="M699" s="58"/>
    </row>
    <row r="700" spans="1:13" x14ac:dyDescent="0.25">
      <c r="A700" s="26" t="str">
        <f t="shared" si="15"/>
        <v>Tirafondo p/Panel 7/8x225</v>
      </c>
      <c r="B700" s="4" t="s">
        <v>1480</v>
      </c>
      <c r="C700" s="34">
        <v>34663</v>
      </c>
      <c r="D700" s="35" t="s">
        <v>1481</v>
      </c>
      <c r="E700" s="36">
        <v>0.73</v>
      </c>
      <c r="F700" s="40"/>
      <c r="G700" s="41"/>
      <c r="H700" s="39">
        <v>0.73</v>
      </c>
      <c r="I700" s="26" t="s">
        <v>1468</v>
      </c>
      <c r="M700" s="58"/>
    </row>
    <row r="701" spans="1:13" x14ac:dyDescent="0.25">
      <c r="A701" s="26" t="str">
        <f t="shared" si="15"/>
        <v>Tirafondo p/Panel 7/8x270</v>
      </c>
      <c r="B701" s="4" t="s">
        <v>1482</v>
      </c>
      <c r="C701" s="34">
        <v>34488</v>
      </c>
      <c r="D701" s="35" t="s">
        <v>1483</v>
      </c>
      <c r="E701" s="36">
        <v>0.88</v>
      </c>
      <c r="F701" s="40"/>
      <c r="G701" s="41"/>
      <c r="H701" s="39">
        <v>0.88</v>
      </c>
      <c r="I701" s="26" t="s">
        <v>1468</v>
      </c>
      <c r="M701" s="58"/>
    </row>
    <row r="702" spans="1:13" x14ac:dyDescent="0.25">
      <c r="A702" s="26" t="str">
        <f t="shared" si="15"/>
        <v>Tirafondo riel Especial M23x142</v>
      </c>
      <c r="B702" s="4" t="s">
        <v>1484</v>
      </c>
      <c r="C702" s="34">
        <v>37885</v>
      </c>
      <c r="D702" s="35" t="s">
        <v>1485</v>
      </c>
      <c r="E702" s="36">
        <v>0.52800000000000002</v>
      </c>
      <c r="F702" s="40"/>
      <c r="G702" s="41"/>
      <c r="H702" s="39">
        <v>0.52800000000000002</v>
      </c>
      <c r="I702" s="26" t="s">
        <v>1468</v>
      </c>
      <c r="M702" s="58"/>
    </row>
    <row r="703" spans="1:13" x14ac:dyDescent="0.25">
      <c r="A703" s="26" t="str">
        <f t="shared" si="15"/>
        <v>Tirafondo riel M21x111,5 GV</v>
      </c>
      <c r="B703" s="4" t="s">
        <v>1486</v>
      </c>
      <c r="C703" s="34">
        <v>34627</v>
      </c>
      <c r="D703" s="35" t="s">
        <v>1487</v>
      </c>
      <c r="E703" s="36">
        <v>0.45</v>
      </c>
      <c r="F703" s="40"/>
      <c r="G703" s="41"/>
      <c r="H703" s="39">
        <v>0.45</v>
      </c>
      <c r="I703" s="26" t="s">
        <v>1473</v>
      </c>
      <c r="M703" s="58"/>
    </row>
    <row r="704" spans="1:13" x14ac:dyDescent="0.25">
      <c r="A704" s="26" t="str">
        <f t="shared" si="15"/>
        <v>Tirafondo riel M21x110 NG</v>
      </c>
      <c r="B704" s="4" t="s">
        <v>1488</v>
      </c>
      <c r="C704" s="34">
        <v>34626</v>
      </c>
      <c r="D704" s="35" t="s">
        <v>1489</v>
      </c>
      <c r="E704" s="36">
        <v>0.42599999999999999</v>
      </c>
      <c r="F704" s="40"/>
      <c r="G704" s="41"/>
      <c r="H704" s="39">
        <v>0.42599999999999999</v>
      </c>
      <c r="I704" s="26" t="s">
        <v>1468</v>
      </c>
      <c r="M704" s="58"/>
    </row>
    <row r="705" spans="1:13" x14ac:dyDescent="0.25">
      <c r="A705" s="26" t="str">
        <f t="shared" si="15"/>
        <v>Tirafondo riel M21x111,5 NG</v>
      </c>
      <c r="B705" s="4" t="s">
        <v>1490</v>
      </c>
      <c r="C705" s="34">
        <v>35168</v>
      </c>
      <c r="D705" s="35" t="s">
        <v>1491</v>
      </c>
      <c r="E705" s="36">
        <v>0.42599999999999999</v>
      </c>
      <c r="F705" s="40" t="s">
        <v>736</v>
      </c>
      <c r="G705" s="41"/>
      <c r="H705" s="39">
        <v>0.42599999999999999</v>
      </c>
      <c r="I705" s="26" t="s">
        <v>1468</v>
      </c>
      <c r="M705" s="58"/>
    </row>
    <row r="706" spans="1:13" x14ac:dyDescent="0.25">
      <c r="A706" s="26" t="str">
        <f t="shared" si="15"/>
        <v>Tirafondo riel M21x113,35 GV</v>
      </c>
      <c r="B706" s="4" t="s">
        <v>1492</v>
      </c>
      <c r="C706" s="34">
        <v>35701</v>
      </c>
      <c r="D706" s="35" t="s">
        <v>1493</v>
      </c>
      <c r="E706" s="36">
        <v>0.47899999999999998</v>
      </c>
      <c r="F706" s="40"/>
      <c r="G706" s="41"/>
      <c r="H706" s="39">
        <v>0.47899999999999998</v>
      </c>
      <c r="I706" s="26" t="s">
        <v>1473</v>
      </c>
      <c r="M706" s="58"/>
    </row>
    <row r="707" spans="1:13" x14ac:dyDescent="0.25">
      <c r="A707" s="26" t="str">
        <f t="shared" si="15"/>
        <v>Tirafondo riel M21x125</v>
      </c>
      <c r="B707" s="4" t="s">
        <v>1494</v>
      </c>
      <c r="C707" s="34">
        <v>38060</v>
      </c>
      <c r="D707" s="35" t="s">
        <v>1495</v>
      </c>
      <c r="E707" s="36">
        <v>0.46500000000000002</v>
      </c>
      <c r="F707" s="40"/>
      <c r="G707" s="41"/>
      <c r="H707" s="39">
        <v>0.46500000000000002</v>
      </c>
      <c r="I707" s="26" t="s">
        <v>1468</v>
      </c>
      <c r="M707" s="58"/>
    </row>
    <row r="708" spans="1:13" x14ac:dyDescent="0.25">
      <c r="A708" s="26" t="str">
        <f t="shared" si="15"/>
        <v>Tirante 3/4x7'</v>
      </c>
      <c r="B708" s="4" t="s">
        <v>1496</v>
      </c>
      <c r="C708" s="34">
        <v>34995</v>
      </c>
      <c r="D708" s="35" t="s">
        <v>1497</v>
      </c>
      <c r="E708" s="36">
        <v>5.4</v>
      </c>
      <c r="F708" s="40"/>
      <c r="G708" s="41"/>
      <c r="H708" s="39">
        <v>5.4</v>
      </c>
      <c r="I708" s="26" t="s">
        <v>1498</v>
      </c>
      <c r="M708" s="58"/>
    </row>
    <row r="709" spans="1:13" x14ac:dyDescent="0.25">
      <c r="A709" s="26" t="str">
        <f t="shared" si="15"/>
        <v>Tirante 39"  Galv.</v>
      </c>
      <c r="B709" s="4" t="s">
        <v>1499</v>
      </c>
      <c r="C709" s="34">
        <v>35877</v>
      </c>
      <c r="D709" s="35" t="s">
        <v>1500</v>
      </c>
      <c r="E709" s="36">
        <v>2.4129999999999998</v>
      </c>
      <c r="F709" s="40"/>
      <c r="G709" s="41"/>
      <c r="H709" s="39">
        <v>2.4129999999999998</v>
      </c>
      <c r="I709" s="26" t="s">
        <v>1498</v>
      </c>
      <c r="M709" s="58"/>
    </row>
    <row r="710" spans="1:13" x14ac:dyDescent="0.25">
      <c r="A710" s="26" t="str">
        <f t="shared" si="15"/>
        <v>Tirante 39"  Azul/Rojo</v>
      </c>
      <c r="B710" s="4" t="s">
        <v>1501</v>
      </c>
      <c r="C710" s="34">
        <v>35057</v>
      </c>
      <c r="D710" s="42" t="s">
        <v>1502</v>
      </c>
      <c r="E710" s="34">
        <v>2.4129999999999998</v>
      </c>
      <c r="F710" s="40"/>
      <c r="G710" s="41"/>
      <c r="H710" s="39">
        <v>2.4129999999999998</v>
      </c>
      <c r="I710" s="26" t="s">
        <v>1498</v>
      </c>
      <c r="M710" s="58"/>
    </row>
    <row r="711" spans="1:13" x14ac:dyDescent="0.25">
      <c r="A711" s="26" t="str">
        <f t="shared" si="15"/>
        <v>Tuerca c/Inserto 1.1/2</v>
      </c>
      <c r="B711" s="4" t="s">
        <v>1503</v>
      </c>
      <c r="C711" s="34">
        <v>35217</v>
      </c>
      <c r="D711" s="42" t="s">
        <v>1504</v>
      </c>
      <c r="E711" s="34">
        <v>0.755</v>
      </c>
      <c r="F711" s="40"/>
      <c r="G711" s="41"/>
      <c r="H711" s="39">
        <v>0.755</v>
      </c>
      <c r="I711" s="26" t="s">
        <v>1505</v>
      </c>
      <c r="M711" s="58"/>
    </row>
    <row r="712" spans="1:13" x14ac:dyDescent="0.25">
      <c r="A712" s="26" t="str">
        <f t="shared" si="15"/>
        <v>Tuerca c/Inserto 2"</v>
      </c>
      <c r="B712" s="4" t="s">
        <v>1506</v>
      </c>
      <c r="C712" s="34">
        <v>33323</v>
      </c>
      <c r="D712" s="42" t="s">
        <v>1507</v>
      </c>
      <c r="E712" s="34">
        <v>1.6</v>
      </c>
      <c r="F712" s="40"/>
      <c r="G712" s="41"/>
      <c r="H712" s="39">
        <v>1.6</v>
      </c>
      <c r="I712" s="26" t="s">
        <v>1505</v>
      </c>
      <c r="M712" s="58"/>
    </row>
    <row r="713" spans="1:13" x14ac:dyDescent="0.25">
      <c r="A713" s="26" t="str">
        <f t="shared" si="15"/>
        <v>Tuerca Cuad Ref 1/2</v>
      </c>
      <c r="B713" s="4" t="s">
        <v>1508</v>
      </c>
      <c r="C713" s="34">
        <v>34539</v>
      </c>
      <c r="D713" s="35" t="s">
        <v>1509</v>
      </c>
      <c r="E713" s="36">
        <v>3.5700000000000003E-2</v>
      </c>
      <c r="F713" s="40"/>
      <c r="G713" s="41"/>
      <c r="H713" s="39">
        <v>3.5700000000000003E-2</v>
      </c>
      <c r="I713" s="26" t="s">
        <v>1510</v>
      </c>
      <c r="M713" s="58"/>
    </row>
    <row r="714" spans="1:13" x14ac:dyDescent="0.25">
      <c r="A714" s="26" t="str">
        <f t="shared" si="15"/>
        <v>Tuerca Cuad Ref 1/2 Rebajada</v>
      </c>
      <c r="B714" s="4" t="s">
        <v>1511</v>
      </c>
      <c r="C714" s="34">
        <v>36943</v>
      </c>
      <c r="D714" s="35" t="s">
        <v>1512</v>
      </c>
      <c r="E714" s="36">
        <v>3.5999999999999997E-2</v>
      </c>
      <c r="F714" s="40"/>
      <c r="G714" s="41"/>
      <c r="H714" s="39">
        <v>3.5999999999999997E-2</v>
      </c>
      <c r="I714" s="26" t="s">
        <v>1510</v>
      </c>
      <c r="M714" s="58"/>
    </row>
    <row r="715" spans="1:13" x14ac:dyDescent="0.25">
      <c r="A715" s="26" t="str">
        <f t="shared" si="15"/>
        <v>Tuerca Cuad Ref 5/8</v>
      </c>
      <c r="B715" s="4" t="s">
        <v>1513</v>
      </c>
      <c r="C715" s="34">
        <v>34917</v>
      </c>
      <c r="D715" s="35" t="s">
        <v>1514</v>
      </c>
      <c r="E715" s="36">
        <v>6.4000000000000001E-2</v>
      </c>
      <c r="F715" s="40"/>
      <c r="G715" s="41"/>
      <c r="H715" s="39">
        <v>6.4000000000000001E-2</v>
      </c>
      <c r="I715" s="26" t="s">
        <v>1510</v>
      </c>
      <c r="M715" s="58"/>
    </row>
    <row r="716" spans="1:13" x14ac:dyDescent="0.25">
      <c r="A716" s="26" t="str">
        <f t="shared" si="15"/>
        <v>Tuerca Cuad Ref 7/8 NG</v>
      </c>
      <c r="B716" s="4" t="s">
        <v>1515</v>
      </c>
      <c r="C716" s="34">
        <v>36081</v>
      </c>
      <c r="D716" s="35" t="s">
        <v>1516</v>
      </c>
      <c r="E716" s="36">
        <v>0.16420000000000001</v>
      </c>
      <c r="F716" s="40"/>
      <c r="G716" s="41"/>
      <c r="H716" s="39">
        <v>0.16420000000000001</v>
      </c>
      <c r="I716" s="26" t="s">
        <v>1517</v>
      </c>
      <c r="M716" s="58"/>
    </row>
    <row r="717" spans="1:13" x14ac:dyDescent="0.25">
      <c r="A717" s="26" t="str">
        <f t="shared" si="15"/>
        <v>Tuerca Cuad Ref Especial 7/8</v>
      </c>
      <c r="B717" s="4" t="s">
        <v>1518</v>
      </c>
      <c r="C717" s="34">
        <v>34934</v>
      </c>
      <c r="D717" s="42" t="s">
        <v>1519</v>
      </c>
      <c r="E717" s="34">
        <v>0.19</v>
      </c>
      <c r="F717" s="40"/>
      <c r="G717" s="41"/>
      <c r="H717" s="39">
        <v>0.19</v>
      </c>
      <c r="I717" s="26" t="s">
        <v>1510</v>
      </c>
      <c r="M717" s="58"/>
    </row>
    <row r="718" spans="1:13" x14ac:dyDescent="0.25">
      <c r="A718" s="26" t="str">
        <f t="shared" si="15"/>
        <v>Tuerca Hex 3/4 Bulldog</v>
      </c>
      <c r="B718" s="4" t="s">
        <v>1520</v>
      </c>
      <c r="C718" s="34">
        <v>34095</v>
      </c>
      <c r="D718" s="35" t="s">
        <v>1521</v>
      </c>
      <c r="E718" s="36">
        <v>0.105</v>
      </c>
      <c r="F718" s="40"/>
      <c r="G718" s="41"/>
      <c r="H718" s="39">
        <v>0.105</v>
      </c>
      <c r="I718" s="26" t="s">
        <v>1517</v>
      </c>
      <c r="M718" s="58"/>
    </row>
    <row r="719" spans="1:13" x14ac:dyDescent="0.25">
      <c r="A719" s="26" t="str">
        <f t="shared" si="15"/>
        <v>Tuerca Hex Bulldog 1"</v>
      </c>
      <c r="B719" s="4" t="s">
        <v>1522</v>
      </c>
      <c r="C719" s="34">
        <v>34970</v>
      </c>
      <c r="D719" s="42" t="s">
        <v>1523</v>
      </c>
      <c r="E719" s="34">
        <v>0.23</v>
      </c>
      <c r="F719" s="40"/>
      <c r="G719" s="41"/>
      <c r="H719" s="39">
        <v>0.23</v>
      </c>
      <c r="I719" s="26" t="s">
        <v>1517</v>
      </c>
      <c r="M719" s="58"/>
    </row>
    <row r="720" spans="1:13" x14ac:dyDescent="0.25">
      <c r="A720" s="26" t="str">
        <f t="shared" si="15"/>
        <v>Tuerca Hex Bulldog 3/4"</v>
      </c>
      <c r="B720" s="4" t="s">
        <v>1524</v>
      </c>
      <c r="C720" s="34">
        <v>34645</v>
      </c>
      <c r="D720" s="35" t="s">
        <v>1521</v>
      </c>
      <c r="E720" s="36">
        <v>0.105</v>
      </c>
      <c r="F720" s="40"/>
      <c r="G720" s="41"/>
      <c r="H720" s="39">
        <v>0.105</v>
      </c>
      <c r="I720" s="26" t="s">
        <v>1517</v>
      </c>
      <c r="M720" s="58"/>
    </row>
    <row r="721" spans="1:13" x14ac:dyDescent="0.25">
      <c r="A721" s="26" t="str">
        <f t="shared" si="15"/>
        <v>Tuerca Hex Bulldog 7/8"</v>
      </c>
      <c r="B721" s="4" t="s">
        <v>1525</v>
      </c>
      <c r="C721" s="34">
        <v>34397</v>
      </c>
      <c r="D721" s="35" t="s">
        <v>1526</v>
      </c>
      <c r="E721" s="36">
        <v>0.155</v>
      </c>
      <c r="F721" s="40"/>
      <c r="G721" s="41"/>
      <c r="H721" s="39">
        <v>0.155</v>
      </c>
      <c r="I721" s="26" t="s">
        <v>1517</v>
      </c>
      <c r="M721" s="58"/>
    </row>
    <row r="722" spans="1:13" x14ac:dyDescent="0.25">
      <c r="A722" s="26" t="str">
        <f t="shared" si="15"/>
        <v>Tuerca Hex Bulldog 1.1/8"</v>
      </c>
      <c r="B722" s="4" t="s">
        <v>1527</v>
      </c>
      <c r="C722" s="34">
        <v>35360</v>
      </c>
      <c r="D722" s="35" t="s">
        <v>1528</v>
      </c>
      <c r="E722" s="36">
        <v>0.33400000000000002</v>
      </c>
      <c r="F722" s="40"/>
      <c r="G722" s="41"/>
      <c r="H722" s="39">
        <v>0.33400000000000002</v>
      </c>
      <c r="I722" s="26" t="s">
        <v>1517</v>
      </c>
      <c r="M722" s="58"/>
    </row>
    <row r="723" spans="1:13" x14ac:dyDescent="0.25">
      <c r="A723" s="26" t="str">
        <f t="shared" si="15"/>
        <v>Tuerca Hex Cte 1/2  BSW</v>
      </c>
      <c r="B723" s="4" t="s">
        <v>1529</v>
      </c>
      <c r="C723" s="34">
        <v>35287</v>
      </c>
      <c r="D723" s="35" t="s">
        <v>1530</v>
      </c>
      <c r="E723" s="36">
        <v>1.7999999999999999E-2</v>
      </c>
      <c r="F723" s="40" t="s">
        <v>113</v>
      </c>
      <c r="G723" s="41"/>
      <c r="H723" s="39">
        <v>1.7999999999999999E-2</v>
      </c>
      <c r="I723" s="26" t="s">
        <v>1510</v>
      </c>
      <c r="M723" s="58"/>
    </row>
    <row r="724" spans="1:13" x14ac:dyDescent="0.25">
      <c r="A724" s="26" t="str">
        <f t="shared" si="15"/>
        <v>Tuerca Hex Cte 5/8  BSW</v>
      </c>
      <c r="B724" s="4" t="s">
        <v>1531</v>
      </c>
      <c r="C724" s="34">
        <v>35619</v>
      </c>
      <c r="D724" s="35" t="s">
        <v>1532</v>
      </c>
      <c r="E724" s="36">
        <v>3.4000000000000002E-2</v>
      </c>
      <c r="F724" s="40"/>
      <c r="G724" s="41"/>
      <c r="H724" s="39">
        <v>3.4000000000000002E-2</v>
      </c>
      <c r="I724" s="26" t="s">
        <v>1510</v>
      </c>
      <c r="M724" s="58"/>
    </row>
    <row r="725" spans="1:13" x14ac:dyDescent="0.25">
      <c r="A725" s="26" t="str">
        <f t="shared" si="15"/>
        <v>Tuerca Hex Cte 1  BSW</v>
      </c>
      <c r="B725" s="4" t="s">
        <v>1533</v>
      </c>
      <c r="C725" s="34">
        <v>38111</v>
      </c>
      <c r="D725" s="35" t="s">
        <v>1534</v>
      </c>
      <c r="E725" s="36">
        <v>0.13</v>
      </c>
      <c r="F725" s="40"/>
      <c r="G725" s="41"/>
      <c r="H725" s="39">
        <v>0.13</v>
      </c>
      <c r="I725" s="26" t="s">
        <v>1510</v>
      </c>
      <c r="M725" s="58"/>
    </row>
    <row r="726" spans="1:13" x14ac:dyDescent="0.25">
      <c r="A726" s="26" t="str">
        <f t="shared" si="15"/>
        <v>Tuerca Hex Cte 1/2  UNC</v>
      </c>
      <c r="B726" s="4" t="s">
        <v>1535</v>
      </c>
      <c r="C726" s="34">
        <v>33167</v>
      </c>
      <c r="D726" s="35" t="s">
        <v>1536</v>
      </c>
      <c r="E726" s="36">
        <v>1.7999999999999999E-2</v>
      </c>
      <c r="F726" s="40" t="s">
        <v>113</v>
      </c>
      <c r="G726" s="41"/>
      <c r="H726" s="39">
        <v>1.7999999999999999E-2</v>
      </c>
      <c r="I726" s="26" t="s">
        <v>1510</v>
      </c>
      <c r="M726" s="58"/>
    </row>
    <row r="727" spans="1:13" x14ac:dyDescent="0.25">
      <c r="A727" s="26" t="str">
        <f t="shared" si="15"/>
        <v xml:space="preserve">Tuerca Hex Cte M16 </v>
      </c>
      <c r="B727" s="4" t="s">
        <v>1537</v>
      </c>
      <c r="C727" s="34">
        <v>35041</v>
      </c>
      <c r="D727" s="35" t="s">
        <v>1538</v>
      </c>
      <c r="E727" s="36">
        <v>3.4340000000000002E-2</v>
      </c>
      <c r="F727" s="40"/>
      <c r="G727" s="41"/>
      <c r="H727" s="39">
        <v>3.4340000000000002E-2</v>
      </c>
      <c r="I727" s="26" t="s">
        <v>1510</v>
      </c>
      <c r="M727" s="58"/>
    </row>
    <row r="728" spans="1:13" x14ac:dyDescent="0.25">
      <c r="A728" s="26" t="str">
        <f t="shared" si="15"/>
        <v>Tuerca Hex Cte G-2 7/8 UNC</v>
      </c>
      <c r="B728" s="4" t="s">
        <v>1539</v>
      </c>
      <c r="C728" s="34">
        <v>35469</v>
      </c>
      <c r="D728" s="35" t="s">
        <v>1540</v>
      </c>
      <c r="E728" s="36">
        <v>8.6999999999999994E-2</v>
      </c>
      <c r="F728" s="40"/>
      <c r="G728" s="41"/>
      <c r="H728" s="39">
        <v>8.6999999999999994E-2</v>
      </c>
      <c r="I728" s="26" t="s">
        <v>1510</v>
      </c>
      <c r="M728" s="58"/>
    </row>
    <row r="729" spans="1:13" x14ac:dyDescent="0.25">
      <c r="A729" s="26" t="str">
        <f t="shared" si="15"/>
        <v>Tuerca Hex Ref 3/4"</v>
      </c>
      <c r="B729" s="4" t="s">
        <v>1541</v>
      </c>
      <c r="C729" s="34">
        <v>35625</v>
      </c>
      <c r="D729" s="35" t="s">
        <v>1542</v>
      </c>
      <c r="E729" s="36">
        <v>8.7499999999999994E-2</v>
      </c>
      <c r="F729" s="40"/>
      <c r="G729" s="41"/>
      <c r="H729" s="39">
        <v>8.7499999999999994E-2</v>
      </c>
      <c r="I729" s="26" t="s">
        <v>1517</v>
      </c>
      <c r="M729" s="58"/>
    </row>
    <row r="730" spans="1:13" x14ac:dyDescent="0.25">
      <c r="A730" s="26" t="str">
        <f t="shared" si="15"/>
        <v>Tuerca Hex Ref 1"</v>
      </c>
      <c r="B730" s="4" t="s">
        <v>1543</v>
      </c>
      <c r="C730" s="34">
        <v>34548</v>
      </c>
      <c r="D730" s="35" t="s">
        <v>1544</v>
      </c>
      <c r="E730" s="36">
        <v>0.1928</v>
      </c>
      <c r="F730" s="40"/>
      <c r="G730" s="41"/>
      <c r="H730" s="39">
        <v>0.1928</v>
      </c>
      <c r="I730" s="26" t="s">
        <v>1517</v>
      </c>
      <c r="M730" s="58"/>
    </row>
    <row r="731" spans="1:13" x14ac:dyDescent="0.25">
      <c r="A731" s="26" t="str">
        <f t="shared" si="15"/>
        <v>Tuerca Hex Ref 7/8"</v>
      </c>
      <c r="B731" s="4" t="s">
        <v>1545</v>
      </c>
      <c r="C731" s="34">
        <v>34549</v>
      </c>
      <c r="D731" s="35" t="s">
        <v>1546</v>
      </c>
      <c r="E731" s="36">
        <v>0.13400000000000001</v>
      </c>
      <c r="F731" s="40"/>
      <c r="G731" s="41"/>
      <c r="H731" s="39">
        <v>0.13400000000000001</v>
      </c>
      <c r="I731" s="26" t="s">
        <v>1517</v>
      </c>
      <c r="M731" s="58"/>
    </row>
    <row r="732" spans="1:13" x14ac:dyDescent="0.25">
      <c r="A732" s="26" t="str">
        <f t="shared" si="15"/>
        <v>Tuerca Hex Ref 7/8" Zn</v>
      </c>
      <c r="B732" s="4" t="s">
        <v>1547</v>
      </c>
      <c r="C732" s="34">
        <v>35323</v>
      </c>
      <c r="D732" s="35" t="s">
        <v>1548</v>
      </c>
      <c r="E732" s="36">
        <v>0.1736</v>
      </c>
      <c r="F732" s="40"/>
      <c r="G732" s="41"/>
      <c r="H732" s="39">
        <v>0.1736</v>
      </c>
      <c r="I732" s="26" t="s">
        <v>1517</v>
      </c>
      <c r="M732" s="58"/>
    </row>
    <row r="733" spans="1:13" x14ac:dyDescent="0.25">
      <c r="A733" s="26" t="str">
        <f t="shared" si="15"/>
        <v>Tuerca Hex Ref TRE 2"</v>
      </c>
      <c r="B733" s="4" t="s">
        <v>1549</v>
      </c>
      <c r="C733" s="34">
        <v>35709</v>
      </c>
      <c r="D733" s="35" t="s">
        <v>1550</v>
      </c>
      <c r="E733" s="36">
        <v>1.4379999999999999</v>
      </c>
      <c r="F733" s="40"/>
      <c r="G733" s="41"/>
      <c r="H733" s="39">
        <v>1.4379999999999999</v>
      </c>
      <c r="I733" s="26" t="s">
        <v>1505</v>
      </c>
      <c r="M733" s="58"/>
    </row>
    <row r="734" spans="1:13" x14ac:dyDescent="0.25">
      <c r="A734" s="26" t="str">
        <f t="shared" si="15"/>
        <v>Tuerca Hex Ref  G-2  Inditecnor 7/8</v>
      </c>
      <c r="B734" s="4" t="s">
        <v>1551</v>
      </c>
      <c r="C734" s="34">
        <v>35263</v>
      </c>
      <c r="D734" s="35" t="s">
        <v>1552</v>
      </c>
      <c r="E734" s="36">
        <v>0.13500000000000001</v>
      </c>
      <c r="F734" s="40"/>
      <c r="G734" s="41"/>
      <c r="H734" s="39">
        <v>0.13500000000000001</v>
      </c>
      <c r="I734" s="26" t="s">
        <v>1517</v>
      </c>
      <c r="M734" s="58"/>
    </row>
    <row r="735" spans="1:13" x14ac:dyDescent="0.25">
      <c r="A735" s="26" t="str">
        <f t="shared" si="15"/>
        <v>Tuerca Hex Ref  G-2  1" c/Perf.</v>
      </c>
      <c r="B735" s="4" t="s">
        <v>1553</v>
      </c>
      <c r="C735" s="34">
        <v>35488</v>
      </c>
      <c r="D735" s="35" t="s">
        <v>1554</v>
      </c>
      <c r="E735" s="36">
        <v>0.19</v>
      </c>
      <c r="F735" s="40"/>
      <c r="G735" s="41"/>
      <c r="H735" s="39">
        <v>0.19</v>
      </c>
      <c r="I735" s="26" t="s">
        <v>1517</v>
      </c>
      <c r="M735" s="58"/>
    </row>
    <row r="736" spans="1:13" x14ac:dyDescent="0.25">
      <c r="A736" s="26" t="str">
        <f t="shared" si="15"/>
        <v>Tuerca Hex Ref G-3  M18</v>
      </c>
      <c r="B736" s="4" t="s">
        <v>1555</v>
      </c>
      <c r="C736" s="34">
        <v>34556</v>
      </c>
      <c r="D736" s="35" t="s">
        <v>1556</v>
      </c>
      <c r="E736" s="36">
        <v>0.125</v>
      </c>
      <c r="F736" s="40"/>
      <c r="G736" s="41"/>
      <c r="H736" s="39">
        <v>0.125</v>
      </c>
      <c r="I736" s="26" t="s">
        <v>1517</v>
      </c>
      <c r="M736" s="58"/>
    </row>
    <row r="737" spans="1:13" x14ac:dyDescent="0.25">
      <c r="A737" s="26" t="str">
        <f t="shared" si="15"/>
        <v>Tuerca Ojo 1/2</v>
      </c>
      <c r="B737" s="4" t="s">
        <v>1557</v>
      </c>
      <c r="C737" s="34">
        <v>33918</v>
      </c>
      <c r="D737" s="42" t="s">
        <v>1558</v>
      </c>
      <c r="E737" s="34">
        <v>0.3</v>
      </c>
      <c r="F737" s="40"/>
      <c r="G737" s="41"/>
      <c r="H737" s="39">
        <v>0.3</v>
      </c>
      <c r="I737" s="26" t="s">
        <v>1559</v>
      </c>
      <c r="M737" s="58"/>
    </row>
    <row r="738" spans="1:13" x14ac:dyDescent="0.25">
      <c r="A738" s="26" t="str">
        <f t="shared" si="15"/>
        <v>Tuerca Ojo 5/8</v>
      </c>
      <c r="B738" s="4" t="s">
        <v>1560</v>
      </c>
      <c r="C738" s="34">
        <v>34816</v>
      </c>
      <c r="D738" s="42" t="s">
        <v>1561</v>
      </c>
      <c r="E738" s="34">
        <v>0.30399999999999999</v>
      </c>
      <c r="F738" s="40"/>
      <c r="G738" s="41"/>
      <c r="H738" s="39">
        <v>0.30399999999999999</v>
      </c>
      <c r="I738" s="26" t="s">
        <v>1559</v>
      </c>
      <c r="M738" s="58"/>
    </row>
    <row r="739" spans="1:13" x14ac:dyDescent="0.25">
      <c r="A739" s="26" t="str">
        <f t="shared" si="15"/>
        <v>Tuerca Ojo 3/4</v>
      </c>
      <c r="B739" s="4" t="s">
        <v>1562</v>
      </c>
      <c r="C739" s="34">
        <v>36045</v>
      </c>
      <c r="D739" s="42" t="s">
        <v>1563</v>
      </c>
      <c r="E739" s="34">
        <v>0.317</v>
      </c>
      <c r="F739" s="40"/>
      <c r="G739" s="41"/>
      <c r="H739" s="39">
        <v>0.317</v>
      </c>
      <c r="I739" s="26" t="s">
        <v>1559</v>
      </c>
      <c r="M739" s="58"/>
    </row>
    <row r="740" spans="1:13" x14ac:dyDescent="0.25">
      <c r="A740" s="26" t="str">
        <f t="shared" si="15"/>
        <v>Viga Porta Transf. C 100x40x6x2320</v>
      </c>
      <c r="B740" s="4" t="s">
        <v>1564</v>
      </c>
      <c r="C740" s="34">
        <v>34487</v>
      </c>
      <c r="D740" s="35" t="s">
        <v>1565</v>
      </c>
      <c r="E740" s="36">
        <v>17.736000000000001</v>
      </c>
      <c r="F740" s="40"/>
      <c r="G740" s="41"/>
      <c r="H740" s="39">
        <v>17.736000000000001</v>
      </c>
      <c r="I740" s="26" t="s">
        <v>149</v>
      </c>
      <c r="M740" s="58"/>
    </row>
    <row r="741" spans="1:13" x14ac:dyDescent="0.25">
      <c r="A741" s="26" t="str">
        <f t="shared" si="15"/>
        <v>Viga Porta Transf. U 125x60x5x2320</v>
      </c>
      <c r="B741" s="4" t="s">
        <v>1566</v>
      </c>
      <c r="C741" s="34">
        <v>37259</v>
      </c>
      <c r="D741" s="35" t="s">
        <v>1567</v>
      </c>
      <c r="E741" s="36">
        <v>22.32</v>
      </c>
      <c r="F741" s="40"/>
      <c r="G741" s="41"/>
      <c r="H741" s="39">
        <v>22.32</v>
      </c>
      <c r="I741" s="26" t="s">
        <v>149</v>
      </c>
      <c r="M741" s="58"/>
    </row>
    <row r="742" spans="1:13" x14ac:dyDescent="0.25">
      <c r="A742" s="26" t="str">
        <f t="shared" si="15"/>
        <v>Viga Porta Transf. C 100x40x6x2350</v>
      </c>
      <c r="B742" s="4" t="s">
        <v>1568</v>
      </c>
      <c r="C742" s="34">
        <v>34234</v>
      </c>
      <c r="D742" s="35" t="s">
        <v>1569</v>
      </c>
      <c r="E742" s="36">
        <v>18</v>
      </c>
      <c r="F742" s="40"/>
      <c r="G742" s="41"/>
      <c r="H742" s="39">
        <v>18</v>
      </c>
      <c r="I742" s="26" t="s">
        <v>149</v>
      </c>
      <c r="M742" s="58"/>
    </row>
    <row r="743" spans="1:13" x14ac:dyDescent="0.25">
      <c r="A743" s="26" t="str">
        <f t="shared" si="15"/>
        <v>Vigueta Afianza L 50x50x6x600</v>
      </c>
      <c r="B743" s="4" t="s">
        <v>1570</v>
      </c>
      <c r="C743" s="34">
        <v>35886</v>
      </c>
      <c r="D743" s="35" t="s">
        <v>1571</v>
      </c>
      <c r="E743" s="36">
        <v>2.7</v>
      </c>
      <c r="F743" s="40"/>
      <c r="G743" s="41"/>
      <c r="H743" s="39">
        <v>2.7</v>
      </c>
      <c r="I743" s="26" t="s">
        <v>1572</v>
      </c>
      <c r="M743" s="58"/>
    </row>
    <row r="744" spans="1:13" x14ac:dyDescent="0.25">
      <c r="A744" s="26" t="str">
        <f t="shared" si="15"/>
        <v>Vigueta Afianza L 65x65x5x690</v>
      </c>
      <c r="B744" s="4" t="s">
        <v>1573</v>
      </c>
      <c r="C744" s="34">
        <v>35013</v>
      </c>
      <c r="D744" s="42" t="s">
        <v>1574</v>
      </c>
      <c r="E744" s="34">
        <v>3.4</v>
      </c>
      <c r="F744" s="40"/>
      <c r="G744" s="41"/>
      <c r="H744" s="39">
        <v>3.4</v>
      </c>
      <c r="I744" s="26" t="s">
        <v>1572</v>
      </c>
      <c r="M744" s="58"/>
    </row>
    <row r="745" spans="1:13" x14ac:dyDescent="0.25">
      <c r="A745" s="26" t="str">
        <f t="shared" si="15"/>
        <v>Vigueta Afianza L 65x65x8x630</v>
      </c>
      <c r="B745" s="4" t="s">
        <v>1575</v>
      </c>
      <c r="C745" s="34">
        <v>34943</v>
      </c>
      <c r="D745" s="35" t="s">
        <v>1576</v>
      </c>
      <c r="E745" s="36">
        <v>4.5</v>
      </c>
      <c r="F745" s="40"/>
      <c r="G745" s="41"/>
      <c r="H745" s="39">
        <v>4.5</v>
      </c>
      <c r="I745" s="26" t="s">
        <v>1572</v>
      </c>
      <c r="M745" s="58"/>
    </row>
    <row r="746" spans="1:13" x14ac:dyDescent="0.25">
      <c r="A746" s="26" t="str">
        <f>B746&amp;K746</f>
        <v>Vigueta C 150x50x6x900mm</v>
      </c>
      <c r="B746" s="4" t="s">
        <v>1577</v>
      </c>
      <c r="C746" s="34">
        <v>35884</v>
      </c>
      <c r="D746" s="35" t="s">
        <v>1578</v>
      </c>
      <c r="E746" s="36">
        <v>10.448</v>
      </c>
      <c r="F746" s="40"/>
      <c r="G746" s="41"/>
      <c r="H746" s="39">
        <v>10.448</v>
      </c>
      <c r="I746" s="26" t="s">
        <v>1572</v>
      </c>
      <c r="M746" s="58"/>
    </row>
    <row r="747" spans="1:13" x14ac:dyDescent="0.25">
      <c r="A747" s="26" t="str">
        <f t="shared" si="15"/>
        <v>Vigueta C Doble 150x50x5x6000mm</v>
      </c>
      <c r="B747" s="4" t="s">
        <v>1579</v>
      </c>
      <c r="C747" s="34">
        <v>35921</v>
      </c>
      <c r="D747" s="35" t="s">
        <v>1580</v>
      </c>
      <c r="E747" s="36">
        <v>120</v>
      </c>
      <c r="F747" s="40"/>
      <c r="G747" s="41"/>
      <c r="H747" s="39">
        <v>120</v>
      </c>
      <c r="I747" s="26" t="s">
        <v>1572</v>
      </c>
      <c r="M747" s="58"/>
    </row>
    <row r="748" spans="1:13" x14ac:dyDescent="0.25">
      <c r="A748" s="26" t="str">
        <f t="shared" si="15"/>
        <v>Vigueta C tipo 1 125x50x5x6600mm</v>
      </c>
      <c r="B748" s="4" t="s">
        <v>1581</v>
      </c>
      <c r="C748" s="34">
        <v>36918</v>
      </c>
      <c r="D748" s="35" t="s">
        <v>1582</v>
      </c>
      <c r="E748" s="36">
        <v>57.85</v>
      </c>
      <c r="F748" s="40"/>
      <c r="G748" s="41"/>
      <c r="H748" s="39">
        <v>57.85</v>
      </c>
      <c r="I748" s="26" t="s">
        <v>1572</v>
      </c>
      <c r="M748" s="58"/>
    </row>
    <row r="749" spans="1:13" x14ac:dyDescent="0.25">
      <c r="A749" s="26" t="str">
        <f t="shared" si="15"/>
        <v>Vigueta C tipo 2 125x50x5x6600mm</v>
      </c>
      <c r="B749" s="4" t="s">
        <v>1583</v>
      </c>
      <c r="C749" s="34">
        <v>36919</v>
      </c>
      <c r="D749" s="35" t="s">
        <v>1584</v>
      </c>
      <c r="E749" s="36">
        <v>57.85</v>
      </c>
      <c r="F749" s="40"/>
      <c r="G749" s="41"/>
      <c r="H749" s="39">
        <v>57.85</v>
      </c>
      <c r="I749" s="26" t="s">
        <v>1572</v>
      </c>
      <c r="M749" s="58"/>
    </row>
    <row r="750" spans="1:13" x14ac:dyDescent="0.25">
      <c r="A750" s="26" t="str">
        <f t="shared" si="15"/>
        <v>Vigueta Canal C 34x34x3x480mm</v>
      </c>
      <c r="B750" s="4" t="s">
        <v>1585</v>
      </c>
      <c r="C750" s="34">
        <v>34748</v>
      </c>
      <c r="D750" s="35" t="s">
        <v>1586</v>
      </c>
      <c r="E750" s="36">
        <v>1.0860000000000001</v>
      </c>
      <c r="F750" s="40"/>
      <c r="G750" s="41"/>
      <c r="H750" s="39">
        <v>1.0860000000000001</v>
      </c>
      <c r="I750" s="26" t="s">
        <v>1572</v>
      </c>
      <c r="M750" s="58"/>
    </row>
    <row r="751" spans="1:13" x14ac:dyDescent="0.25">
      <c r="A751" s="26" t="str">
        <f t="shared" si="15"/>
        <v>Vigueta PortaViga C 100x40x6x480</v>
      </c>
      <c r="B751" s="4" t="s">
        <v>1587</v>
      </c>
      <c r="C751" s="34">
        <v>34593</v>
      </c>
      <c r="D751" s="35" t="s">
        <v>1588</v>
      </c>
      <c r="E751" s="36">
        <v>3.57</v>
      </c>
      <c r="F751" s="40"/>
      <c r="G751" s="41"/>
      <c r="H751" s="39">
        <v>3.57</v>
      </c>
      <c r="I751" s="26" t="s">
        <v>1572</v>
      </c>
      <c r="M751" s="58"/>
    </row>
    <row r="752" spans="1:13" x14ac:dyDescent="0.25">
      <c r="A752" s="26" t="str">
        <f t="shared" si="15"/>
        <v>Vigueta Canal C 150x5x50x740</v>
      </c>
      <c r="B752" s="4" t="s">
        <v>1589</v>
      </c>
      <c r="C752" s="34">
        <v>35765</v>
      </c>
      <c r="D752" s="35" t="s">
        <v>1590</v>
      </c>
      <c r="E752" s="36">
        <v>5.61</v>
      </c>
      <c r="F752" s="40"/>
      <c r="G752" s="41"/>
      <c r="H752" s="39">
        <v>5.61</v>
      </c>
      <c r="I752" s="26" t="s">
        <v>1572</v>
      </c>
      <c r="M752" s="58"/>
    </row>
    <row r="753" spans="1:13" x14ac:dyDescent="0.25">
      <c r="A753" s="26" t="str">
        <f t="shared" si="15"/>
        <v>Vigueta Tipo Z 40x30x4x480mm</v>
      </c>
      <c r="B753" s="4" t="s">
        <v>1591</v>
      </c>
      <c r="C753" s="34">
        <v>34749</v>
      </c>
      <c r="D753" s="35" t="s">
        <v>1592</v>
      </c>
      <c r="E753" s="36">
        <v>1.6</v>
      </c>
      <c r="F753" s="40"/>
      <c r="G753" s="41"/>
      <c r="H753" s="39">
        <v>1.6</v>
      </c>
      <c r="I753" s="26" t="s">
        <v>1572</v>
      </c>
      <c r="M753" s="5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R520"/>
  <sheetViews>
    <sheetView workbookViewId="0">
      <pane ySplit="1" topLeftCell="A2" activePane="bottomLeft" state="frozen"/>
      <selection pane="bottomLeft" activeCell="O2" sqref="O2"/>
    </sheetView>
  </sheetViews>
  <sheetFormatPr baseColWidth="10" defaultRowHeight="15" x14ac:dyDescent="0.25"/>
  <cols>
    <col min="1" max="1" width="6.85546875" customWidth="1"/>
    <col min="2" max="2" width="4.140625" style="98" customWidth="1"/>
    <col min="3" max="3" width="21" hidden="1" customWidth="1"/>
    <col min="4" max="4" width="42.42578125" hidden="1" customWidth="1"/>
    <col min="5" max="5" width="7.140625" style="64" hidden="1" customWidth="1"/>
    <col min="6" max="6" width="7.5703125" customWidth="1"/>
    <col min="7" max="7" width="34.42578125" bestFit="1" customWidth="1"/>
    <col min="8" max="8" width="17" customWidth="1"/>
    <col min="9" max="9" width="24.5703125" hidden="1" customWidth="1"/>
    <col min="10" max="10" width="14.140625" customWidth="1"/>
    <col min="11" max="11" width="9" customWidth="1"/>
    <col min="12" max="12" width="12.42578125" customWidth="1"/>
    <col min="13" max="13" width="7.42578125" customWidth="1"/>
    <col min="14" max="14" width="9.7109375" customWidth="1"/>
    <col min="15" max="15" width="16" customWidth="1"/>
    <col min="16" max="16" width="2.85546875" customWidth="1"/>
    <col min="17" max="17" width="7.140625" style="110" customWidth="1"/>
    <col min="18" max="18" width="11.42578125" style="110" customWidth="1"/>
    <col min="19" max="19" width="1.42578125" customWidth="1"/>
  </cols>
  <sheetData>
    <row r="1" spans="1:18" ht="39" customHeight="1" x14ac:dyDescent="0.25">
      <c r="A1" s="103"/>
      <c r="B1" s="104" t="s">
        <v>1639</v>
      </c>
      <c r="C1" s="105" t="s">
        <v>1627</v>
      </c>
      <c r="D1" s="104" t="s">
        <v>1628</v>
      </c>
      <c r="E1" s="104"/>
      <c r="F1" s="104" t="s">
        <v>1593</v>
      </c>
      <c r="G1" s="104" t="s">
        <v>103</v>
      </c>
      <c r="H1" s="104" t="s">
        <v>1604</v>
      </c>
      <c r="I1" s="104" t="s">
        <v>1629</v>
      </c>
      <c r="J1" s="104" t="s">
        <v>1596</v>
      </c>
      <c r="K1" s="104" t="s">
        <v>1632</v>
      </c>
      <c r="L1" s="104" t="s">
        <v>1595</v>
      </c>
      <c r="M1" s="104" t="s">
        <v>1606</v>
      </c>
      <c r="N1" s="104" t="s">
        <v>1621</v>
      </c>
      <c r="O1" s="106" t="s">
        <v>1605</v>
      </c>
      <c r="P1" s="107"/>
    </row>
    <row r="2" spans="1:18" x14ac:dyDescent="0.25">
      <c r="A2" s="63">
        <v>1</v>
      </c>
      <c r="B2" s="97">
        <v>1</v>
      </c>
      <c r="C2" s="44" t="str">
        <f t="shared" ref="C2:C47" si="0">CONCATENATE(F2,H2)</f>
        <v>39223PRENSA FR - 01</v>
      </c>
      <c r="D2" s="44" t="str">
        <f t="shared" ref="D2:D45" si="1">G2&amp;J2</f>
        <v>Barra Ojo 5/8x2,40mtrsESTAMPAR</v>
      </c>
      <c r="E2" s="85" t="str">
        <f t="shared" ref="E2:E45" si="2">IF(F2=F1,E1+1,B2&amp;K2)</f>
        <v>11</v>
      </c>
      <c r="F2" s="54">
        <v>39223</v>
      </c>
      <c r="G2" s="54" t="s">
        <v>177</v>
      </c>
      <c r="H2" s="55" t="str">
        <f>IF(O2&gt;1,O2,VLOOKUP(D2,PRODUCTOS!A17:L765,10,0))</f>
        <v>PRENSA FR - 01</v>
      </c>
      <c r="I2" s="54" t="str">
        <f t="shared" ref="I2:I47" si="3">J2&amp;H2</f>
        <v>ESTAMPARPRENSA FR - 01</v>
      </c>
      <c r="J2" s="54" t="s">
        <v>1597</v>
      </c>
      <c r="K2" s="54">
        <f>VLOOKUP(D2,PRODUCTOS!A23:M775,13,0)</f>
        <v>1</v>
      </c>
      <c r="L2" s="54">
        <v>15000</v>
      </c>
      <c r="M2" s="54">
        <f>VLOOKUP(D2,PRODUCTOS!A28:L776,12,0)</f>
        <v>44</v>
      </c>
      <c r="N2" s="54">
        <v>15000</v>
      </c>
      <c r="O2" s="54"/>
      <c r="P2" s="55">
        <f t="shared" ref="P2:P45" si="4">VLOOKUP(D2,PRODUCTOTOTAL,7,0)</f>
        <v>0</v>
      </c>
      <c r="Q2" s="110" t="str">
        <f>IF(K2=1,VLOOKUP(H2,MAQUINAS!$C$2:$E$62,3,0),Q1)</f>
        <v>A</v>
      </c>
      <c r="R2" s="110" t="str">
        <f t="shared" ref="R2:R45" si="5">IF(OR(E2&lt;10,E2="1"),"Z",Q2&amp;E2)</f>
        <v>A11</v>
      </c>
    </row>
    <row r="3" spans="1:18" x14ac:dyDescent="0.25">
      <c r="A3" s="63">
        <v>2</v>
      </c>
      <c r="B3" s="97"/>
      <c r="C3" s="44" t="str">
        <f t="shared" si="0"/>
        <v>39223PRENSA EX - 13</v>
      </c>
      <c r="D3" s="44" t="str">
        <f t="shared" si="1"/>
        <v>Barra Ojo 5/8x2,40mtrsREBABAR EXT</v>
      </c>
      <c r="E3" s="85">
        <f t="shared" si="2"/>
        <v>12</v>
      </c>
      <c r="F3" s="54">
        <v>39223</v>
      </c>
      <c r="G3" s="54" t="s">
        <v>177</v>
      </c>
      <c r="H3" s="55" t="str">
        <f>IF(O3&gt;1,O3,VLOOKUP(D3,PRODUCTOS!A18:L766,10,0))</f>
        <v>PRENSA EX - 13</v>
      </c>
      <c r="I3" s="54" t="str">
        <f t="shared" si="3"/>
        <v>REBABAR EXTPRENSA EX - 13</v>
      </c>
      <c r="J3" s="54" t="s">
        <v>1675</v>
      </c>
      <c r="K3" s="54">
        <f>VLOOKUP(D3,PRODUCTOS!A24:M776,13,0)</f>
        <v>2</v>
      </c>
      <c r="L3" s="54">
        <v>15000</v>
      </c>
      <c r="M3" s="54">
        <f>VLOOKUP(D3,PRODUCTOS!A29:L777,12,0)</f>
        <v>125</v>
      </c>
      <c r="N3" s="54">
        <f t="shared" ref="N3:N45" si="6">L3</f>
        <v>15000</v>
      </c>
      <c r="O3" s="54"/>
      <c r="P3" s="55">
        <f t="shared" si="4"/>
        <v>0</v>
      </c>
      <c r="Q3" s="110" t="str">
        <f>IF(K3=1,VLOOKUP(H3,MAQUINAS!$C$2:$E$62,3,0),Q2)</f>
        <v>A</v>
      </c>
      <c r="R3" s="110" t="str">
        <f t="shared" si="5"/>
        <v>A12</v>
      </c>
    </row>
    <row r="4" spans="1:18" x14ac:dyDescent="0.25">
      <c r="A4" s="63">
        <v>3</v>
      </c>
      <c r="B4" s="97"/>
      <c r="C4" s="44" t="str">
        <f t="shared" si="0"/>
        <v>39223PRENSA FR - 03</v>
      </c>
      <c r="D4" s="44" t="str">
        <f t="shared" si="1"/>
        <v>Barra Ojo 5/8x2,40mtrsREBABAR INT</v>
      </c>
      <c r="E4" s="85">
        <f t="shared" si="2"/>
        <v>13</v>
      </c>
      <c r="F4" s="54">
        <v>39223</v>
      </c>
      <c r="G4" s="54" t="s">
        <v>177</v>
      </c>
      <c r="H4" s="55" t="str">
        <f>IF(O4&gt;1,O4,VLOOKUP(D4,PRODUCTOS!A19:L767,10,0))</f>
        <v>PRENSA FR - 03</v>
      </c>
      <c r="I4" s="54" t="str">
        <f t="shared" si="3"/>
        <v>REBABAR INTPRENSA FR - 03</v>
      </c>
      <c r="J4" s="54" t="s">
        <v>1676</v>
      </c>
      <c r="K4" s="54">
        <f>VLOOKUP(D4,PRODUCTOS!A25:M777,13,0)</f>
        <v>3</v>
      </c>
      <c r="L4" s="54">
        <v>15000</v>
      </c>
      <c r="M4" s="54">
        <f>VLOOKUP(D4,PRODUCTOS!A30:L778,12,0)</f>
        <v>125</v>
      </c>
      <c r="N4" s="54">
        <f t="shared" si="6"/>
        <v>15000</v>
      </c>
      <c r="O4" s="54" t="s">
        <v>76</v>
      </c>
      <c r="P4" s="55">
        <f t="shared" si="4"/>
        <v>0</v>
      </c>
      <c r="Q4" s="110" t="str">
        <f>IF(K4=1,VLOOKUP(H4,MAQUINAS!$C$2:$E$62,3,0),Q3)</f>
        <v>A</v>
      </c>
      <c r="R4" s="110" t="str">
        <f t="shared" si="5"/>
        <v>A13</v>
      </c>
    </row>
    <row r="5" spans="1:18" x14ac:dyDescent="0.25">
      <c r="A5" s="63">
        <v>4</v>
      </c>
      <c r="B5" s="97"/>
      <c r="C5" s="44" t="str">
        <f t="shared" si="0"/>
        <v>39223PUNT PER</v>
      </c>
      <c r="D5" s="44" t="str">
        <f t="shared" si="1"/>
        <v>Barra Ojo 5/8x2,40mtrsPUNTEAR</v>
      </c>
      <c r="E5" s="85">
        <f t="shared" si="2"/>
        <v>14</v>
      </c>
      <c r="F5" s="54">
        <v>39223</v>
      </c>
      <c r="G5" s="54" t="s">
        <v>177</v>
      </c>
      <c r="H5" s="55" t="str">
        <f>IF(O5&gt;1,O5,VLOOKUP(D5,PRODUCTOS!A20:L768,10,0))</f>
        <v>PUNT PER</v>
      </c>
      <c r="I5" s="54" t="str">
        <f t="shared" si="3"/>
        <v>PUNTEARPUNT PER</v>
      </c>
      <c r="J5" s="54" t="s">
        <v>1603</v>
      </c>
      <c r="K5" s="54">
        <f>VLOOKUP(D5,PRODUCTOS!A26:M778,13,0)</f>
        <v>4</v>
      </c>
      <c r="L5" s="54">
        <v>15000</v>
      </c>
      <c r="M5" s="54">
        <f>VLOOKUP(D5,PRODUCTOS!A31:L779,12,0)</f>
        <v>205</v>
      </c>
      <c r="N5" s="54">
        <f t="shared" si="6"/>
        <v>15000</v>
      </c>
      <c r="O5" s="54"/>
      <c r="P5" s="55">
        <f t="shared" si="4"/>
        <v>0</v>
      </c>
      <c r="Q5" s="110" t="str">
        <f>IF(K5=1,VLOOKUP(H5,MAQUINAS!$C$2:$E$62,3,0),Q4)</f>
        <v>A</v>
      </c>
      <c r="R5" s="110" t="str">
        <f t="shared" si="5"/>
        <v>A14</v>
      </c>
    </row>
    <row r="6" spans="1:18" x14ac:dyDescent="0.25">
      <c r="A6" s="63">
        <v>5</v>
      </c>
      <c r="B6" s="97"/>
      <c r="C6" s="44" t="str">
        <f t="shared" si="0"/>
        <v>39223TERR PER - 03</v>
      </c>
      <c r="D6" s="44" t="str">
        <f t="shared" si="1"/>
        <v>Barra Ojo 5/8x2,40mtrsTERRAJAR</v>
      </c>
      <c r="E6" s="85">
        <f t="shared" si="2"/>
        <v>15</v>
      </c>
      <c r="F6" s="54">
        <v>39223</v>
      </c>
      <c r="G6" s="54" t="s">
        <v>177</v>
      </c>
      <c r="H6" s="55" t="str">
        <f>IF(O6&gt;1,O6,VLOOKUP(D6,PRODUCTOS!A21:L769,10,0))</f>
        <v>TERR PER - 03</v>
      </c>
      <c r="I6" s="54" t="str">
        <f t="shared" si="3"/>
        <v>TERRAJARTERR PER - 03</v>
      </c>
      <c r="J6" s="54" t="s">
        <v>1601</v>
      </c>
      <c r="K6" s="54">
        <f>VLOOKUP(D6,PRODUCTOS!A27:M779,13,0)</f>
        <v>5</v>
      </c>
      <c r="L6" s="54">
        <v>15000</v>
      </c>
      <c r="M6" s="54">
        <f>VLOOKUP(D6,PRODUCTOS!A32:L780,12,0)</f>
        <v>79</v>
      </c>
      <c r="N6" s="54">
        <f t="shared" si="6"/>
        <v>15000</v>
      </c>
      <c r="O6" s="54" t="s">
        <v>1614</v>
      </c>
      <c r="P6" s="55">
        <f t="shared" si="4"/>
        <v>0</v>
      </c>
      <c r="Q6" s="110" t="str">
        <f>IF(K6=1,VLOOKUP(H6,MAQUINAS!$C$2:$E$62,3,0),Q5)</f>
        <v>A</v>
      </c>
      <c r="R6" s="110" t="str">
        <f t="shared" si="5"/>
        <v>A15</v>
      </c>
    </row>
    <row r="7" spans="1:18" x14ac:dyDescent="0.25">
      <c r="A7" s="63">
        <v>6</v>
      </c>
      <c r="B7" s="97">
        <v>2</v>
      </c>
      <c r="C7" s="44" t="str">
        <f t="shared" si="0"/>
        <v>36542PRENSA FR - 01</v>
      </c>
      <c r="D7" s="44" t="str">
        <f t="shared" si="1"/>
        <v>Perno Ojo 5/8x9x5HESTAMPAR</v>
      </c>
      <c r="E7" s="85" t="str">
        <f t="shared" si="2"/>
        <v>21</v>
      </c>
      <c r="F7" s="54">
        <v>36542</v>
      </c>
      <c r="G7" s="54" t="s">
        <v>1094</v>
      </c>
      <c r="H7" s="55" t="str">
        <f>IF(O7&gt;1,O7,VLOOKUP(D7,PRODUCTOS!A26:L774,10,0))</f>
        <v>PRENSA FR - 01</v>
      </c>
      <c r="I7" s="54" t="str">
        <f t="shared" si="3"/>
        <v>ESTAMPARPRENSA FR - 01</v>
      </c>
      <c r="J7" s="54" t="s">
        <v>1597</v>
      </c>
      <c r="K7" s="54">
        <f>VLOOKUP(D7,PRODUCTOS!A2:M754,13,0)</f>
        <v>1</v>
      </c>
      <c r="L7" s="54">
        <v>5050</v>
      </c>
      <c r="M7" s="54">
        <f>VLOOKUP(D7,PRODUCTOS!A2:L754,12,0)</f>
        <v>43</v>
      </c>
      <c r="N7" s="54">
        <f t="shared" si="6"/>
        <v>5050</v>
      </c>
      <c r="O7" s="54"/>
      <c r="P7" s="55">
        <f t="shared" si="4"/>
        <v>0</v>
      </c>
      <c r="Q7" s="110" t="str">
        <f>IF(K7=1,VLOOKUP(H7,MAQUINAS!$C$2:$E$62,3,0),Q6)</f>
        <v>A</v>
      </c>
      <c r="R7" s="110" t="str">
        <f t="shared" si="5"/>
        <v>A21</v>
      </c>
    </row>
    <row r="8" spans="1:18" x14ac:dyDescent="0.25">
      <c r="A8" s="63">
        <v>7</v>
      </c>
      <c r="B8" s="97"/>
      <c r="C8" s="44" t="str">
        <f t="shared" si="0"/>
        <v>36542PRENSA EX - 15</v>
      </c>
      <c r="D8" s="44" t="str">
        <f t="shared" si="1"/>
        <v>Perno Ojo 5/8x9x5HREBABA EXT</v>
      </c>
      <c r="E8" s="85">
        <f t="shared" si="2"/>
        <v>22</v>
      </c>
      <c r="F8" s="54">
        <v>36542</v>
      </c>
      <c r="G8" s="54" t="s">
        <v>1094</v>
      </c>
      <c r="H8" s="55" t="str">
        <f>IF(O8&gt;1,O8,VLOOKUP(D8,PRODUCTOS!A27:L775,10,0))</f>
        <v>PRENSA EX - 15</v>
      </c>
      <c r="I8" s="54" t="str">
        <f t="shared" si="3"/>
        <v>REBABA EXTPRENSA EX - 15</v>
      </c>
      <c r="J8" s="54" t="s">
        <v>1600</v>
      </c>
      <c r="K8" s="54">
        <f>VLOOKUP(D8,PRODUCTOS!A3:M755,13,0)</f>
        <v>2</v>
      </c>
      <c r="L8" s="54">
        <v>5050</v>
      </c>
      <c r="M8" s="54">
        <f>VLOOKUP(D8,PRODUCTOS!A3:L755,12,0)</f>
        <v>200</v>
      </c>
      <c r="N8" s="54">
        <f t="shared" si="6"/>
        <v>5050</v>
      </c>
      <c r="O8" s="54"/>
      <c r="P8" s="55">
        <f t="shared" si="4"/>
        <v>0</v>
      </c>
      <c r="Q8" s="110" t="str">
        <f>IF(K8=1,VLOOKUP(H8,MAQUINAS!$C$2:$E$62,3,0),Q7)</f>
        <v>A</v>
      </c>
      <c r="R8" s="110" t="str">
        <f t="shared" si="5"/>
        <v>A22</v>
      </c>
    </row>
    <row r="9" spans="1:18" x14ac:dyDescent="0.25">
      <c r="A9" s="63">
        <v>8</v>
      </c>
      <c r="B9" s="97"/>
      <c r="C9" s="44" t="str">
        <f t="shared" si="0"/>
        <v>36542PRENSA EX - 15</v>
      </c>
      <c r="D9" s="44" t="str">
        <f t="shared" si="1"/>
        <v>Perno Ojo 5/8x9x5HREBABA INT</v>
      </c>
      <c r="E9" s="85">
        <f t="shared" si="2"/>
        <v>23</v>
      </c>
      <c r="F9" s="54">
        <v>36542</v>
      </c>
      <c r="G9" s="54" t="s">
        <v>1094</v>
      </c>
      <c r="H9" s="55" t="str">
        <f>IF(O9&gt;1,O9,VLOOKUP(D9,PRODUCTOS!A28:L776,10,0))</f>
        <v>PRENSA EX - 15</v>
      </c>
      <c r="I9" s="54" t="str">
        <f t="shared" si="3"/>
        <v>REBABA INTPRENSA EX - 15</v>
      </c>
      <c r="J9" s="54" t="s">
        <v>1599</v>
      </c>
      <c r="K9" s="54">
        <f>VLOOKUP(D9,PRODUCTOS!A4:M756,13,0)</f>
        <v>3</v>
      </c>
      <c r="L9" s="54">
        <v>5050</v>
      </c>
      <c r="M9" s="54">
        <f>VLOOKUP(D9,PRODUCTOS!A4:L756,12,0)</f>
        <v>200</v>
      </c>
      <c r="N9" s="54">
        <f t="shared" si="6"/>
        <v>5050</v>
      </c>
      <c r="O9" s="54"/>
      <c r="P9" s="55">
        <f t="shared" si="4"/>
        <v>0</v>
      </c>
      <c r="Q9" s="110" t="str">
        <f>IF(K9=1,VLOOKUP(H9,MAQUINAS!$C$2:$E$62,3,0),Q8)</f>
        <v>A</v>
      </c>
      <c r="R9" s="110" t="str">
        <f t="shared" si="5"/>
        <v>A23</v>
      </c>
    </row>
    <row r="10" spans="1:18" x14ac:dyDescent="0.25">
      <c r="A10" s="63">
        <v>9</v>
      </c>
      <c r="B10" s="97"/>
      <c r="C10" s="44" t="str">
        <f t="shared" si="0"/>
        <v>36542PRENSA EX - 14</v>
      </c>
      <c r="D10" s="44" t="str">
        <f t="shared" si="1"/>
        <v>Perno Ojo 5/8x9x5HENDEREZAR</v>
      </c>
      <c r="E10" s="85">
        <f t="shared" si="2"/>
        <v>24</v>
      </c>
      <c r="F10" s="54">
        <v>36542</v>
      </c>
      <c r="G10" s="54" t="s">
        <v>1094</v>
      </c>
      <c r="H10" s="55" t="str">
        <f>IF(O10&gt;1,O10,VLOOKUP(D10,PRODUCTOS!A29:L777,10,0))</f>
        <v>PRENSA EX - 14</v>
      </c>
      <c r="I10" s="54" t="str">
        <f t="shared" si="3"/>
        <v>ENDEREZARPRENSA EX - 14</v>
      </c>
      <c r="J10" s="54" t="s">
        <v>1608</v>
      </c>
      <c r="K10" s="54">
        <f>VLOOKUP(D10,PRODUCTOS!A5:M757,13,0)</f>
        <v>4</v>
      </c>
      <c r="L10" s="54">
        <v>5050</v>
      </c>
      <c r="M10" s="54">
        <f>VLOOKUP(D10,PRODUCTOS!A5:L757,12,0)</f>
        <v>200</v>
      </c>
      <c r="N10" s="54">
        <f t="shared" si="6"/>
        <v>5050</v>
      </c>
      <c r="O10" s="54"/>
      <c r="P10" s="55">
        <f t="shared" si="4"/>
        <v>0</v>
      </c>
      <c r="Q10" s="110" t="str">
        <f>IF(K10=1,VLOOKUP(H10,MAQUINAS!$C$2:$E$62,3,0),Q9)</f>
        <v>A</v>
      </c>
      <c r="R10" s="110" t="str">
        <f t="shared" si="5"/>
        <v>A24</v>
      </c>
    </row>
    <row r="11" spans="1:18" x14ac:dyDescent="0.25">
      <c r="A11" s="63">
        <v>10</v>
      </c>
      <c r="B11" s="97"/>
      <c r="C11" s="44" t="str">
        <f t="shared" si="0"/>
        <v>36542PUNT PER</v>
      </c>
      <c r="D11" s="44" t="str">
        <f t="shared" si="1"/>
        <v>Perno Ojo 5/8x9x5HPUNTEAR</v>
      </c>
      <c r="E11" s="85">
        <f t="shared" si="2"/>
        <v>25</v>
      </c>
      <c r="F11" s="54">
        <v>36542</v>
      </c>
      <c r="G11" s="54" t="s">
        <v>1094</v>
      </c>
      <c r="H11" s="55" t="str">
        <f>IF(O11&gt;1,O11,VLOOKUP(D11,PRODUCTOS!A30:L778,10,0))</f>
        <v>PUNT PER</v>
      </c>
      <c r="I11" s="54" t="str">
        <f t="shared" si="3"/>
        <v>PUNTEARPUNT PER</v>
      </c>
      <c r="J11" s="54" t="s">
        <v>1603</v>
      </c>
      <c r="K11" s="54">
        <f>VLOOKUP(D11,PRODUCTOS!A6:M758,13,0)</f>
        <v>5</v>
      </c>
      <c r="L11" s="54">
        <v>5050</v>
      </c>
      <c r="M11" s="54">
        <f>VLOOKUP(D11,PRODUCTOS!A6:L758,12,0)</f>
        <v>75</v>
      </c>
      <c r="N11" s="54">
        <f t="shared" si="6"/>
        <v>5050</v>
      </c>
      <c r="O11" s="54"/>
      <c r="P11" s="55">
        <f t="shared" si="4"/>
        <v>0</v>
      </c>
      <c r="Q11" s="110" t="str">
        <f>IF(K11=1,VLOOKUP(H11,MAQUINAS!$C$2:$E$62,3,0),Q10)</f>
        <v>A</v>
      </c>
      <c r="R11" s="110" t="str">
        <f t="shared" si="5"/>
        <v>A25</v>
      </c>
    </row>
    <row r="12" spans="1:18" x14ac:dyDescent="0.25">
      <c r="A12" s="63">
        <v>11</v>
      </c>
      <c r="B12" s="97"/>
      <c r="C12" s="44" t="str">
        <f t="shared" si="0"/>
        <v>36542TERR PER - 03</v>
      </c>
      <c r="D12" s="44" t="str">
        <f t="shared" si="1"/>
        <v>Perno Ojo 5/8x9x5HTERRAJAR</v>
      </c>
      <c r="E12" s="85">
        <f t="shared" si="2"/>
        <v>26</v>
      </c>
      <c r="F12" s="54">
        <v>36542</v>
      </c>
      <c r="G12" s="54" t="s">
        <v>1094</v>
      </c>
      <c r="H12" s="55" t="str">
        <f>IF(O12&gt;1,O12,VLOOKUP(D12,PRODUCTOS!A31:L779,10,0))</f>
        <v>TERR PER - 03</v>
      </c>
      <c r="I12" s="54" t="str">
        <f t="shared" si="3"/>
        <v>TERRAJARTERR PER - 03</v>
      </c>
      <c r="J12" s="54" t="s">
        <v>1601</v>
      </c>
      <c r="K12" s="54">
        <f>VLOOKUP(D12,PRODUCTOS!A7:M759,13,0)</f>
        <v>6</v>
      </c>
      <c r="L12" s="54">
        <v>5050</v>
      </c>
      <c r="M12" s="54">
        <f>VLOOKUP(D12,PRODUCTOS!A7:L759,12,0)</f>
        <v>60</v>
      </c>
      <c r="N12" s="54">
        <f t="shared" si="6"/>
        <v>5050</v>
      </c>
      <c r="O12" s="54"/>
      <c r="P12" s="55" t="str">
        <f t="shared" si="4"/>
        <v>T</v>
      </c>
      <c r="Q12" s="110" t="str">
        <f>IF(K12=1,VLOOKUP(H12,MAQUINAS!$C$2:$E$62,3,0),Q11)</f>
        <v>A</v>
      </c>
      <c r="R12" s="110" t="str">
        <f t="shared" si="5"/>
        <v>A26</v>
      </c>
    </row>
    <row r="13" spans="1:18" x14ac:dyDescent="0.25">
      <c r="A13" s="63">
        <v>12</v>
      </c>
      <c r="B13" s="97">
        <v>3</v>
      </c>
      <c r="C13" s="44" t="str">
        <f t="shared" si="0"/>
        <v>38562PRENSA FR - 01</v>
      </c>
      <c r="D13" s="44" t="str">
        <f t="shared" si="1"/>
        <v>Perno Ojo 5/8x9x5HESTAMPAR</v>
      </c>
      <c r="E13" s="85" t="str">
        <f t="shared" si="2"/>
        <v>31</v>
      </c>
      <c r="F13" s="54">
        <v>38562</v>
      </c>
      <c r="G13" s="54" t="s">
        <v>1094</v>
      </c>
      <c r="H13" s="55" t="str">
        <f>IF(O13&gt;1,O13,VLOOKUP(D13,PRODUCTOS!A11:L759,10,0))</f>
        <v>PRENSA FR - 01</v>
      </c>
      <c r="I13" s="54" t="str">
        <f t="shared" si="3"/>
        <v>ESTAMPARPRENSA FR - 01</v>
      </c>
      <c r="J13" s="54" t="s">
        <v>1597</v>
      </c>
      <c r="K13" s="54">
        <f>VLOOKUP(D13,PRODUCTOS!A8:M760,13,0)</f>
        <v>1</v>
      </c>
      <c r="L13" s="54">
        <v>4200</v>
      </c>
      <c r="M13" s="54">
        <f>VLOOKUP(D13,PRODUCTOS!A8:L760,12,0)</f>
        <v>43</v>
      </c>
      <c r="N13" s="54">
        <f t="shared" si="6"/>
        <v>4200</v>
      </c>
      <c r="O13" s="54"/>
      <c r="P13" s="55">
        <f t="shared" si="4"/>
        <v>0</v>
      </c>
      <c r="Q13" s="110" t="str">
        <f>IF(K13=1,VLOOKUP(H13,MAQUINAS!$C$2:$E$62,3,0),Q12)</f>
        <v>A</v>
      </c>
      <c r="R13" s="110" t="str">
        <f t="shared" si="5"/>
        <v>A31</v>
      </c>
    </row>
    <row r="14" spans="1:18" x14ac:dyDescent="0.25">
      <c r="A14" s="63">
        <v>13</v>
      </c>
      <c r="B14" s="97"/>
      <c r="C14" s="44" t="str">
        <f t="shared" si="0"/>
        <v>38562PRENSA EX - 15</v>
      </c>
      <c r="D14" s="44" t="str">
        <f t="shared" si="1"/>
        <v>Perno Ojo 5/8x9x5HREBABA EXT</v>
      </c>
      <c r="E14" s="85">
        <f t="shared" si="2"/>
        <v>32</v>
      </c>
      <c r="F14" s="54">
        <v>38562</v>
      </c>
      <c r="G14" s="54" t="s">
        <v>1094</v>
      </c>
      <c r="H14" s="55" t="str">
        <f>IF(O14&gt;1,O14,VLOOKUP(D14,PRODUCTOS!A12:L760,10,0))</f>
        <v>PRENSA EX - 15</v>
      </c>
      <c r="I14" s="54" t="str">
        <f t="shared" si="3"/>
        <v>REBABA EXTPRENSA EX - 15</v>
      </c>
      <c r="J14" s="54" t="s">
        <v>1600</v>
      </c>
      <c r="K14" s="54">
        <f>VLOOKUP(D14,PRODUCTOS!A9:M761,13,0)</f>
        <v>2</v>
      </c>
      <c r="L14" s="54">
        <v>4200</v>
      </c>
      <c r="M14" s="54">
        <f>VLOOKUP(D14,PRODUCTOS!A9:L761,12,0)</f>
        <v>200</v>
      </c>
      <c r="N14" s="54">
        <f t="shared" si="6"/>
        <v>4200</v>
      </c>
      <c r="O14" s="54"/>
      <c r="P14" s="55">
        <f t="shared" si="4"/>
        <v>0</v>
      </c>
      <c r="Q14" s="110" t="str">
        <f>IF(K14=1,VLOOKUP(H14,MAQUINAS!$C$2:$E$62,3,0),Q13)</f>
        <v>A</v>
      </c>
      <c r="R14" s="110" t="str">
        <f t="shared" si="5"/>
        <v>A32</v>
      </c>
    </row>
    <row r="15" spans="1:18" x14ac:dyDescent="0.25">
      <c r="A15" s="63">
        <v>14</v>
      </c>
      <c r="B15" s="97"/>
      <c r="C15" s="44" t="str">
        <f t="shared" si="0"/>
        <v>38562PRENSA EX - 15</v>
      </c>
      <c r="D15" s="44" t="str">
        <f t="shared" si="1"/>
        <v>Perno Ojo 5/8x9x5HREBABA INT</v>
      </c>
      <c r="E15" s="85">
        <f t="shared" si="2"/>
        <v>33</v>
      </c>
      <c r="F15" s="54">
        <v>38562</v>
      </c>
      <c r="G15" s="54" t="s">
        <v>1094</v>
      </c>
      <c r="H15" s="55" t="str">
        <f>IF(O15&gt;1,O15,VLOOKUP(D15,PRODUCTOS!A13:L761,10,0))</f>
        <v>PRENSA EX - 15</v>
      </c>
      <c r="I15" s="54" t="str">
        <f t="shared" si="3"/>
        <v>REBABA INTPRENSA EX - 15</v>
      </c>
      <c r="J15" s="54" t="s">
        <v>1599</v>
      </c>
      <c r="K15" s="54">
        <f>VLOOKUP(D15,PRODUCTOS!A10:M762,13,0)</f>
        <v>3</v>
      </c>
      <c r="L15" s="54">
        <v>4200</v>
      </c>
      <c r="M15" s="54">
        <f>VLOOKUP(D15,PRODUCTOS!A10:L762,12,0)</f>
        <v>200</v>
      </c>
      <c r="N15" s="54">
        <f t="shared" si="6"/>
        <v>4200</v>
      </c>
      <c r="O15" s="54"/>
      <c r="P15" s="55">
        <f t="shared" si="4"/>
        <v>0</v>
      </c>
      <c r="Q15" s="110" t="str">
        <f>IF(K15=1,VLOOKUP(H15,MAQUINAS!$C$2:$E$62,3,0),Q14)</f>
        <v>A</v>
      </c>
      <c r="R15" s="110" t="str">
        <f t="shared" si="5"/>
        <v>A33</v>
      </c>
    </row>
    <row r="16" spans="1:18" x14ac:dyDescent="0.25">
      <c r="A16" s="63">
        <v>15</v>
      </c>
      <c r="B16" s="97"/>
      <c r="C16" s="44" t="str">
        <f t="shared" si="0"/>
        <v>38562PRENSA EX - 14</v>
      </c>
      <c r="D16" s="44" t="str">
        <f t="shared" si="1"/>
        <v>Perno Ojo 5/8x9x5HENDEREZAR</v>
      </c>
      <c r="E16" s="85">
        <f t="shared" si="2"/>
        <v>34</v>
      </c>
      <c r="F16" s="54">
        <v>38562</v>
      </c>
      <c r="G16" s="54" t="s">
        <v>1094</v>
      </c>
      <c r="H16" s="55" t="str">
        <f>IF(O16&gt;1,O16,VLOOKUP(D16,PRODUCTOS!A14:L762,10,0))</f>
        <v>PRENSA EX - 14</v>
      </c>
      <c r="I16" s="54" t="str">
        <f t="shared" si="3"/>
        <v>ENDEREZARPRENSA EX - 14</v>
      </c>
      <c r="J16" s="54" t="s">
        <v>1608</v>
      </c>
      <c r="K16" s="54">
        <f>VLOOKUP(D16,PRODUCTOS!A11:M763,13,0)</f>
        <v>4</v>
      </c>
      <c r="L16" s="54">
        <v>4200</v>
      </c>
      <c r="M16" s="54">
        <f>VLOOKUP(D16,PRODUCTOS!A11:L763,12,0)</f>
        <v>200</v>
      </c>
      <c r="N16" s="54">
        <f t="shared" si="6"/>
        <v>4200</v>
      </c>
      <c r="O16" s="54"/>
      <c r="P16" s="55">
        <f t="shared" si="4"/>
        <v>0</v>
      </c>
      <c r="Q16" s="110" t="str">
        <f>IF(K16=1,VLOOKUP(H16,MAQUINAS!$C$2:$E$62,3,0),Q15)</f>
        <v>A</v>
      </c>
      <c r="R16" s="110" t="str">
        <f t="shared" si="5"/>
        <v>A34</v>
      </c>
    </row>
    <row r="17" spans="1:18" x14ac:dyDescent="0.25">
      <c r="A17" s="63">
        <v>16</v>
      </c>
      <c r="B17" s="97"/>
      <c r="C17" s="44" t="str">
        <f t="shared" si="0"/>
        <v>38562PUNT PER</v>
      </c>
      <c r="D17" s="44" t="str">
        <f t="shared" si="1"/>
        <v>Perno Ojo 5/8x9x5HPUNTEAR</v>
      </c>
      <c r="E17" s="85">
        <f t="shared" si="2"/>
        <v>35</v>
      </c>
      <c r="F17" s="54">
        <v>38562</v>
      </c>
      <c r="G17" s="54" t="s">
        <v>1094</v>
      </c>
      <c r="H17" s="55" t="str">
        <f>IF(O17&gt;1,O17,VLOOKUP(D17,PRODUCTOS!A15:L763,10,0))</f>
        <v>PUNT PER</v>
      </c>
      <c r="I17" s="54" t="str">
        <f t="shared" si="3"/>
        <v>PUNTEARPUNT PER</v>
      </c>
      <c r="J17" s="54" t="s">
        <v>1603</v>
      </c>
      <c r="K17" s="54">
        <f>VLOOKUP(D17,PRODUCTOS!A12:M764,13,0)</f>
        <v>5</v>
      </c>
      <c r="L17" s="54">
        <v>4200</v>
      </c>
      <c r="M17" s="54">
        <f>VLOOKUP(D17,PRODUCTOS!A12:L764,12,0)</f>
        <v>75</v>
      </c>
      <c r="N17" s="54">
        <f t="shared" si="6"/>
        <v>4200</v>
      </c>
      <c r="O17" s="54"/>
      <c r="P17" s="55">
        <f t="shared" si="4"/>
        <v>0</v>
      </c>
      <c r="Q17" s="110" t="str">
        <f>IF(K17=1,VLOOKUP(H17,MAQUINAS!$C$2:$E$62,3,0),Q16)</f>
        <v>A</v>
      </c>
      <c r="R17" s="110" t="str">
        <f t="shared" si="5"/>
        <v>A35</v>
      </c>
    </row>
    <row r="18" spans="1:18" x14ac:dyDescent="0.25">
      <c r="A18" s="63">
        <v>17</v>
      </c>
      <c r="B18" s="97"/>
      <c r="C18" s="44" t="str">
        <f t="shared" si="0"/>
        <v>38562TERR PER - 03</v>
      </c>
      <c r="D18" s="44" t="str">
        <f t="shared" si="1"/>
        <v>Perno Ojo 5/8x9x5HTERRAJAR</v>
      </c>
      <c r="E18" s="85">
        <f t="shared" si="2"/>
        <v>36</v>
      </c>
      <c r="F18" s="54">
        <v>38562</v>
      </c>
      <c r="G18" s="54" t="s">
        <v>1094</v>
      </c>
      <c r="H18" s="55" t="str">
        <f>IF(O18&gt;1,O18,VLOOKUP(D18,PRODUCTOS!A16:L764,10,0))</f>
        <v>TERR PER - 03</v>
      </c>
      <c r="I18" s="54" t="str">
        <f t="shared" si="3"/>
        <v>TERRAJARTERR PER - 03</v>
      </c>
      <c r="J18" s="54" t="s">
        <v>1601</v>
      </c>
      <c r="K18" s="54">
        <f>VLOOKUP(D18,PRODUCTOS!A13:M765,13,0)</f>
        <v>6</v>
      </c>
      <c r="L18" s="54">
        <v>4200</v>
      </c>
      <c r="M18" s="54">
        <f>VLOOKUP(D18,PRODUCTOS!A13:L765,12,0)</f>
        <v>60</v>
      </c>
      <c r="N18" s="54">
        <f t="shared" si="6"/>
        <v>4200</v>
      </c>
      <c r="O18" s="54"/>
      <c r="P18" s="55" t="str">
        <f t="shared" si="4"/>
        <v>T</v>
      </c>
      <c r="Q18" s="110" t="str">
        <f>IF(K18=1,VLOOKUP(H18,MAQUINAS!$C$2:$E$62,3,0),Q17)</f>
        <v>A</v>
      </c>
      <c r="R18" s="110" t="str">
        <f t="shared" si="5"/>
        <v>A36</v>
      </c>
    </row>
    <row r="19" spans="1:18" x14ac:dyDescent="0.25">
      <c r="A19" s="63">
        <v>18</v>
      </c>
      <c r="B19" s="97">
        <v>1</v>
      </c>
      <c r="C19" s="44" t="str">
        <f t="shared" si="0"/>
        <v>39148PRENSA FR - 04</v>
      </c>
      <c r="D19" s="44" t="str">
        <f t="shared" si="1"/>
        <v>Grillete 12mm, ojo chico1° GOLPE</v>
      </c>
      <c r="E19" s="85" t="str">
        <f t="shared" si="2"/>
        <v>11</v>
      </c>
      <c r="F19" s="54">
        <v>39148</v>
      </c>
      <c r="G19" s="54" t="s">
        <v>666</v>
      </c>
      <c r="H19" s="55" t="str">
        <f>IF(O19&gt;1,O19,VLOOKUP(D19,PRODUCTOS!A46:L790,10,0))</f>
        <v>PRENSA FR - 04</v>
      </c>
      <c r="I19" s="54" t="str">
        <f t="shared" si="3"/>
        <v>1° GOLPEPRENSA FR - 04</v>
      </c>
      <c r="J19" s="54" t="s">
        <v>1670</v>
      </c>
      <c r="K19" s="54">
        <f>VLOOKUP(D19,PRODUCTOS!A33:M785,13,0)</f>
        <v>1</v>
      </c>
      <c r="L19" s="54">
        <v>8000</v>
      </c>
      <c r="M19" s="54">
        <f>VLOOKUP(D19,PRODUCTOS!A33:L781,12,0)</f>
        <v>171</v>
      </c>
      <c r="N19" s="54">
        <f t="shared" si="6"/>
        <v>8000</v>
      </c>
      <c r="O19" s="54"/>
      <c r="P19" s="55">
        <f t="shared" si="4"/>
        <v>0</v>
      </c>
      <c r="Q19" s="110" t="str">
        <f>IF(K19=1,VLOOKUP(H19,MAQUINAS!$C$2:$E$62,3,0),Q18)</f>
        <v>D</v>
      </c>
      <c r="R19" s="110" t="str">
        <f t="shared" si="5"/>
        <v>D11</v>
      </c>
    </row>
    <row r="20" spans="1:18" x14ac:dyDescent="0.25">
      <c r="A20" s="63">
        <v>19</v>
      </c>
      <c r="B20" s="97"/>
      <c r="C20" s="44" t="str">
        <f t="shared" si="0"/>
        <v>39148PRENSA FR - 04</v>
      </c>
      <c r="D20" s="44" t="str">
        <f t="shared" si="1"/>
        <v>Grillete 12mm, ojo chico2° GOLPE</v>
      </c>
      <c r="E20" s="85">
        <f t="shared" si="2"/>
        <v>12</v>
      </c>
      <c r="F20" s="54">
        <v>39148</v>
      </c>
      <c r="G20" s="54" t="s">
        <v>666</v>
      </c>
      <c r="H20" s="55" t="str">
        <f>IF(O20&gt;1,O20,VLOOKUP(D20,PRODUCTOS!A47:L791,10,0))</f>
        <v>PRENSA FR - 04</v>
      </c>
      <c r="I20" s="54" t="str">
        <f t="shared" si="3"/>
        <v>2° GOLPEPRENSA FR - 04</v>
      </c>
      <c r="J20" s="54" t="s">
        <v>1671</v>
      </c>
      <c r="K20" s="54">
        <f>VLOOKUP(D20,PRODUCTOS!A34:M786,13,0)</f>
        <v>2</v>
      </c>
      <c r="L20" s="54">
        <v>8000</v>
      </c>
      <c r="M20" s="54">
        <f>VLOOKUP(D20,PRODUCTOS!A34:L782,12,0)</f>
        <v>200</v>
      </c>
      <c r="N20" s="54">
        <f t="shared" si="6"/>
        <v>8000</v>
      </c>
      <c r="O20" s="54"/>
      <c r="P20" s="55">
        <f t="shared" si="4"/>
        <v>0</v>
      </c>
      <c r="Q20" s="110" t="str">
        <f>IF(K20=1,VLOOKUP(H20,MAQUINAS!$C$2:$E$62,3,0),Q19)</f>
        <v>D</v>
      </c>
      <c r="R20" s="110" t="str">
        <f t="shared" si="5"/>
        <v>D12</v>
      </c>
    </row>
    <row r="21" spans="1:18" x14ac:dyDescent="0.25">
      <c r="A21" s="63">
        <v>20</v>
      </c>
      <c r="B21" s="97"/>
      <c r="C21" s="44" t="str">
        <f t="shared" si="0"/>
        <v>39148FAMAE - 02</v>
      </c>
      <c r="D21" s="44" t="str">
        <f t="shared" si="1"/>
        <v>Grillete 12mm, ojo chicoREBABAR</v>
      </c>
      <c r="E21" s="85">
        <f t="shared" si="2"/>
        <v>13</v>
      </c>
      <c r="F21" s="54">
        <v>39148</v>
      </c>
      <c r="G21" s="54" t="s">
        <v>666</v>
      </c>
      <c r="H21" s="55" t="str">
        <f>IF(O21&gt;1,O21,VLOOKUP(D21,PRODUCTOS!A48:L792,10,0))</f>
        <v>FAMAE - 02</v>
      </c>
      <c r="I21" s="54" t="str">
        <f t="shared" si="3"/>
        <v>REBABARFAMAE - 02</v>
      </c>
      <c r="J21" s="54" t="s">
        <v>1602</v>
      </c>
      <c r="K21" s="54">
        <f>VLOOKUP(D21,PRODUCTOS!A35:M787,13,0)</f>
        <v>3</v>
      </c>
      <c r="L21" s="54">
        <v>8000</v>
      </c>
      <c r="M21" s="54">
        <f>VLOOKUP(D21,PRODUCTOS!A35:L783,12,0)</f>
        <v>240</v>
      </c>
      <c r="N21" s="54">
        <f t="shared" si="6"/>
        <v>8000</v>
      </c>
      <c r="O21" s="54"/>
      <c r="P21" s="55">
        <f t="shared" si="4"/>
        <v>0</v>
      </c>
      <c r="Q21" s="110" t="str">
        <f>IF(K21=1,VLOOKUP(H21,MAQUINAS!$C$2:$E$62,3,0),Q20)</f>
        <v>D</v>
      </c>
      <c r="R21" s="110" t="str">
        <f t="shared" si="5"/>
        <v>D13</v>
      </c>
    </row>
    <row r="22" spans="1:18" x14ac:dyDescent="0.25">
      <c r="A22" s="63">
        <v>21</v>
      </c>
      <c r="B22" s="97"/>
      <c r="C22" s="44" t="str">
        <f t="shared" si="0"/>
        <v>39148PRENSA EX - 16</v>
      </c>
      <c r="D22" s="44" t="str">
        <f t="shared" si="1"/>
        <v xml:space="preserve">Grillete 12mm, ojo chicoPERFORAR </v>
      </c>
      <c r="E22" s="85">
        <f t="shared" si="2"/>
        <v>14</v>
      </c>
      <c r="F22" s="54">
        <v>39148</v>
      </c>
      <c r="G22" s="54" t="s">
        <v>666</v>
      </c>
      <c r="H22" s="55" t="str">
        <f>IF(O22&gt;1,O22,VLOOKUP(D22,PRODUCTOS!A49:L793,10,0))</f>
        <v>PRENSA EX - 16</v>
      </c>
      <c r="I22" s="54" t="str">
        <f t="shared" si="3"/>
        <v>PERFORAR PRENSA EX - 16</v>
      </c>
      <c r="J22" s="54" t="s">
        <v>1672</v>
      </c>
      <c r="K22" s="54">
        <f>VLOOKUP(D22,PRODUCTOS!A36:M788,13,0)</f>
        <v>4</v>
      </c>
      <c r="L22" s="54">
        <v>8000</v>
      </c>
      <c r="M22" s="54">
        <f>VLOOKUP(D22,PRODUCTOS!A36:L784,12,0)</f>
        <v>225</v>
      </c>
      <c r="N22" s="54">
        <f t="shared" si="6"/>
        <v>8000</v>
      </c>
      <c r="O22" s="54"/>
      <c r="P22" s="55">
        <f t="shared" si="4"/>
        <v>0</v>
      </c>
      <c r="Q22" s="110" t="str">
        <f>IF(K22=1,VLOOKUP(H22,MAQUINAS!$C$2:$E$62,3,0),Q21)</f>
        <v>D</v>
      </c>
      <c r="R22" s="110" t="str">
        <f t="shared" si="5"/>
        <v>D14</v>
      </c>
    </row>
    <row r="23" spans="1:18" x14ac:dyDescent="0.25">
      <c r="A23" s="63">
        <v>22</v>
      </c>
      <c r="B23" s="97"/>
      <c r="C23" s="44" t="str">
        <f t="shared" si="0"/>
        <v>39148PRENSA FR - 05</v>
      </c>
      <c r="D23" s="44" t="str">
        <f t="shared" si="1"/>
        <v>Grillete 12mm, ojo chicoFORJAR</v>
      </c>
      <c r="E23" s="85">
        <f t="shared" si="2"/>
        <v>15</v>
      </c>
      <c r="F23" s="54">
        <v>39148</v>
      </c>
      <c r="G23" s="54" t="s">
        <v>666</v>
      </c>
      <c r="H23" s="55" t="str">
        <f>IF(O23&gt;1,O23,VLOOKUP(D23,PRODUCTOS!A50:L794,10,0))</f>
        <v>PRENSA FR - 05</v>
      </c>
      <c r="I23" s="54" t="str">
        <f t="shared" si="3"/>
        <v>FORJARPRENSA FR - 05</v>
      </c>
      <c r="J23" s="54" t="s">
        <v>1673</v>
      </c>
      <c r="K23" s="54">
        <f>VLOOKUP(D23,PRODUCTOS!A41:M789,13,0)</f>
        <v>5</v>
      </c>
      <c r="L23" s="54">
        <v>8000</v>
      </c>
      <c r="M23" s="54">
        <f>VLOOKUP(D23,PRODUCTOS!A37:L785,12,0)</f>
        <v>175</v>
      </c>
      <c r="N23" s="54">
        <f t="shared" si="6"/>
        <v>8000</v>
      </c>
      <c r="O23" s="54"/>
      <c r="P23" s="55" t="str">
        <f t="shared" si="4"/>
        <v>T</v>
      </c>
      <c r="Q23" s="110" t="str">
        <f>IF(K23=1,VLOOKUP(H23,MAQUINAS!$C$2:$E$62,3,0),Q22)</f>
        <v>D</v>
      </c>
      <c r="R23" s="110" t="str">
        <f t="shared" si="5"/>
        <v>D15</v>
      </c>
    </row>
    <row r="24" spans="1:18" x14ac:dyDescent="0.25">
      <c r="A24" s="63">
        <v>23</v>
      </c>
      <c r="B24" s="97">
        <v>1</v>
      </c>
      <c r="C24" s="44" t="str">
        <f t="shared" si="0"/>
        <v>39250PRENSA FR - 06</v>
      </c>
      <c r="D24" s="44" t="str">
        <f t="shared" si="1"/>
        <v>Espiga 3/4x126x274 caps.1" PoliamidaESTAMPAR</v>
      </c>
      <c r="E24" s="85" t="str">
        <f t="shared" si="2"/>
        <v>11</v>
      </c>
      <c r="F24" s="54">
        <v>39250</v>
      </c>
      <c r="G24" s="54" t="s">
        <v>472</v>
      </c>
      <c r="H24" s="55" t="str">
        <f>IF(O24&gt;1,O24,VLOOKUP(D24,PRODUCTOS!A36:L784,10,0))</f>
        <v>PRENSA FR - 06</v>
      </c>
      <c r="I24" s="54" t="str">
        <f t="shared" si="3"/>
        <v>ESTAMPARPRENSA FR - 06</v>
      </c>
      <c r="J24" s="54" t="s">
        <v>1597</v>
      </c>
      <c r="K24" s="54">
        <f>VLOOKUP(D24,PRODUCTOS!A27:M779,13,0)</f>
        <v>1</v>
      </c>
      <c r="L24" s="54">
        <v>7500</v>
      </c>
      <c r="M24" s="54">
        <f>VLOOKUP(D24,PRODUCTOS!A38:L786,12,0)</f>
        <v>96</v>
      </c>
      <c r="N24" s="54">
        <f t="shared" si="6"/>
        <v>7500</v>
      </c>
      <c r="O24" s="54"/>
      <c r="P24" s="55">
        <f t="shared" si="4"/>
        <v>0</v>
      </c>
      <c r="Q24" s="110" t="str">
        <f>IF(K24=1,VLOOKUP(H24,MAQUINAS!$C$2:$E$62,3,0),Q23)</f>
        <v>F</v>
      </c>
      <c r="R24" s="110" t="str">
        <f t="shared" si="5"/>
        <v>F11</v>
      </c>
    </row>
    <row r="25" spans="1:18" x14ac:dyDescent="0.25">
      <c r="A25" s="63">
        <v>24</v>
      </c>
      <c r="B25" s="97"/>
      <c r="C25" s="44" t="str">
        <f t="shared" si="0"/>
        <v>39250FAMAE - 02</v>
      </c>
      <c r="D25" s="44" t="str">
        <f t="shared" si="1"/>
        <v>Espiga 3/4x126x274 caps.1" PoliamidaREBABAR</v>
      </c>
      <c r="E25" s="85">
        <f t="shared" si="2"/>
        <v>12</v>
      </c>
      <c r="F25" s="54">
        <v>39250</v>
      </c>
      <c r="G25" s="54" t="s">
        <v>472</v>
      </c>
      <c r="H25" s="55" t="str">
        <f>IF(O25&gt;1,O25,VLOOKUP(D25,PRODUCTOS!A41:L785,10,0))</f>
        <v>FAMAE - 02</v>
      </c>
      <c r="I25" s="54" t="str">
        <f t="shared" si="3"/>
        <v>REBABARFAMAE - 02</v>
      </c>
      <c r="J25" s="54" t="s">
        <v>1602</v>
      </c>
      <c r="K25" s="54">
        <f>VLOOKUP(D25,PRODUCTOS!A28:M780,13,0)</f>
        <v>2</v>
      </c>
      <c r="L25" s="54">
        <v>7500</v>
      </c>
      <c r="M25" s="54">
        <f>VLOOKUP(D25,PRODUCTOS!A39:L787,12,0)</f>
        <v>250</v>
      </c>
      <c r="N25" s="54">
        <f t="shared" si="6"/>
        <v>7500</v>
      </c>
      <c r="O25" s="54"/>
      <c r="P25" s="55">
        <f t="shared" si="4"/>
        <v>0</v>
      </c>
      <c r="Q25" s="110" t="str">
        <f>IF(K25=1,VLOOKUP(H25,MAQUINAS!$C$2:$E$62,3,0),Q24)</f>
        <v>F</v>
      </c>
      <c r="R25" s="110" t="str">
        <f t="shared" si="5"/>
        <v>F12</v>
      </c>
    </row>
    <row r="26" spans="1:18" x14ac:dyDescent="0.25">
      <c r="A26" s="63">
        <v>25</v>
      </c>
      <c r="B26" s="97"/>
      <c r="C26" s="44" t="str">
        <f t="shared" si="0"/>
        <v>39250PUNT 2 CAB</v>
      </c>
      <c r="D26" s="44" t="str">
        <f t="shared" si="1"/>
        <v>Espiga 3/4x126x274 caps.1" PoliamidaREBAJAR</v>
      </c>
      <c r="E26" s="85">
        <f t="shared" si="2"/>
        <v>13</v>
      </c>
      <c r="F26" s="54">
        <v>39250</v>
      </c>
      <c r="G26" s="54" t="s">
        <v>472</v>
      </c>
      <c r="H26" s="55" t="str">
        <f>IF(O26&gt;1,O26,VLOOKUP(D26,PRODUCTOS!A42:L786,10,0))</f>
        <v>PUNT 2 CAB</v>
      </c>
      <c r="I26" s="54" t="str">
        <f t="shared" si="3"/>
        <v>REBAJARPUNT 2 CAB</v>
      </c>
      <c r="J26" s="54" t="s">
        <v>1667</v>
      </c>
      <c r="K26" s="54">
        <f>VLOOKUP(D26,PRODUCTOS!A29:M781,13,0)</f>
        <v>3</v>
      </c>
      <c r="L26" s="54">
        <v>7500</v>
      </c>
      <c r="M26" s="54">
        <f>VLOOKUP(D26,PRODUCTOS!A40:L788,12,0)</f>
        <v>150</v>
      </c>
      <c r="N26" s="54">
        <f t="shared" si="6"/>
        <v>7500</v>
      </c>
      <c r="O26" s="54"/>
      <c r="P26" s="55">
        <f t="shared" si="4"/>
        <v>0</v>
      </c>
      <c r="Q26" s="110" t="str">
        <f>IF(K26=1,VLOOKUP(H26,MAQUINAS!$C$2:$E$62,3,0),Q25)</f>
        <v>F</v>
      </c>
      <c r="R26" s="110" t="str">
        <f t="shared" si="5"/>
        <v>F13</v>
      </c>
    </row>
    <row r="27" spans="1:18" x14ac:dyDescent="0.25">
      <c r="A27" s="63">
        <v>26</v>
      </c>
      <c r="B27" s="97"/>
      <c r="C27" s="44" t="str">
        <f t="shared" si="0"/>
        <v>39250PRENSA FR - 11</v>
      </c>
      <c r="D27" s="44" t="str">
        <f t="shared" si="1"/>
        <v>Espiga 3/4x126x274 caps.1" PoliamidaESTRIAR</v>
      </c>
      <c r="E27" s="85">
        <f t="shared" si="2"/>
        <v>14</v>
      </c>
      <c r="F27" s="54">
        <v>39250</v>
      </c>
      <c r="G27" s="54" t="s">
        <v>472</v>
      </c>
      <c r="H27" s="55" t="str">
        <f>IF(O27&gt;1,O27,VLOOKUP(D27,PRODUCTOS!A43:L787,10,0))</f>
        <v>PRENSA FR - 11</v>
      </c>
      <c r="I27" s="54" t="str">
        <f t="shared" si="3"/>
        <v>ESTRIARPRENSA FR - 11</v>
      </c>
      <c r="J27" s="54" t="s">
        <v>1668</v>
      </c>
      <c r="K27" s="54">
        <f>VLOOKUP(D27,PRODUCTOS!A30:M782,13,0)</f>
        <v>4</v>
      </c>
      <c r="L27" s="54">
        <v>7500</v>
      </c>
      <c r="M27" s="54">
        <f>VLOOKUP(D27,PRODUCTOS!A41:L789,12,0)</f>
        <v>230</v>
      </c>
      <c r="N27" s="54">
        <f t="shared" si="6"/>
        <v>7500</v>
      </c>
      <c r="O27" s="54"/>
      <c r="P27" s="55">
        <f t="shared" si="4"/>
        <v>0</v>
      </c>
      <c r="Q27" s="110" t="str">
        <f>IF(K27=1,VLOOKUP(H27,MAQUINAS!$C$2:$E$62,3,0),Q26)</f>
        <v>F</v>
      </c>
      <c r="R27" s="110" t="str">
        <f t="shared" si="5"/>
        <v>F14</v>
      </c>
    </row>
    <row r="28" spans="1:18" x14ac:dyDescent="0.25">
      <c r="A28" s="63">
        <v>27</v>
      </c>
      <c r="B28" s="97"/>
      <c r="C28" s="44" t="str">
        <f t="shared" si="0"/>
        <v>39250PUNT PER</v>
      </c>
      <c r="D28" s="44" t="str">
        <f t="shared" si="1"/>
        <v>Espiga 3/4x126x274 caps.1" PoliamidaPUNTEAR</v>
      </c>
      <c r="E28" s="85">
        <f t="shared" si="2"/>
        <v>15</v>
      </c>
      <c r="F28" s="54">
        <v>39250</v>
      </c>
      <c r="G28" s="54" t="s">
        <v>472</v>
      </c>
      <c r="H28" s="55" t="str">
        <f>IF(O28&gt;1,O28,VLOOKUP(D28,PRODUCTOS!A44:L788,10,0))</f>
        <v>PUNT PER</v>
      </c>
      <c r="I28" s="54" t="str">
        <f t="shared" si="3"/>
        <v>PUNTEARPUNT PER</v>
      </c>
      <c r="J28" s="54" t="s">
        <v>1603</v>
      </c>
      <c r="K28" s="54">
        <f>VLOOKUP(D28,PRODUCTOS!A31:M783,13,0)</f>
        <v>5</v>
      </c>
      <c r="L28" s="54">
        <v>7500</v>
      </c>
      <c r="M28" s="54">
        <f>VLOOKUP(D28,PRODUCTOS!A42:L790,12,0)</f>
        <v>140</v>
      </c>
      <c r="N28" s="54">
        <f t="shared" si="6"/>
        <v>7500</v>
      </c>
      <c r="O28" s="54"/>
      <c r="P28" s="55">
        <f t="shared" si="4"/>
        <v>0</v>
      </c>
      <c r="Q28" s="110" t="str">
        <f>IF(K28=1,VLOOKUP(H28,MAQUINAS!$C$2:$E$62,3,0),Q27)</f>
        <v>F</v>
      </c>
      <c r="R28" s="110" t="str">
        <f t="shared" si="5"/>
        <v>F15</v>
      </c>
    </row>
    <row r="29" spans="1:18" x14ac:dyDescent="0.25">
      <c r="A29" s="63">
        <v>28</v>
      </c>
      <c r="B29" s="97"/>
      <c r="C29" s="44" t="str">
        <f t="shared" si="0"/>
        <v>39250TERR PER - 05</v>
      </c>
      <c r="D29" s="44" t="str">
        <f t="shared" si="1"/>
        <v>Espiga 3/4x126x274 caps.1" PoliamidaTERRAJAR</v>
      </c>
      <c r="E29" s="85">
        <f t="shared" si="2"/>
        <v>16</v>
      </c>
      <c r="F29" s="54">
        <v>39250</v>
      </c>
      <c r="G29" s="54" t="s">
        <v>472</v>
      </c>
      <c r="H29" s="55" t="str">
        <f>IF(O29&gt;1,O29,VLOOKUP(D29,PRODUCTOS!A45:L789,10,0))</f>
        <v>TERR PER - 05</v>
      </c>
      <c r="I29" s="54" t="str">
        <f t="shared" si="3"/>
        <v>TERRAJARTERR PER - 05</v>
      </c>
      <c r="J29" s="54" t="s">
        <v>1601</v>
      </c>
      <c r="K29" s="54">
        <f>VLOOKUP(D29,PRODUCTOS!A32:M784,13,0)</f>
        <v>6</v>
      </c>
      <c r="L29" s="54">
        <v>7500</v>
      </c>
      <c r="M29" s="54">
        <f>VLOOKUP(D29,PRODUCTOS!A43:L791,12,0)</f>
        <v>120</v>
      </c>
      <c r="N29" s="54">
        <f t="shared" si="6"/>
        <v>7500</v>
      </c>
      <c r="O29" s="54"/>
      <c r="P29" s="55" t="str">
        <f t="shared" si="4"/>
        <v>T</v>
      </c>
      <c r="Q29" s="110" t="str">
        <f>IF(K29=1,VLOOKUP(H29,MAQUINAS!$C$2:$E$62,3,0),Q28)</f>
        <v>F</v>
      </c>
      <c r="R29" s="110" t="str">
        <f t="shared" si="5"/>
        <v>F16</v>
      </c>
    </row>
    <row r="30" spans="1:18" x14ac:dyDescent="0.25">
      <c r="A30" s="63">
        <v>29</v>
      </c>
      <c r="B30" s="97">
        <v>1</v>
      </c>
      <c r="C30" s="44" t="str">
        <f t="shared" si="0"/>
        <v>38998PRENSA FR - 10</v>
      </c>
      <c r="D30" s="44" t="str">
        <f t="shared" si="1"/>
        <v>Eslabón Angular Estampado perf.18ESTAMPAR</v>
      </c>
      <c r="E30" s="85" t="str">
        <f t="shared" si="2"/>
        <v>11</v>
      </c>
      <c r="F30" s="54">
        <v>38998</v>
      </c>
      <c r="G30" s="54" t="s">
        <v>436</v>
      </c>
      <c r="H30" s="55" t="str">
        <f>IF(O30&gt;1,O30,VLOOKUP(D30,PRODUCTOS!A21:L769,10,0))</f>
        <v>PRENSA FR - 10</v>
      </c>
      <c r="I30" s="54" t="str">
        <f t="shared" si="3"/>
        <v>ESTAMPARPRENSA FR - 10</v>
      </c>
      <c r="J30" s="54" t="s">
        <v>1597</v>
      </c>
      <c r="K30" s="54">
        <f>VLOOKUP(D30,PRODUCTOS!A18:M770,13,0)</f>
        <v>1</v>
      </c>
      <c r="L30" s="54">
        <v>3050</v>
      </c>
      <c r="M30" s="54">
        <f>VLOOKUP(D30,PRODUCTOS!A44:L792,12,0)</f>
        <v>38</v>
      </c>
      <c r="N30" s="54">
        <f t="shared" si="6"/>
        <v>3050</v>
      </c>
      <c r="O30" s="54"/>
      <c r="P30" s="55">
        <f t="shared" si="4"/>
        <v>0</v>
      </c>
      <c r="Q30" s="110" t="str">
        <f>IF(K30=1,VLOOKUP(H30,MAQUINAS!$C$2:$E$62,3,0),Q29)</f>
        <v>H</v>
      </c>
      <c r="R30" s="110" t="str">
        <f t="shared" si="5"/>
        <v>H11</v>
      </c>
    </row>
    <row r="31" spans="1:18" x14ac:dyDescent="0.25">
      <c r="A31" s="63">
        <v>30</v>
      </c>
      <c r="B31" s="97"/>
      <c r="C31" s="44" t="str">
        <f t="shared" si="0"/>
        <v>38998PRENSA EX - 11</v>
      </c>
      <c r="D31" s="44" t="str">
        <f t="shared" si="1"/>
        <v>Eslabón Angular Estampado perf.18REBABAR</v>
      </c>
      <c r="E31" s="85">
        <f t="shared" si="2"/>
        <v>12</v>
      </c>
      <c r="F31" s="54">
        <v>38998</v>
      </c>
      <c r="G31" s="54" t="s">
        <v>436</v>
      </c>
      <c r="H31" s="55" t="str">
        <f>IF(O31&gt;1,O31,VLOOKUP(D31,PRODUCTOS!A22:L770,10,0))</f>
        <v>PRENSA EX - 11</v>
      </c>
      <c r="I31" s="54" t="str">
        <f t="shared" si="3"/>
        <v>REBABARPRENSA EX - 11</v>
      </c>
      <c r="J31" s="54" t="s">
        <v>1602</v>
      </c>
      <c r="K31" s="54">
        <f>VLOOKUP(D31,PRODUCTOS!A19:M771,13,0)</f>
        <v>2</v>
      </c>
      <c r="L31" s="54">
        <v>3050</v>
      </c>
      <c r="M31" s="54">
        <f>VLOOKUP(D31,PRODUCTOS!A45:L793,12,0)</f>
        <v>170</v>
      </c>
      <c r="N31" s="54">
        <f t="shared" si="6"/>
        <v>3050</v>
      </c>
      <c r="O31" s="54"/>
      <c r="P31" s="55">
        <f t="shared" si="4"/>
        <v>0</v>
      </c>
      <c r="Q31" s="110" t="str">
        <f>IF(K31=1,VLOOKUP(H31,MAQUINAS!$C$2:$E$62,3,0),Q30)</f>
        <v>H</v>
      </c>
      <c r="R31" s="110" t="str">
        <f t="shared" si="5"/>
        <v>H12</v>
      </c>
    </row>
    <row r="32" spans="1:18" x14ac:dyDescent="0.25">
      <c r="A32" s="63">
        <v>31</v>
      </c>
      <c r="B32" s="97"/>
      <c r="C32" s="44" t="str">
        <f t="shared" si="0"/>
        <v>38998PRENSA EX - 15</v>
      </c>
      <c r="D32" s="44" t="str">
        <f t="shared" si="1"/>
        <v>Eslabón Angular Estampado perf.18PERFORAR18</v>
      </c>
      <c r="E32" s="85">
        <f t="shared" si="2"/>
        <v>13</v>
      </c>
      <c r="F32" s="54">
        <v>38998</v>
      </c>
      <c r="G32" s="54" t="s">
        <v>436</v>
      </c>
      <c r="H32" s="55" t="str">
        <f>IF(O32&gt;1,O32,VLOOKUP(D32,PRODUCTOS!A23:L771,10,0))</f>
        <v>PRENSA EX - 15</v>
      </c>
      <c r="I32" s="54" t="str">
        <f t="shared" si="3"/>
        <v>PERFORAR18PRENSA EX - 15</v>
      </c>
      <c r="J32" s="54" t="s">
        <v>1624</v>
      </c>
      <c r="K32" s="54">
        <f>VLOOKUP(D32,PRODUCTOS!A20:M772,13,0)</f>
        <v>3</v>
      </c>
      <c r="L32" s="54">
        <v>3050</v>
      </c>
      <c r="M32" s="54">
        <f>VLOOKUP(D32,PRODUCTOS!A46:L794,12,0)</f>
        <v>160</v>
      </c>
      <c r="N32" s="54">
        <f t="shared" si="6"/>
        <v>3050</v>
      </c>
      <c r="O32" s="54"/>
      <c r="P32" s="55">
        <f t="shared" si="4"/>
        <v>0</v>
      </c>
      <c r="Q32" s="110" t="str">
        <f>IF(K32=1,VLOOKUP(H32,MAQUINAS!$C$2:$E$62,3,0),Q31)</f>
        <v>H</v>
      </c>
      <c r="R32" s="110" t="str">
        <f t="shared" si="5"/>
        <v>H13</v>
      </c>
    </row>
    <row r="33" spans="1:18" x14ac:dyDescent="0.25">
      <c r="A33" s="63">
        <v>32</v>
      </c>
      <c r="B33" s="97"/>
      <c r="C33" s="44" t="str">
        <f t="shared" si="0"/>
        <v>38998PRENSA EX - 15</v>
      </c>
      <c r="D33" s="44" t="str">
        <f t="shared" si="1"/>
        <v>Eslabón Angular Estampado perf.18PERF OVALADA</v>
      </c>
      <c r="E33" s="85">
        <f t="shared" si="2"/>
        <v>14</v>
      </c>
      <c r="F33" s="54">
        <v>38998</v>
      </c>
      <c r="G33" s="54" t="s">
        <v>436</v>
      </c>
      <c r="H33" s="55" t="str">
        <f>IF(O33&gt;1,O33,VLOOKUP(D33,PRODUCTOS!A24:L772,10,0))</f>
        <v>PRENSA EX - 15</v>
      </c>
      <c r="I33" s="54" t="str">
        <f t="shared" si="3"/>
        <v>PERF OVALADAPRENSA EX - 15</v>
      </c>
      <c r="J33" s="54" t="s">
        <v>1625</v>
      </c>
      <c r="K33" s="54">
        <f>VLOOKUP(D33,PRODUCTOS!A21:M773,13,0)</f>
        <v>4</v>
      </c>
      <c r="L33" s="54">
        <v>3050</v>
      </c>
      <c r="M33" s="54">
        <f>VLOOKUP(D33,PRODUCTOS!A47:L795,12,0)</f>
        <v>160</v>
      </c>
      <c r="N33" s="54">
        <f t="shared" si="6"/>
        <v>3050</v>
      </c>
      <c r="O33" s="54"/>
      <c r="P33" s="55">
        <f t="shared" si="4"/>
        <v>0</v>
      </c>
      <c r="Q33" s="110" t="str">
        <f>IF(K33=1,VLOOKUP(H33,MAQUINAS!$C$2:$E$62,3,0),Q32)</f>
        <v>H</v>
      </c>
      <c r="R33" s="110" t="str">
        <f t="shared" si="5"/>
        <v>H14</v>
      </c>
    </row>
    <row r="34" spans="1:18" x14ac:dyDescent="0.25">
      <c r="A34" s="63">
        <v>33</v>
      </c>
      <c r="B34" s="97"/>
      <c r="C34" s="44" t="str">
        <f t="shared" si="0"/>
        <v>38998PRENSA FR - 04</v>
      </c>
      <c r="D34" s="44" t="str">
        <f t="shared" si="1"/>
        <v>Eslabón Angular Estampado perf.18DOBLAR</v>
      </c>
      <c r="E34" s="85">
        <f t="shared" si="2"/>
        <v>15</v>
      </c>
      <c r="F34" s="54">
        <v>38998</v>
      </c>
      <c r="G34" s="54" t="s">
        <v>436</v>
      </c>
      <c r="H34" s="55" t="str">
        <f>IF(O34&gt;1,O34,VLOOKUP(D34,PRODUCTOS!A25:L773,10,0))</f>
        <v>PRENSA FR - 04</v>
      </c>
      <c r="I34" s="54" t="str">
        <f t="shared" si="3"/>
        <v>DOBLARPRENSA FR - 04</v>
      </c>
      <c r="J34" s="54" t="s">
        <v>1630</v>
      </c>
      <c r="K34" s="54">
        <f>VLOOKUP(D34,PRODUCTOS!A22:M774,13,0)</f>
        <v>5</v>
      </c>
      <c r="L34" s="54">
        <v>3050</v>
      </c>
      <c r="M34" s="54">
        <f>VLOOKUP(D34,PRODUCTOS!A48:L796,12,0)</f>
        <v>383</v>
      </c>
      <c r="N34" s="54">
        <f t="shared" si="6"/>
        <v>3050</v>
      </c>
      <c r="O34" s="54"/>
      <c r="P34" s="55" t="str">
        <f t="shared" si="4"/>
        <v>T</v>
      </c>
      <c r="Q34" s="110" t="str">
        <f>IF(K34=1,VLOOKUP(H34,MAQUINAS!$C$2:$E$62,3,0),Q33)</f>
        <v>H</v>
      </c>
      <c r="R34" s="110" t="str">
        <f t="shared" si="5"/>
        <v>H15</v>
      </c>
    </row>
    <row r="35" spans="1:18" x14ac:dyDescent="0.25">
      <c r="A35" s="63">
        <v>34</v>
      </c>
      <c r="B35" s="97">
        <v>1</v>
      </c>
      <c r="C35" s="44" t="str">
        <f t="shared" si="0"/>
        <v>37877PRENSA FR - 12</v>
      </c>
      <c r="D35" s="44" t="str">
        <f t="shared" si="1"/>
        <v>Perno Cuello Ret 5/8x45ESTAMPAR</v>
      </c>
      <c r="E35" s="85" t="str">
        <f t="shared" si="2"/>
        <v>11</v>
      </c>
      <c r="F35" s="54">
        <v>37877</v>
      </c>
      <c r="G35" s="54" t="s">
        <v>852</v>
      </c>
      <c r="H35" s="55" t="str">
        <f>IF(O35&gt;1,O35,VLOOKUP(D35,PRODUCTOS!A32:L780,10,0))</f>
        <v>PRENSA FR - 12</v>
      </c>
      <c r="I35" s="54" t="str">
        <f t="shared" si="3"/>
        <v>ESTAMPARPRENSA FR - 12</v>
      </c>
      <c r="J35" s="54" t="s">
        <v>1597</v>
      </c>
      <c r="K35" s="54">
        <f>VLOOKUP(D35,PRODUCTOS!A14:M766,13,0)</f>
        <v>1</v>
      </c>
      <c r="L35" s="54">
        <v>12900</v>
      </c>
      <c r="M35" s="54">
        <f>VLOOKUP(D35,PRODUCTOS!A49:L797,12,0)</f>
        <v>334</v>
      </c>
      <c r="N35" s="54">
        <f t="shared" si="6"/>
        <v>12900</v>
      </c>
      <c r="O35" s="54"/>
      <c r="P35" s="55">
        <f t="shared" si="4"/>
        <v>0</v>
      </c>
      <c r="Q35" s="110" t="str">
        <f>IF(K35=1,VLOOKUP(H35,MAQUINAS!$C$2:$E$62,3,0),Q34)</f>
        <v>J</v>
      </c>
      <c r="R35" s="110" t="str">
        <f t="shared" si="5"/>
        <v>J11</v>
      </c>
    </row>
    <row r="36" spans="1:18" x14ac:dyDescent="0.25">
      <c r="A36" s="63">
        <v>35</v>
      </c>
      <c r="B36" s="97"/>
      <c r="C36" s="44" t="str">
        <f t="shared" si="0"/>
        <v>37877FAMAE - 02</v>
      </c>
      <c r="D36" s="44" t="str">
        <f t="shared" si="1"/>
        <v>Perno Cuello Ret 5/8x45REBABAR</v>
      </c>
      <c r="E36" s="85">
        <f t="shared" si="2"/>
        <v>12</v>
      </c>
      <c r="F36" s="54">
        <v>37877</v>
      </c>
      <c r="G36" s="54" t="s">
        <v>852</v>
      </c>
      <c r="H36" s="55" t="str">
        <f>IF(O36&gt;1,O36,VLOOKUP(D36,PRODUCTOS!A33:L781,10,0))</f>
        <v>FAMAE - 02</v>
      </c>
      <c r="I36" s="54" t="str">
        <f t="shared" si="3"/>
        <v>REBABARFAMAE - 02</v>
      </c>
      <c r="J36" s="54" t="s">
        <v>1602</v>
      </c>
      <c r="K36" s="54">
        <f>VLOOKUP(D36,PRODUCTOS!A15:M767,13,0)</f>
        <v>2</v>
      </c>
      <c r="L36" s="54">
        <v>12900</v>
      </c>
      <c r="M36" s="54">
        <f>VLOOKUP(D36,PRODUCTOS!A50:L798,12,0)</f>
        <v>500</v>
      </c>
      <c r="N36" s="54">
        <f t="shared" si="6"/>
        <v>12900</v>
      </c>
      <c r="O36" s="54"/>
      <c r="P36" s="55">
        <f t="shared" si="4"/>
        <v>0</v>
      </c>
      <c r="Q36" s="110" t="str">
        <f>IF(K36=1,VLOOKUP(H36,MAQUINAS!$C$2:$E$62,3,0),Q35)</f>
        <v>J</v>
      </c>
      <c r="R36" s="110" t="str">
        <f t="shared" si="5"/>
        <v>J12</v>
      </c>
    </row>
    <row r="37" spans="1:18" x14ac:dyDescent="0.25">
      <c r="A37" s="63">
        <v>36</v>
      </c>
      <c r="B37" s="97"/>
      <c r="C37" s="44" t="str">
        <f t="shared" si="0"/>
        <v>37877LAMIN ZURZOLO</v>
      </c>
      <c r="D37" s="44" t="str">
        <f t="shared" si="1"/>
        <v>Perno Cuello Ret 5/8x45LAMINAR</v>
      </c>
      <c r="E37" s="85">
        <f t="shared" si="2"/>
        <v>13</v>
      </c>
      <c r="F37" s="54">
        <v>37877</v>
      </c>
      <c r="G37" s="54" t="s">
        <v>852</v>
      </c>
      <c r="H37" s="55" t="str">
        <f>IF(O37&gt;1,O37,VLOOKUP(D37,PRODUCTOS!A34:L782,10,0))</f>
        <v>LAMIN ZURZOLO</v>
      </c>
      <c r="I37" s="54" t="str">
        <f t="shared" si="3"/>
        <v>LAMINARLAMIN ZURZOLO</v>
      </c>
      <c r="J37" s="54" t="s">
        <v>1633</v>
      </c>
      <c r="K37" s="54">
        <f>VLOOKUP(D37,PRODUCTOS!A16:M768,13,0)</f>
        <v>3</v>
      </c>
      <c r="L37" s="54">
        <v>12900</v>
      </c>
      <c r="M37" s="54">
        <f>VLOOKUP(D37,PRODUCTOS!A51:L799,12,0)</f>
        <v>450</v>
      </c>
      <c r="N37" s="54">
        <f t="shared" si="6"/>
        <v>12900</v>
      </c>
      <c r="O37" s="54"/>
      <c r="P37" s="55">
        <f t="shared" si="4"/>
        <v>0</v>
      </c>
      <c r="Q37" s="110" t="str">
        <f>IF(K37=1,VLOOKUP(H37,MAQUINAS!$C$2:$E$62,3,0),Q36)</f>
        <v>J</v>
      </c>
      <c r="R37" s="110" t="str">
        <f t="shared" si="5"/>
        <v>J13</v>
      </c>
    </row>
    <row r="38" spans="1:18" x14ac:dyDescent="0.25">
      <c r="A38" s="63">
        <v>37</v>
      </c>
      <c r="B38" s="97"/>
      <c r="C38" s="44" t="str">
        <f t="shared" si="0"/>
        <v>37877TERR PER - 04</v>
      </c>
      <c r="D38" s="44" t="str">
        <f t="shared" si="1"/>
        <v>Perno Cuello Ret 5/8x45REPASAR</v>
      </c>
      <c r="E38" s="85">
        <f t="shared" si="2"/>
        <v>14</v>
      </c>
      <c r="F38" s="54">
        <v>37877</v>
      </c>
      <c r="G38" s="54" t="s">
        <v>852</v>
      </c>
      <c r="H38" s="55" t="str">
        <f>IF(O38&gt;1,O38,VLOOKUP(D38,PRODUCTOS!A35:L783,10,0))</f>
        <v>TERR PER - 04</v>
      </c>
      <c r="I38" s="54" t="str">
        <f t="shared" si="3"/>
        <v>REPASARTERR PER - 04</v>
      </c>
      <c r="J38" s="54" t="s">
        <v>1634</v>
      </c>
      <c r="K38" s="54">
        <f>VLOOKUP(D38,PRODUCTOS!A17:M769,13,0)</f>
        <v>4</v>
      </c>
      <c r="L38" s="54">
        <v>12900</v>
      </c>
      <c r="M38" s="54">
        <f>VLOOKUP(D38,PRODUCTOS!A52:L800,12,0)</f>
        <v>223</v>
      </c>
      <c r="N38" s="54">
        <f t="shared" si="6"/>
        <v>12900</v>
      </c>
      <c r="O38" s="54"/>
      <c r="P38" s="55" t="str">
        <f t="shared" si="4"/>
        <v>T</v>
      </c>
      <c r="Q38" s="110" t="str">
        <f>IF(K38=1,VLOOKUP(H38,MAQUINAS!$C$2:$E$62,3,0),Q37)</f>
        <v>J</v>
      </c>
      <c r="R38" s="110" t="str">
        <f t="shared" si="5"/>
        <v>J14</v>
      </c>
    </row>
    <row r="39" spans="1:18" x14ac:dyDescent="0.25">
      <c r="A39" s="63">
        <v>38</v>
      </c>
      <c r="B39" s="97"/>
      <c r="C39" s="44" t="e">
        <f t="shared" si="0"/>
        <v>#N/A</v>
      </c>
      <c r="D39" s="44" t="str">
        <f t="shared" si="1"/>
        <v/>
      </c>
      <c r="E39" s="85" t="e">
        <f t="shared" si="2"/>
        <v>#N/A</v>
      </c>
      <c r="F39" s="54"/>
      <c r="G39" s="54"/>
      <c r="H39" s="55" t="e">
        <f>IF(O39&gt;1,O39,VLOOKUP(D39,PRODUCTOS!A22:L770,10,0))</f>
        <v>#N/A</v>
      </c>
      <c r="I39" s="54" t="e">
        <f t="shared" si="3"/>
        <v>#N/A</v>
      </c>
      <c r="J39" s="54"/>
      <c r="K39" s="54" t="e">
        <f>VLOOKUP(D39,PRODUCTOS!A28:M780,13,0)</f>
        <v>#N/A</v>
      </c>
      <c r="L39" s="54"/>
      <c r="M39" s="54" t="e">
        <f>VLOOKUP(D39,PRODUCTOS!A53:L801,12,0)</f>
        <v>#N/A</v>
      </c>
      <c r="N39" s="54">
        <f t="shared" si="6"/>
        <v>0</v>
      </c>
      <c r="O39" s="54"/>
      <c r="P39" s="55" t="e">
        <f t="shared" si="4"/>
        <v>#N/A</v>
      </c>
      <c r="Q39" s="110" t="e">
        <f>IF(K39=1,VLOOKUP(H39,MAQUINAS!$C$2:$E$62,3,0),Q38)</f>
        <v>#N/A</v>
      </c>
      <c r="R39" s="110" t="e">
        <f t="shared" si="5"/>
        <v>#N/A</v>
      </c>
    </row>
    <row r="40" spans="1:18" x14ac:dyDescent="0.25">
      <c r="A40" s="63">
        <v>39</v>
      </c>
      <c r="B40" s="97"/>
      <c r="C40" s="44" t="e">
        <f t="shared" si="0"/>
        <v>#N/A</v>
      </c>
      <c r="D40" s="44" t="str">
        <f t="shared" si="1"/>
        <v/>
      </c>
      <c r="E40" s="85" t="e">
        <f t="shared" si="2"/>
        <v>#N/A</v>
      </c>
      <c r="F40" s="54"/>
      <c r="G40" s="54"/>
      <c r="H40" s="55" t="e">
        <f>IF(O40&gt;1,O40,VLOOKUP(D40,PRODUCTOS!A23:L771,10,0))</f>
        <v>#N/A</v>
      </c>
      <c r="I40" s="54" t="e">
        <f t="shared" si="3"/>
        <v>#N/A</v>
      </c>
      <c r="J40" s="54"/>
      <c r="K40" s="54" t="e">
        <f>VLOOKUP(D40,PRODUCTOS!A29:M781,13,0)</f>
        <v>#N/A</v>
      </c>
      <c r="L40" s="54"/>
      <c r="M40" s="54" t="e">
        <f>VLOOKUP(D40,PRODUCTOS!A54:L802,12,0)</f>
        <v>#N/A</v>
      </c>
      <c r="N40" s="54">
        <f t="shared" si="6"/>
        <v>0</v>
      </c>
      <c r="O40" s="54"/>
      <c r="P40" s="55" t="e">
        <f t="shared" si="4"/>
        <v>#N/A</v>
      </c>
      <c r="Q40" s="110" t="e">
        <f>IF(K40=1,VLOOKUP(H40,MAQUINAS!$C$2:$E$62,3,0),Q39)</f>
        <v>#N/A</v>
      </c>
      <c r="R40" s="110" t="e">
        <f t="shared" si="5"/>
        <v>#N/A</v>
      </c>
    </row>
    <row r="41" spans="1:18" x14ac:dyDescent="0.25">
      <c r="A41" s="63">
        <v>40</v>
      </c>
      <c r="B41" s="97"/>
      <c r="C41" s="44" t="e">
        <f t="shared" si="0"/>
        <v>#N/A</v>
      </c>
      <c r="D41" s="44" t="str">
        <f t="shared" si="1"/>
        <v/>
      </c>
      <c r="E41" s="85" t="e">
        <f t="shared" si="2"/>
        <v>#N/A</v>
      </c>
      <c r="F41" s="54"/>
      <c r="G41" s="54"/>
      <c r="H41" s="55" t="e">
        <f>IF(O41&gt;1,O41,VLOOKUP(D41,PRODUCTOS!A24:L772,10,0))</f>
        <v>#N/A</v>
      </c>
      <c r="I41" s="54" t="e">
        <f t="shared" si="3"/>
        <v>#N/A</v>
      </c>
      <c r="J41" s="54"/>
      <c r="K41" s="54" t="e">
        <f>VLOOKUP(D41,PRODUCTOS!A30:M782,13,0)</f>
        <v>#N/A</v>
      </c>
      <c r="L41" s="54"/>
      <c r="M41" s="54" t="e">
        <f>VLOOKUP(D41,PRODUCTOS!A55:L803,12,0)</f>
        <v>#N/A</v>
      </c>
      <c r="N41" s="54">
        <f t="shared" si="6"/>
        <v>0</v>
      </c>
      <c r="O41" s="54"/>
      <c r="P41" s="55" t="e">
        <f t="shared" si="4"/>
        <v>#N/A</v>
      </c>
      <c r="Q41" s="110" t="e">
        <f>IF(K41=1,VLOOKUP(H41,MAQUINAS!$C$2:$E$62,3,0),Q40)</f>
        <v>#N/A</v>
      </c>
      <c r="R41" s="110" t="e">
        <f t="shared" si="5"/>
        <v>#N/A</v>
      </c>
    </row>
    <row r="42" spans="1:18" x14ac:dyDescent="0.25">
      <c r="A42" s="63">
        <v>41</v>
      </c>
      <c r="B42" s="97"/>
      <c r="C42" s="44" t="e">
        <f t="shared" si="0"/>
        <v>#N/A</v>
      </c>
      <c r="D42" s="44" t="str">
        <f t="shared" si="1"/>
        <v/>
      </c>
      <c r="E42" s="85" t="e">
        <f t="shared" si="2"/>
        <v>#N/A</v>
      </c>
      <c r="F42" s="54"/>
      <c r="G42" s="54"/>
      <c r="H42" s="55" t="e">
        <f>IF(O42&gt;1,O42,VLOOKUP(D42,PRODUCTOS!A25:L773,10,0))</f>
        <v>#N/A</v>
      </c>
      <c r="I42" s="54" t="e">
        <f t="shared" si="3"/>
        <v>#N/A</v>
      </c>
      <c r="J42" s="54"/>
      <c r="K42" s="54" t="e">
        <f>VLOOKUP(D42,PRODUCTOS!A31:M783,13,0)</f>
        <v>#N/A</v>
      </c>
      <c r="L42" s="54"/>
      <c r="M42" s="54" t="e">
        <f>VLOOKUP(D42,PRODUCTOS!A56:L804,12,0)</f>
        <v>#N/A</v>
      </c>
      <c r="N42" s="54">
        <f t="shared" si="6"/>
        <v>0</v>
      </c>
      <c r="O42" s="54"/>
      <c r="P42" s="55" t="e">
        <f t="shared" si="4"/>
        <v>#N/A</v>
      </c>
      <c r="Q42" s="110" t="e">
        <f>IF(K42=1,VLOOKUP(H42,MAQUINAS!$C$2:$E$62,3,0),Q41)</f>
        <v>#N/A</v>
      </c>
      <c r="R42" s="110" t="e">
        <f t="shared" si="5"/>
        <v>#N/A</v>
      </c>
    </row>
    <row r="43" spans="1:18" x14ac:dyDescent="0.25">
      <c r="A43" s="63">
        <v>42</v>
      </c>
      <c r="B43" s="97"/>
      <c r="C43" s="44" t="e">
        <f t="shared" si="0"/>
        <v>#N/A</v>
      </c>
      <c r="D43" s="44" t="str">
        <f t="shared" si="1"/>
        <v/>
      </c>
      <c r="E43" s="85" t="e">
        <f t="shared" si="2"/>
        <v>#N/A</v>
      </c>
      <c r="F43" s="54"/>
      <c r="G43" s="54"/>
      <c r="H43" s="55" t="e">
        <f>IF(O43&gt;1,O43,VLOOKUP(D43,PRODUCTOS!A26:L774,10,0))</f>
        <v>#N/A</v>
      </c>
      <c r="I43" s="54" t="e">
        <f t="shared" si="3"/>
        <v>#N/A</v>
      </c>
      <c r="J43" s="54"/>
      <c r="K43" s="54" t="e">
        <f>VLOOKUP(D43,PRODUCTOS!A32:M784,13,0)</f>
        <v>#N/A</v>
      </c>
      <c r="L43" s="54"/>
      <c r="M43" s="54" t="e">
        <f>VLOOKUP(D43,PRODUCTOS!A57:L805,12,0)</f>
        <v>#N/A</v>
      </c>
      <c r="N43" s="54">
        <f t="shared" si="6"/>
        <v>0</v>
      </c>
      <c r="O43" s="54"/>
      <c r="P43" s="55" t="e">
        <f t="shared" si="4"/>
        <v>#N/A</v>
      </c>
      <c r="Q43" s="110" t="e">
        <f>IF(K43=1,VLOOKUP(H43,MAQUINAS!$C$2:$E$62,3,0),Q42)</f>
        <v>#N/A</v>
      </c>
      <c r="R43" s="110" t="e">
        <f t="shared" si="5"/>
        <v>#N/A</v>
      </c>
    </row>
    <row r="44" spans="1:18" x14ac:dyDescent="0.25">
      <c r="A44" s="63">
        <v>43</v>
      </c>
      <c r="B44" s="97"/>
      <c r="C44" s="44" t="e">
        <f t="shared" si="0"/>
        <v>#N/A</v>
      </c>
      <c r="D44" s="44" t="str">
        <f t="shared" si="1"/>
        <v/>
      </c>
      <c r="E44" s="85" t="e">
        <f t="shared" si="2"/>
        <v>#N/A</v>
      </c>
      <c r="F44" s="54"/>
      <c r="G44" s="54"/>
      <c r="H44" s="55" t="e">
        <f>IF(O44&gt;1,O44,VLOOKUP(D44,PRODUCTOS!A27:L775,10,0))</f>
        <v>#N/A</v>
      </c>
      <c r="I44" s="54" t="e">
        <f t="shared" si="3"/>
        <v>#N/A</v>
      </c>
      <c r="J44" s="54"/>
      <c r="K44" s="54" t="e">
        <f>VLOOKUP(D44,PRODUCTOS!A33:M785,13,0)</f>
        <v>#N/A</v>
      </c>
      <c r="L44" s="54"/>
      <c r="M44" s="54" t="e">
        <f>VLOOKUP(D44,PRODUCTOS!A58:L806,12,0)</f>
        <v>#N/A</v>
      </c>
      <c r="N44" s="54">
        <f t="shared" si="6"/>
        <v>0</v>
      </c>
      <c r="O44" s="54"/>
      <c r="P44" s="55" t="e">
        <f t="shared" si="4"/>
        <v>#N/A</v>
      </c>
      <c r="Q44" s="110" t="e">
        <f>IF(K44=1,VLOOKUP(H44,MAQUINAS!$C$2:$E$62,3,0),Q43)</f>
        <v>#N/A</v>
      </c>
      <c r="R44" s="110" t="e">
        <f t="shared" si="5"/>
        <v>#N/A</v>
      </c>
    </row>
    <row r="45" spans="1:18" x14ac:dyDescent="0.25">
      <c r="A45" s="63">
        <v>44</v>
      </c>
      <c r="B45" s="97"/>
      <c r="C45" s="44" t="e">
        <f t="shared" si="0"/>
        <v>#N/A</v>
      </c>
      <c r="D45" s="44" t="str">
        <f t="shared" si="1"/>
        <v/>
      </c>
      <c r="E45" s="85" t="e">
        <f t="shared" si="2"/>
        <v>#N/A</v>
      </c>
      <c r="F45" s="54"/>
      <c r="G45" s="54"/>
      <c r="H45" s="55" t="e">
        <f>IF(O45&gt;1,O45,VLOOKUP(D45,PRODUCTOS!A28:L776,10,0))</f>
        <v>#N/A</v>
      </c>
      <c r="I45" s="54" t="e">
        <f t="shared" si="3"/>
        <v>#N/A</v>
      </c>
      <c r="J45" s="54"/>
      <c r="K45" s="54" t="e">
        <f>VLOOKUP(D45,PRODUCTOS!A34:M786,13,0)</f>
        <v>#N/A</v>
      </c>
      <c r="L45" s="54"/>
      <c r="M45" s="54" t="e">
        <f>VLOOKUP(D45,PRODUCTOS!A59:L807,12,0)</f>
        <v>#N/A</v>
      </c>
      <c r="N45" s="54">
        <f t="shared" si="6"/>
        <v>0</v>
      </c>
      <c r="O45" s="54"/>
      <c r="P45" s="55" t="e">
        <f t="shared" si="4"/>
        <v>#N/A</v>
      </c>
      <c r="Q45" s="110" t="e">
        <f>IF(K45=1,VLOOKUP(H45,MAQUINAS!$C$2:$E$62,3,0),Q44)</f>
        <v>#N/A</v>
      </c>
      <c r="R45" s="110" t="e">
        <f t="shared" si="5"/>
        <v>#N/A</v>
      </c>
    </row>
    <row r="46" spans="1:18" x14ac:dyDescent="0.25">
      <c r="B46" s="98" t="str">
        <f>IF(AND(N29&lt;1,(F29&gt;1)),"T","")</f>
        <v/>
      </c>
      <c r="C46" s="44" t="str">
        <f t="shared" si="0"/>
        <v/>
      </c>
      <c r="D46" t="str">
        <f>G52&amp;J52</f>
        <v/>
      </c>
      <c r="I46" s="54" t="str">
        <f t="shared" si="3"/>
        <v/>
      </c>
    </row>
    <row r="47" spans="1:18" x14ac:dyDescent="0.25">
      <c r="B47" s="98" t="str">
        <f>IF(AND(N30&lt;1,(F30&gt;1)),"T","")</f>
        <v/>
      </c>
      <c r="C47" s="44" t="str">
        <f t="shared" si="0"/>
        <v/>
      </c>
      <c r="D47" t="str">
        <f>G53&amp;J53</f>
        <v/>
      </c>
      <c r="I47" s="54" t="str">
        <f t="shared" si="3"/>
        <v/>
      </c>
    </row>
    <row r="48" spans="1:18" x14ac:dyDescent="0.25">
      <c r="B48" s="98" t="str">
        <f t="shared" ref="B48:B102" si="7">IF(AND(N31&lt;1,(F31&gt;1)),"T","")</f>
        <v/>
      </c>
      <c r="C48" s="44" t="str">
        <f t="shared" ref="C48:C66" si="8">CONCATENATE(F48,H48)</f>
        <v/>
      </c>
      <c r="D48" t="str">
        <f t="shared" ref="D48:D102" si="9">G54&amp;J54</f>
        <v/>
      </c>
      <c r="I48" s="54" t="str">
        <f t="shared" ref="I48:I66" si="10">J48&amp;H48</f>
        <v/>
      </c>
    </row>
    <row r="49" spans="2:9" x14ac:dyDescent="0.25">
      <c r="B49" s="98" t="str">
        <f t="shared" si="7"/>
        <v/>
      </c>
      <c r="C49" s="44" t="str">
        <f t="shared" si="8"/>
        <v/>
      </c>
      <c r="D49" t="str">
        <f t="shared" si="9"/>
        <v/>
      </c>
      <c r="I49" s="54" t="str">
        <f t="shared" si="10"/>
        <v/>
      </c>
    </row>
    <row r="50" spans="2:9" x14ac:dyDescent="0.25">
      <c r="B50" s="98" t="str">
        <f t="shared" si="7"/>
        <v/>
      </c>
      <c r="C50" s="44" t="str">
        <f t="shared" si="8"/>
        <v/>
      </c>
      <c r="D50" t="str">
        <f t="shared" si="9"/>
        <v/>
      </c>
      <c r="I50" s="54" t="str">
        <f t="shared" si="10"/>
        <v/>
      </c>
    </row>
    <row r="51" spans="2:9" x14ac:dyDescent="0.25">
      <c r="B51" s="98" t="str">
        <f t="shared" si="7"/>
        <v/>
      </c>
      <c r="C51" s="44" t="str">
        <f t="shared" si="8"/>
        <v/>
      </c>
      <c r="D51" t="str">
        <f t="shared" si="9"/>
        <v/>
      </c>
      <c r="I51" s="54" t="str">
        <f t="shared" si="10"/>
        <v/>
      </c>
    </row>
    <row r="52" spans="2:9" x14ac:dyDescent="0.25">
      <c r="B52" s="98" t="str">
        <f t="shared" si="7"/>
        <v/>
      </c>
      <c r="C52" s="44" t="str">
        <f t="shared" si="8"/>
        <v/>
      </c>
      <c r="D52" t="str">
        <f t="shared" si="9"/>
        <v/>
      </c>
      <c r="I52" s="54" t="str">
        <f t="shared" si="10"/>
        <v/>
      </c>
    </row>
    <row r="53" spans="2:9" x14ac:dyDescent="0.25">
      <c r="B53" s="98" t="str">
        <f t="shared" si="7"/>
        <v/>
      </c>
      <c r="C53" s="44" t="str">
        <f t="shared" si="8"/>
        <v/>
      </c>
      <c r="D53" t="str">
        <f t="shared" si="9"/>
        <v/>
      </c>
      <c r="I53" s="54" t="str">
        <f t="shared" si="10"/>
        <v/>
      </c>
    </row>
    <row r="54" spans="2:9" x14ac:dyDescent="0.25">
      <c r="B54" s="98" t="str">
        <f t="shared" si="7"/>
        <v/>
      </c>
      <c r="C54" s="44" t="str">
        <f t="shared" si="8"/>
        <v/>
      </c>
      <c r="D54" t="str">
        <f t="shared" si="9"/>
        <v/>
      </c>
      <c r="I54" s="54" t="str">
        <f t="shared" si="10"/>
        <v/>
      </c>
    </row>
    <row r="55" spans="2:9" x14ac:dyDescent="0.25">
      <c r="B55" s="98" t="str">
        <f t="shared" si="7"/>
        <v/>
      </c>
      <c r="C55" s="44" t="str">
        <f t="shared" si="8"/>
        <v/>
      </c>
      <c r="D55" t="str">
        <f t="shared" si="9"/>
        <v/>
      </c>
      <c r="I55" s="54" t="str">
        <f t="shared" si="10"/>
        <v/>
      </c>
    </row>
    <row r="56" spans="2:9" x14ac:dyDescent="0.25">
      <c r="B56" s="98" t="str">
        <f t="shared" si="7"/>
        <v/>
      </c>
      <c r="C56" s="44" t="str">
        <f t="shared" si="8"/>
        <v/>
      </c>
      <c r="D56" t="str">
        <f t="shared" si="9"/>
        <v/>
      </c>
      <c r="I56" s="54" t="str">
        <f t="shared" si="10"/>
        <v/>
      </c>
    </row>
    <row r="57" spans="2:9" x14ac:dyDescent="0.25">
      <c r="B57" s="98" t="str">
        <f t="shared" si="7"/>
        <v/>
      </c>
      <c r="C57" s="44" t="str">
        <f t="shared" si="8"/>
        <v/>
      </c>
      <c r="D57" t="str">
        <f t="shared" si="9"/>
        <v/>
      </c>
      <c r="I57" s="54" t="str">
        <f t="shared" si="10"/>
        <v/>
      </c>
    </row>
    <row r="58" spans="2:9" x14ac:dyDescent="0.25">
      <c r="B58" s="98" t="str">
        <f t="shared" si="7"/>
        <v/>
      </c>
      <c r="C58" s="44" t="str">
        <f t="shared" si="8"/>
        <v/>
      </c>
      <c r="D58" t="str">
        <f t="shared" si="9"/>
        <v/>
      </c>
      <c r="I58" s="54" t="str">
        <f t="shared" si="10"/>
        <v/>
      </c>
    </row>
    <row r="59" spans="2:9" x14ac:dyDescent="0.25">
      <c r="B59" s="98" t="str">
        <f t="shared" si="7"/>
        <v/>
      </c>
      <c r="C59" s="44" t="str">
        <f t="shared" si="8"/>
        <v/>
      </c>
      <c r="D59" t="str">
        <f t="shared" si="9"/>
        <v/>
      </c>
      <c r="I59" s="54" t="str">
        <f t="shared" si="10"/>
        <v/>
      </c>
    </row>
    <row r="60" spans="2:9" x14ac:dyDescent="0.25">
      <c r="B60" s="98" t="str">
        <f t="shared" si="7"/>
        <v/>
      </c>
      <c r="C60" s="44" t="str">
        <f t="shared" si="8"/>
        <v/>
      </c>
      <c r="D60" t="str">
        <f t="shared" si="9"/>
        <v/>
      </c>
      <c r="I60" s="54" t="str">
        <f t="shared" si="10"/>
        <v/>
      </c>
    </row>
    <row r="61" spans="2:9" x14ac:dyDescent="0.25">
      <c r="B61" s="98" t="str">
        <f t="shared" si="7"/>
        <v/>
      </c>
      <c r="C61" s="44" t="str">
        <f t="shared" si="8"/>
        <v/>
      </c>
      <c r="D61" t="str">
        <f t="shared" si="9"/>
        <v/>
      </c>
      <c r="I61" s="54" t="str">
        <f t="shared" si="10"/>
        <v/>
      </c>
    </row>
    <row r="62" spans="2:9" x14ac:dyDescent="0.25">
      <c r="B62" s="98" t="str">
        <f t="shared" si="7"/>
        <v/>
      </c>
      <c r="C62" s="44" t="str">
        <f t="shared" si="8"/>
        <v/>
      </c>
      <c r="D62" t="str">
        <f t="shared" si="9"/>
        <v/>
      </c>
      <c r="I62" s="54" t="str">
        <f t="shared" si="10"/>
        <v/>
      </c>
    </row>
    <row r="63" spans="2:9" x14ac:dyDescent="0.25">
      <c r="B63" s="98" t="str">
        <f t="shared" si="7"/>
        <v/>
      </c>
      <c r="C63" s="44" t="str">
        <f t="shared" si="8"/>
        <v/>
      </c>
      <c r="D63" t="str">
        <f t="shared" si="9"/>
        <v/>
      </c>
      <c r="I63" s="54" t="str">
        <f t="shared" si="10"/>
        <v/>
      </c>
    </row>
    <row r="64" spans="2:9" x14ac:dyDescent="0.25">
      <c r="B64" s="98" t="str">
        <f t="shared" si="7"/>
        <v/>
      </c>
      <c r="C64" s="44" t="str">
        <f t="shared" si="8"/>
        <v/>
      </c>
      <c r="D64" t="str">
        <f t="shared" si="9"/>
        <v/>
      </c>
      <c r="I64" s="54" t="str">
        <f t="shared" si="10"/>
        <v/>
      </c>
    </row>
    <row r="65" spans="2:9" x14ac:dyDescent="0.25">
      <c r="B65" s="98" t="str">
        <f t="shared" si="7"/>
        <v/>
      </c>
      <c r="C65" s="44" t="str">
        <f t="shared" si="8"/>
        <v/>
      </c>
      <c r="D65" t="str">
        <f t="shared" si="9"/>
        <v/>
      </c>
      <c r="I65" s="54" t="str">
        <f t="shared" si="10"/>
        <v/>
      </c>
    </row>
    <row r="66" spans="2:9" x14ac:dyDescent="0.25">
      <c r="B66" s="98" t="str">
        <f t="shared" si="7"/>
        <v/>
      </c>
      <c r="C66" s="44" t="str">
        <f t="shared" si="8"/>
        <v/>
      </c>
      <c r="D66" t="str">
        <f t="shared" si="9"/>
        <v/>
      </c>
      <c r="I66" s="54" t="str">
        <f t="shared" si="10"/>
        <v/>
      </c>
    </row>
    <row r="67" spans="2:9" x14ac:dyDescent="0.25">
      <c r="B67" s="98" t="str">
        <f t="shared" si="7"/>
        <v/>
      </c>
      <c r="C67" s="44" t="str">
        <f t="shared" ref="C67:C130" si="11">CONCATENATE(F67,H67)</f>
        <v/>
      </c>
      <c r="D67" t="str">
        <f t="shared" si="9"/>
        <v/>
      </c>
      <c r="I67" s="54" t="str">
        <f t="shared" ref="I67:I75" si="12">J67&amp;H67</f>
        <v/>
      </c>
    </row>
    <row r="68" spans="2:9" x14ac:dyDescent="0.25">
      <c r="B68" s="98" t="str">
        <f t="shared" si="7"/>
        <v/>
      </c>
      <c r="C68" s="44" t="str">
        <f t="shared" si="11"/>
        <v/>
      </c>
      <c r="D68" t="str">
        <f t="shared" si="9"/>
        <v/>
      </c>
      <c r="I68" s="54" t="str">
        <f t="shared" si="12"/>
        <v/>
      </c>
    </row>
    <row r="69" spans="2:9" x14ac:dyDescent="0.25">
      <c r="B69" s="98" t="str">
        <f t="shared" si="7"/>
        <v/>
      </c>
      <c r="C69" s="44" t="str">
        <f t="shared" si="11"/>
        <v/>
      </c>
      <c r="D69" t="str">
        <f t="shared" si="9"/>
        <v/>
      </c>
      <c r="I69" s="54" t="str">
        <f t="shared" si="12"/>
        <v/>
      </c>
    </row>
    <row r="70" spans="2:9" x14ac:dyDescent="0.25">
      <c r="B70" s="98" t="str">
        <f t="shared" si="7"/>
        <v/>
      </c>
      <c r="C70" s="44" t="str">
        <f t="shared" si="11"/>
        <v/>
      </c>
      <c r="D70" t="str">
        <f t="shared" si="9"/>
        <v/>
      </c>
      <c r="I70" s="54" t="str">
        <f t="shared" si="12"/>
        <v/>
      </c>
    </row>
    <row r="71" spans="2:9" x14ac:dyDescent="0.25">
      <c r="B71" s="98" t="str">
        <f t="shared" si="7"/>
        <v/>
      </c>
      <c r="C71" s="44" t="str">
        <f t="shared" si="11"/>
        <v/>
      </c>
      <c r="D71" t="str">
        <f t="shared" si="9"/>
        <v/>
      </c>
      <c r="I71" s="54" t="str">
        <f t="shared" si="12"/>
        <v/>
      </c>
    </row>
    <row r="72" spans="2:9" x14ac:dyDescent="0.25">
      <c r="B72" s="98" t="str">
        <f t="shared" si="7"/>
        <v/>
      </c>
      <c r="C72" s="44" t="str">
        <f t="shared" si="11"/>
        <v/>
      </c>
      <c r="D72" t="str">
        <f t="shared" si="9"/>
        <v/>
      </c>
      <c r="I72" s="54" t="str">
        <f t="shared" si="12"/>
        <v/>
      </c>
    </row>
    <row r="73" spans="2:9" x14ac:dyDescent="0.25">
      <c r="B73" s="98" t="str">
        <f t="shared" si="7"/>
        <v/>
      </c>
      <c r="C73" s="44" t="str">
        <f t="shared" si="11"/>
        <v/>
      </c>
      <c r="D73" t="str">
        <f t="shared" si="9"/>
        <v/>
      </c>
      <c r="I73" s="54" t="str">
        <f t="shared" si="12"/>
        <v/>
      </c>
    </row>
    <row r="74" spans="2:9" x14ac:dyDescent="0.25">
      <c r="B74" s="98" t="str">
        <f t="shared" si="7"/>
        <v/>
      </c>
      <c r="C74" s="44" t="str">
        <f t="shared" si="11"/>
        <v/>
      </c>
      <c r="D74" t="str">
        <f t="shared" si="9"/>
        <v/>
      </c>
      <c r="I74" s="54" t="str">
        <f t="shared" si="12"/>
        <v/>
      </c>
    </row>
    <row r="75" spans="2:9" x14ac:dyDescent="0.25">
      <c r="B75" s="98" t="str">
        <f t="shared" si="7"/>
        <v/>
      </c>
      <c r="C75" s="44" t="str">
        <f t="shared" si="11"/>
        <v/>
      </c>
      <c r="D75" t="str">
        <f t="shared" si="9"/>
        <v/>
      </c>
      <c r="I75" s="54" t="str">
        <f t="shared" si="12"/>
        <v/>
      </c>
    </row>
    <row r="76" spans="2:9" x14ac:dyDescent="0.25">
      <c r="B76" s="98" t="str">
        <f t="shared" si="7"/>
        <v/>
      </c>
      <c r="C76" s="44" t="str">
        <f t="shared" si="11"/>
        <v/>
      </c>
      <c r="D76" t="str">
        <f t="shared" si="9"/>
        <v/>
      </c>
    </row>
    <row r="77" spans="2:9" x14ac:dyDescent="0.25">
      <c r="B77" s="98" t="str">
        <f t="shared" si="7"/>
        <v/>
      </c>
      <c r="C77" s="44" t="str">
        <f t="shared" si="11"/>
        <v/>
      </c>
      <c r="D77" t="str">
        <f t="shared" si="9"/>
        <v/>
      </c>
    </row>
    <row r="78" spans="2:9" x14ac:dyDescent="0.25">
      <c r="B78" s="98" t="str">
        <f t="shared" si="7"/>
        <v/>
      </c>
      <c r="C78" s="44" t="str">
        <f t="shared" si="11"/>
        <v/>
      </c>
      <c r="D78" t="str">
        <f t="shared" si="9"/>
        <v/>
      </c>
    </row>
    <row r="79" spans="2:9" x14ac:dyDescent="0.25">
      <c r="B79" s="98" t="str">
        <f t="shared" si="7"/>
        <v/>
      </c>
      <c r="C79" s="44" t="str">
        <f t="shared" si="11"/>
        <v/>
      </c>
      <c r="D79" t="str">
        <f t="shared" si="9"/>
        <v/>
      </c>
    </row>
    <row r="80" spans="2:9" x14ac:dyDescent="0.25">
      <c r="B80" s="98" t="str">
        <f t="shared" si="7"/>
        <v/>
      </c>
      <c r="C80" s="44" t="str">
        <f t="shared" si="11"/>
        <v/>
      </c>
      <c r="D80" t="str">
        <f t="shared" si="9"/>
        <v/>
      </c>
    </row>
    <row r="81" spans="2:4" x14ac:dyDescent="0.25">
      <c r="B81" s="98" t="str">
        <f t="shared" si="7"/>
        <v/>
      </c>
      <c r="C81" s="44" t="str">
        <f t="shared" si="11"/>
        <v/>
      </c>
      <c r="D81" t="str">
        <f t="shared" si="9"/>
        <v/>
      </c>
    </row>
    <row r="82" spans="2:4" x14ac:dyDescent="0.25">
      <c r="B82" s="98" t="str">
        <f t="shared" si="7"/>
        <v/>
      </c>
      <c r="C82" s="44" t="str">
        <f t="shared" si="11"/>
        <v/>
      </c>
      <c r="D82" t="str">
        <f t="shared" si="9"/>
        <v/>
      </c>
    </row>
    <row r="83" spans="2:4" x14ac:dyDescent="0.25">
      <c r="B83" s="98" t="str">
        <f t="shared" si="7"/>
        <v/>
      </c>
      <c r="C83" s="44" t="str">
        <f t="shared" si="11"/>
        <v/>
      </c>
      <c r="D83" t="str">
        <f t="shared" si="9"/>
        <v/>
      </c>
    </row>
    <row r="84" spans="2:4" x14ac:dyDescent="0.25">
      <c r="B84" s="98" t="str">
        <f t="shared" si="7"/>
        <v/>
      </c>
      <c r="C84" s="44" t="str">
        <f t="shared" si="11"/>
        <v/>
      </c>
      <c r="D84" t="str">
        <f t="shared" si="9"/>
        <v/>
      </c>
    </row>
    <row r="85" spans="2:4" x14ac:dyDescent="0.25">
      <c r="B85" s="98" t="str">
        <f t="shared" si="7"/>
        <v/>
      </c>
      <c r="C85" s="44" t="str">
        <f t="shared" si="11"/>
        <v/>
      </c>
      <c r="D85" t="str">
        <f t="shared" si="9"/>
        <v/>
      </c>
    </row>
    <row r="86" spans="2:4" x14ac:dyDescent="0.25">
      <c r="B86" s="98" t="str">
        <f t="shared" si="7"/>
        <v/>
      </c>
      <c r="C86" s="44" t="str">
        <f t="shared" si="11"/>
        <v/>
      </c>
      <c r="D86" t="str">
        <f t="shared" si="9"/>
        <v/>
      </c>
    </row>
    <row r="87" spans="2:4" x14ac:dyDescent="0.25">
      <c r="B87" s="98" t="str">
        <f t="shared" si="7"/>
        <v/>
      </c>
      <c r="C87" s="44" t="str">
        <f t="shared" si="11"/>
        <v/>
      </c>
      <c r="D87" t="str">
        <f t="shared" si="9"/>
        <v/>
      </c>
    </row>
    <row r="88" spans="2:4" x14ac:dyDescent="0.25">
      <c r="B88" s="98" t="str">
        <f t="shared" si="7"/>
        <v/>
      </c>
      <c r="C88" s="44" t="str">
        <f t="shared" si="11"/>
        <v/>
      </c>
      <c r="D88" t="str">
        <f t="shared" si="9"/>
        <v/>
      </c>
    </row>
    <row r="89" spans="2:4" x14ac:dyDescent="0.25">
      <c r="B89" s="98" t="str">
        <f t="shared" si="7"/>
        <v/>
      </c>
      <c r="C89" s="44" t="str">
        <f t="shared" si="11"/>
        <v/>
      </c>
      <c r="D89" t="str">
        <f t="shared" si="9"/>
        <v/>
      </c>
    </row>
    <row r="90" spans="2:4" x14ac:dyDescent="0.25">
      <c r="B90" s="98" t="str">
        <f t="shared" si="7"/>
        <v/>
      </c>
      <c r="C90" s="44" t="str">
        <f t="shared" si="11"/>
        <v/>
      </c>
      <c r="D90" t="str">
        <f t="shared" si="9"/>
        <v/>
      </c>
    </row>
    <row r="91" spans="2:4" x14ac:dyDescent="0.25">
      <c r="B91" s="98" t="str">
        <f t="shared" si="7"/>
        <v/>
      </c>
      <c r="C91" s="44" t="str">
        <f t="shared" si="11"/>
        <v/>
      </c>
      <c r="D91" t="str">
        <f t="shared" si="9"/>
        <v/>
      </c>
    </row>
    <row r="92" spans="2:4" x14ac:dyDescent="0.25">
      <c r="B92" s="98" t="str">
        <f t="shared" si="7"/>
        <v/>
      </c>
      <c r="C92" s="44" t="str">
        <f t="shared" si="11"/>
        <v/>
      </c>
      <c r="D92" t="str">
        <f t="shared" si="9"/>
        <v/>
      </c>
    </row>
    <row r="93" spans="2:4" x14ac:dyDescent="0.25">
      <c r="B93" s="98" t="str">
        <f t="shared" si="7"/>
        <v/>
      </c>
      <c r="C93" s="44" t="str">
        <f t="shared" si="11"/>
        <v/>
      </c>
      <c r="D93" t="str">
        <f t="shared" si="9"/>
        <v/>
      </c>
    </row>
    <row r="94" spans="2:4" x14ac:dyDescent="0.25">
      <c r="B94" s="98" t="str">
        <f t="shared" si="7"/>
        <v/>
      </c>
      <c r="C94" s="44" t="str">
        <f t="shared" si="11"/>
        <v/>
      </c>
      <c r="D94" t="str">
        <f t="shared" si="9"/>
        <v/>
      </c>
    </row>
    <row r="95" spans="2:4" x14ac:dyDescent="0.25">
      <c r="B95" s="98" t="str">
        <f t="shared" si="7"/>
        <v/>
      </c>
      <c r="C95" s="44" t="str">
        <f t="shared" si="11"/>
        <v/>
      </c>
      <c r="D95" t="str">
        <f t="shared" si="9"/>
        <v/>
      </c>
    </row>
    <row r="96" spans="2:4" x14ac:dyDescent="0.25">
      <c r="B96" s="98" t="str">
        <f t="shared" si="7"/>
        <v/>
      </c>
      <c r="C96" s="44" t="str">
        <f t="shared" si="11"/>
        <v/>
      </c>
      <c r="D96" t="str">
        <f t="shared" si="9"/>
        <v/>
      </c>
    </row>
    <row r="97" spans="2:4" x14ac:dyDescent="0.25">
      <c r="B97" s="98" t="str">
        <f t="shared" si="7"/>
        <v/>
      </c>
      <c r="C97" s="44" t="str">
        <f t="shared" si="11"/>
        <v/>
      </c>
      <c r="D97" t="str">
        <f t="shared" si="9"/>
        <v/>
      </c>
    </row>
    <row r="98" spans="2:4" x14ac:dyDescent="0.25">
      <c r="B98" s="98" t="str">
        <f t="shared" si="7"/>
        <v/>
      </c>
      <c r="C98" s="44" t="str">
        <f t="shared" si="11"/>
        <v/>
      </c>
      <c r="D98" t="str">
        <f t="shared" si="9"/>
        <v/>
      </c>
    </row>
    <row r="99" spans="2:4" x14ac:dyDescent="0.25">
      <c r="B99" s="98" t="str">
        <f t="shared" si="7"/>
        <v/>
      </c>
      <c r="C99" s="44" t="str">
        <f t="shared" si="11"/>
        <v/>
      </c>
      <c r="D99" t="str">
        <f t="shared" si="9"/>
        <v/>
      </c>
    </row>
    <row r="100" spans="2:4" x14ac:dyDescent="0.25">
      <c r="B100" s="98" t="str">
        <f t="shared" si="7"/>
        <v/>
      </c>
      <c r="C100" s="44" t="str">
        <f t="shared" si="11"/>
        <v/>
      </c>
      <c r="D100" t="str">
        <f t="shared" si="9"/>
        <v/>
      </c>
    </row>
    <row r="101" spans="2:4" x14ac:dyDescent="0.25">
      <c r="B101" s="98" t="str">
        <f t="shared" si="7"/>
        <v/>
      </c>
      <c r="C101" s="44" t="str">
        <f t="shared" si="11"/>
        <v/>
      </c>
      <c r="D101" t="str">
        <f t="shared" si="9"/>
        <v/>
      </c>
    </row>
    <row r="102" spans="2:4" x14ac:dyDescent="0.25">
      <c r="B102" s="98" t="str">
        <f t="shared" si="7"/>
        <v/>
      </c>
      <c r="C102" s="44" t="str">
        <f t="shared" si="11"/>
        <v/>
      </c>
      <c r="D102" t="str">
        <f t="shared" si="9"/>
        <v/>
      </c>
    </row>
    <row r="103" spans="2:4" x14ac:dyDescent="0.25">
      <c r="B103" s="98" t="str">
        <f t="shared" ref="B103:B166" si="13">IF(AND(N86&lt;1,(F86&gt;1)),"T","")</f>
        <v/>
      </c>
      <c r="C103" s="44" t="str">
        <f t="shared" si="11"/>
        <v/>
      </c>
      <c r="D103" t="str">
        <f t="shared" ref="D103:D166" si="14">G109&amp;J109</f>
        <v/>
      </c>
    </row>
    <row r="104" spans="2:4" x14ac:dyDescent="0.25">
      <c r="B104" s="98" t="str">
        <f t="shared" si="13"/>
        <v/>
      </c>
      <c r="C104" s="44" t="str">
        <f t="shared" si="11"/>
        <v/>
      </c>
      <c r="D104" t="str">
        <f t="shared" si="14"/>
        <v/>
      </c>
    </row>
    <row r="105" spans="2:4" x14ac:dyDescent="0.25">
      <c r="B105" s="98" t="str">
        <f t="shared" si="13"/>
        <v/>
      </c>
      <c r="C105" s="44" t="str">
        <f t="shared" si="11"/>
        <v/>
      </c>
      <c r="D105" t="str">
        <f t="shared" si="14"/>
        <v/>
      </c>
    </row>
    <row r="106" spans="2:4" x14ac:dyDescent="0.25">
      <c r="B106" s="98" t="str">
        <f t="shared" si="13"/>
        <v/>
      </c>
      <c r="C106" s="44" t="str">
        <f t="shared" si="11"/>
        <v/>
      </c>
      <c r="D106" t="str">
        <f t="shared" si="14"/>
        <v/>
      </c>
    </row>
    <row r="107" spans="2:4" x14ac:dyDescent="0.25">
      <c r="B107" s="98" t="str">
        <f t="shared" si="13"/>
        <v/>
      </c>
      <c r="C107" s="44" t="str">
        <f t="shared" si="11"/>
        <v/>
      </c>
      <c r="D107" t="str">
        <f t="shared" si="14"/>
        <v/>
      </c>
    </row>
    <row r="108" spans="2:4" x14ac:dyDescent="0.25">
      <c r="B108" s="98" t="str">
        <f t="shared" si="13"/>
        <v/>
      </c>
      <c r="C108" s="44" t="str">
        <f t="shared" si="11"/>
        <v/>
      </c>
      <c r="D108" t="str">
        <f t="shared" si="14"/>
        <v/>
      </c>
    </row>
    <row r="109" spans="2:4" x14ac:dyDescent="0.25">
      <c r="B109" s="98" t="str">
        <f t="shared" si="13"/>
        <v/>
      </c>
      <c r="C109" s="44" t="str">
        <f t="shared" si="11"/>
        <v/>
      </c>
      <c r="D109" t="str">
        <f t="shared" si="14"/>
        <v/>
      </c>
    </row>
    <row r="110" spans="2:4" x14ac:dyDescent="0.25">
      <c r="B110" s="98" t="str">
        <f t="shared" si="13"/>
        <v/>
      </c>
      <c r="C110" s="44" t="str">
        <f t="shared" si="11"/>
        <v/>
      </c>
      <c r="D110" t="str">
        <f t="shared" si="14"/>
        <v/>
      </c>
    </row>
    <row r="111" spans="2:4" x14ac:dyDescent="0.25">
      <c r="B111" s="98" t="str">
        <f t="shared" si="13"/>
        <v/>
      </c>
      <c r="C111" s="44" t="str">
        <f t="shared" si="11"/>
        <v/>
      </c>
      <c r="D111" t="str">
        <f t="shared" si="14"/>
        <v/>
      </c>
    </row>
    <row r="112" spans="2:4" x14ac:dyDescent="0.25">
      <c r="B112" s="98" t="str">
        <f t="shared" si="13"/>
        <v/>
      </c>
      <c r="C112" s="44" t="str">
        <f t="shared" si="11"/>
        <v/>
      </c>
      <c r="D112" t="str">
        <f t="shared" si="14"/>
        <v/>
      </c>
    </row>
    <row r="113" spans="2:4" x14ac:dyDescent="0.25">
      <c r="B113" s="98" t="str">
        <f t="shared" si="13"/>
        <v/>
      </c>
      <c r="C113" s="44" t="str">
        <f t="shared" si="11"/>
        <v/>
      </c>
      <c r="D113" t="str">
        <f t="shared" si="14"/>
        <v/>
      </c>
    </row>
    <row r="114" spans="2:4" x14ac:dyDescent="0.25">
      <c r="B114" s="98" t="str">
        <f t="shared" si="13"/>
        <v/>
      </c>
      <c r="C114" s="44" t="str">
        <f t="shared" si="11"/>
        <v/>
      </c>
      <c r="D114" t="str">
        <f t="shared" si="14"/>
        <v/>
      </c>
    </row>
    <row r="115" spans="2:4" x14ac:dyDescent="0.25">
      <c r="B115" s="98" t="str">
        <f t="shared" si="13"/>
        <v/>
      </c>
      <c r="C115" s="44" t="str">
        <f t="shared" si="11"/>
        <v/>
      </c>
      <c r="D115" t="str">
        <f t="shared" si="14"/>
        <v/>
      </c>
    </row>
    <row r="116" spans="2:4" x14ac:dyDescent="0.25">
      <c r="B116" s="98" t="str">
        <f t="shared" si="13"/>
        <v/>
      </c>
      <c r="C116" s="44" t="str">
        <f t="shared" si="11"/>
        <v/>
      </c>
      <c r="D116" t="str">
        <f t="shared" si="14"/>
        <v/>
      </c>
    </row>
    <row r="117" spans="2:4" x14ac:dyDescent="0.25">
      <c r="B117" s="98" t="str">
        <f t="shared" si="13"/>
        <v/>
      </c>
      <c r="C117" s="44" t="str">
        <f t="shared" si="11"/>
        <v/>
      </c>
      <c r="D117" t="str">
        <f t="shared" si="14"/>
        <v/>
      </c>
    </row>
    <row r="118" spans="2:4" x14ac:dyDescent="0.25">
      <c r="B118" s="98" t="str">
        <f t="shared" si="13"/>
        <v/>
      </c>
      <c r="C118" s="44" t="str">
        <f t="shared" si="11"/>
        <v/>
      </c>
      <c r="D118" t="str">
        <f t="shared" si="14"/>
        <v/>
      </c>
    </row>
    <row r="119" spans="2:4" x14ac:dyDescent="0.25">
      <c r="B119" s="98" t="str">
        <f t="shared" si="13"/>
        <v/>
      </c>
      <c r="C119" s="44" t="str">
        <f t="shared" si="11"/>
        <v/>
      </c>
      <c r="D119" t="str">
        <f t="shared" si="14"/>
        <v/>
      </c>
    </row>
    <row r="120" spans="2:4" x14ac:dyDescent="0.25">
      <c r="B120" s="98" t="str">
        <f t="shared" si="13"/>
        <v/>
      </c>
      <c r="C120" s="44" t="str">
        <f t="shared" si="11"/>
        <v/>
      </c>
      <c r="D120" t="str">
        <f t="shared" si="14"/>
        <v/>
      </c>
    </row>
    <row r="121" spans="2:4" x14ac:dyDescent="0.25">
      <c r="B121" s="98" t="str">
        <f t="shared" si="13"/>
        <v/>
      </c>
      <c r="C121" s="44" t="str">
        <f t="shared" si="11"/>
        <v/>
      </c>
      <c r="D121" t="str">
        <f t="shared" si="14"/>
        <v/>
      </c>
    </row>
    <row r="122" spans="2:4" x14ac:dyDescent="0.25">
      <c r="B122" s="98" t="str">
        <f t="shared" si="13"/>
        <v/>
      </c>
      <c r="C122" s="44" t="str">
        <f t="shared" si="11"/>
        <v/>
      </c>
      <c r="D122" t="str">
        <f t="shared" si="14"/>
        <v/>
      </c>
    </row>
    <row r="123" spans="2:4" x14ac:dyDescent="0.25">
      <c r="B123" s="98" t="str">
        <f t="shared" si="13"/>
        <v/>
      </c>
      <c r="C123" s="44" t="str">
        <f t="shared" si="11"/>
        <v/>
      </c>
      <c r="D123" t="str">
        <f t="shared" si="14"/>
        <v/>
      </c>
    </row>
    <row r="124" spans="2:4" x14ac:dyDescent="0.25">
      <c r="B124" s="98" t="str">
        <f t="shared" si="13"/>
        <v/>
      </c>
      <c r="C124" s="44" t="str">
        <f t="shared" si="11"/>
        <v/>
      </c>
      <c r="D124" t="str">
        <f t="shared" si="14"/>
        <v/>
      </c>
    </row>
    <row r="125" spans="2:4" x14ac:dyDescent="0.25">
      <c r="B125" s="98" t="str">
        <f t="shared" si="13"/>
        <v/>
      </c>
      <c r="C125" s="44" t="str">
        <f t="shared" si="11"/>
        <v/>
      </c>
      <c r="D125" t="str">
        <f t="shared" si="14"/>
        <v/>
      </c>
    </row>
    <row r="126" spans="2:4" x14ac:dyDescent="0.25">
      <c r="B126" s="98" t="str">
        <f t="shared" si="13"/>
        <v/>
      </c>
      <c r="C126" s="44" t="str">
        <f t="shared" si="11"/>
        <v/>
      </c>
      <c r="D126" t="str">
        <f t="shared" si="14"/>
        <v/>
      </c>
    </row>
    <row r="127" spans="2:4" x14ac:dyDescent="0.25">
      <c r="B127" s="98" t="str">
        <f t="shared" si="13"/>
        <v/>
      </c>
      <c r="C127" s="44" t="str">
        <f t="shared" si="11"/>
        <v/>
      </c>
      <c r="D127" t="str">
        <f t="shared" si="14"/>
        <v/>
      </c>
    </row>
    <row r="128" spans="2:4" x14ac:dyDescent="0.25">
      <c r="B128" s="98" t="str">
        <f t="shared" si="13"/>
        <v/>
      </c>
      <c r="C128" s="44" t="str">
        <f t="shared" si="11"/>
        <v/>
      </c>
      <c r="D128" t="str">
        <f t="shared" si="14"/>
        <v/>
      </c>
    </row>
    <row r="129" spans="2:4" x14ac:dyDescent="0.25">
      <c r="B129" s="98" t="str">
        <f t="shared" si="13"/>
        <v/>
      </c>
      <c r="C129" s="44" t="str">
        <f t="shared" si="11"/>
        <v/>
      </c>
      <c r="D129" t="str">
        <f t="shared" si="14"/>
        <v/>
      </c>
    </row>
    <row r="130" spans="2:4" x14ac:dyDescent="0.25">
      <c r="B130" s="98" t="str">
        <f t="shared" si="13"/>
        <v/>
      </c>
      <c r="C130" s="44" t="str">
        <f t="shared" si="11"/>
        <v/>
      </c>
      <c r="D130" t="str">
        <f t="shared" si="14"/>
        <v/>
      </c>
    </row>
    <row r="131" spans="2:4" x14ac:dyDescent="0.25">
      <c r="B131" s="98" t="str">
        <f t="shared" si="13"/>
        <v/>
      </c>
      <c r="C131" s="44" t="str">
        <f t="shared" ref="C131:C194" si="15">CONCATENATE(F131,H131)</f>
        <v/>
      </c>
      <c r="D131" t="str">
        <f t="shared" si="14"/>
        <v/>
      </c>
    </row>
    <row r="132" spans="2:4" x14ac:dyDescent="0.25">
      <c r="B132" s="98" t="str">
        <f t="shared" si="13"/>
        <v/>
      </c>
      <c r="C132" s="44" t="str">
        <f t="shared" si="15"/>
        <v/>
      </c>
      <c r="D132" t="str">
        <f t="shared" si="14"/>
        <v/>
      </c>
    </row>
    <row r="133" spans="2:4" x14ac:dyDescent="0.25">
      <c r="B133" s="98" t="str">
        <f t="shared" si="13"/>
        <v/>
      </c>
      <c r="C133" s="44" t="str">
        <f t="shared" si="15"/>
        <v/>
      </c>
      <c r="D133" t="str">
        <f t="shared" si="14"/>
        <v/>
      </c>
    </row>
    <row r="134" spans="2:4" x14ac:dyDescent="0.25">
      <c r="B134" s="98" t="str">
        <f t="shared" si="13"/>
        <v/>
      </c>
      <c r="C134" s="44" t="str">
        <f t="shared" si="15"/>
        <v/>
      </c>
      <c r="D134" t="str">
        <f t="shared" si="14"/>
        <v/>
      </c>
    </row>
    <row r="135" spans="2:4" x14ac:dyDescent="0.25">
      <c r="B135" s="98" t="str">
        <f t="shared" si="13"/>
        <v/>
      </c>
      <c r="C135" s="44" t="str">
        <f t="shared" si="15"/>
        <v/>
      </c>
      <c r="D135" t="str">
        <f t="shared" si="14"/>
        <v/>
      </c>
    </row>
    <row r="136" spans="2:4" x14ac:dyDescent="0.25">
      <c r="B136" s="98" t="str">
        <f t="shared" si="13"/>
        <v/>
      </c>
      <c r="C136" s="44" t="str">
        <f t="shared" si="15"/>
        <v/>
      </c>
      <c r="D136" t="str">
        <f t="shared" si="14"/>
        <v/>
      </c>
    </row>
    <row r="137" spans="2:4" x14ac:dyDescent="0.25">
      <c r="B137" s="98" t="str">
        <f t="shared" si="13"/>
        <v/>
      </c>
      <c r="C137" s="44" t="str">
        <f t="shared" si="15"/>
        <v/>
      </c>
      <c r="D137" t="str">
        <f t="shared" si="14"/>
        <v/>
      </c>
    </row>
    <row r="138" spans="2:4" x14ac:dyDescent="0.25">
      <c r="B138" s="98" t="str">
        <f t="shared" si="13"/>
        <v/>
      </c>
      <c r="C138" s="44" t="str">
        <f t="shared" si="15"/>
        <v/>
      </c>
      <c r="D138" t="str">
        <f t="shared" si="14"/>
        <v/>
      </c>
    </row>
    <row r="139" spans="2:4" x14ac:dyDescent="0.25">
      <c r="B139" s="98" t="str">
        <f t="shared" si="13"/>
        <v/>
      </c>
      <c r="C139" s="44" t="str">
        <f t="shared" si="15"/>
        <v/>
      </c>
      <c r="D139" t="str">
        <f t="shared" si="14"/>
        <v/>
      </c>
    </row>
    <row r="140" spans="2:4" x14ac:dyDescent="0.25">
      <c r="B140" s="98" t="str">
        <f t="shared" si="13"/>
        <v/>
      </c>
      <c r="C140" s="44" t="str">
        <f t="shared" si="15"/>
        <v/>
      </c>
      <c r="D140" t="str">
        <f t="shared" si="14"/>
        <v/>
      </c>
    </row>
    <row r="141" spans="2:4" x14ac:dyDescent="0.25">
      <c r="B141" s="98" t="str">
        <f t="shared" si="13"/>
        <v/>
      </c>
      <c r="C141" s="44" t="str">
        <f t="shared" si="15"/>
        <v/>
      </c>
      <c r="D141" t="str">
        <f t="shared" si="14"/>
        <v/>
      </c>
    </row>
    <row r="142" spans="2:4" x14ac:dyDescent="0.25">
      <c r="B142" s="98" t="str">
        <f t="shared" si="13"/>
        <v/>
      </c>
      <c r="C142" s="44" t="str">
        <f t="shared" si="15"/>
        <v/>
      </c>
      <c r="D142" t="str">
        <f t="shared" si="14"/>
        <v/>
      </c>
    </row>
    <row r="143" spans="2:4" x14ac:dyDescent="0.25">
      <c r="B143" s="98" t="str">
        <f t="shared" si="13"/>
        <v/>
      </c>
      <c r="C143" s="44" t="str">
        <f t="shared" si="15"/>
        <v/>
      </c>
      <c r="D143" t="str">
        <f t="shared" si="14"/>
        <v/>
      </c>
    </row>
    <row r="144" spans="2:4" x14ac:dyDescent="0.25">
      <c r="B144" s="98" t="str">
        <f t="shared" si="13"/>
        <v/>
      </c>
      <c r="C144" s="44" t="str">
        <f t="shared" si="15"/>
        <v/>
      </c>
      <c r="D144" t="str">
        <f t="shared" si="14"/>
        <v/>
      </c>
    </row>
    <row r="145" spans="2:4" x14ac:dyDescent="0.25">
      <c r="B145" s="98" t="str">
        <f t="shared" si="13"/>
        <v/>
      </c>
      <c r="C145" s="44" t="str">
        <f t="shared" si="15"/>
        <v/>
      </c>
      <c r="D145" t="str">
        <f t="shared" si="14"/>
        <v/>
      </c>
    </row>
    <row r="146" spans="2:4" x14ac:dyDescent="0.25">
      <c r="B146" s="98" t="str">
        <f t="shared" si="13"/>
        <v/>
      </c>
      <c r="C146" s="44" t="str">
        <f t="shared" si="15"/>
        <v/>
      </c>
      <c r="D146" t="str">
        <f t="shared" si="14"/>
        <v/>
      </c>
    </row>
    <row r="147" spans="2:4" x14ac:dyDescent="0.25">
      <c r="B147" s="98" t="str">
        <f t="shared" si="13"/>
        <v/>
      </c>
      <c r="C147" s="44" t="str">
        <f t="shared" si="15"/>
        <v/>
      </c>
      <c r="D147" t="str">
        <f t="shared" si="14"/>
        <v/>
      </c>
    </row>
    <row r="148" spans="2:4" x14ac:dyDescent="0.25">
      <c r="B148" s="98" t="str">
        <f t="shared" si="13"/>
        <v/>
      </c>
      <c r="C148" s="44" t="str">
        <f t="shared" si="15"/>
        <v/>
      </c>
      <c r="D148" t="str">
        <f t="shared" si="14"/>
        <v/>
      </c>
    </row>
    <row r="149" spans="2:4" x14ac:dyDescent="0.25">
      <c r="B149" s="98" t="str">
        <f t="shared" si="13"/>
        <v/>
      </c>
      <c r="C149" s="44" t="str">
        <f t="shared" si="15"/>
        <v/>
      </c>
      <c r="D149" t="str">
        <f t="shared" si="14"/>
        <v/>
      </c>
    </row>
    <row r="150" spans="2:4" x14ac:dyDescent="0.25">
      <c r="B150" s="98" t="str">
        <f t="shared" si="13"/>
        <v/>
      </c>
      <c r="C150" s="44" t="str">
        <f t="shared" si="15"/>
        <v/>
      </c>
      <c r="D150" t="str">
        <f t="shared" si="14"/>
        <v/>
      </c>
    </row>
    <row r="151" spans="2:4" x14ac:dyDescent="0.25">
      <c r="B151" s="98" t="str">
        <f t="shared" si="13"/>
        <v/>
      </c>
      <c r="C151" s="44" t="str">
        <f t="shared" si="15"/>
        <v/>
      </c>
      <c r="D151" t="str">
        <f t="shared" si="14"/>
        <v/>
      </c>
    </row>
    <row r="152" spans="2:4" x14ac:dyDescent="0.25">
      <c r="B152" s="98" t="str">
        <f t="shared" si="13"/>
        <v/>
      </c>
      <c r="C152" s="44" t="str">
        <f t="shared" si="15"/>
        <v/>
      </c>
      <c r="D152" t="str">
        <f t="shared" si="14"/>
        <v/>
      </c>
    </row>
    <row r="153" spans="2:4" x14ac:dyDescent="0.25">
      <c r="B153" s="98" t="str">
        <f t="shared" si="13"/>
        <v/>
      </c>
      <c r="C153" s="44" t="str">
        <f t="shared" si="15"/>
        <v/>
      </c>
      <c r="D153" t="str">
        <f t="shared" si="14"/>
        <v/>
      </c>
    </row>
    <row r="154" spans="2:4" x14ac:dyDescent="0.25">
      <c r="B154" s="98" t="str">
        <f t="shared" si="13"/>
        <v/>
      </c>
      <c r="C154" s="44" t="str">
        <f t="shared" si="15"/>
        <v/>
      </c>
      <c r="D154" t="str">
        <f t="shared" si="14"/>
        <v/>
      </c>
    </row>
    <row r="155" spans="2:4" x14ac:dyDescent="0.25">
      <c r="B155" s="98" t="str">
        <f t="shared" si="13"/>
        <v/>
      </c>
      <c r="C155" s="44" t="str">
        <f t="shared" si="15"/>
        <v/>
      </c>
      <c r="D155" t="str">
        <f t="shared" si="14"/>
        <v/>
      </c>
    </row>
    <row r="156" spans="2:4" x14ac:dyDescent="0.25">
      <c r="B156" s="98" t="str">
        <f t="shared" si="13"/>
        <v/>
      </c>
      <c r="C156" s="44" t="str">
        <f t="shared" si="15"/>
        <v/>
      </c>
      <c r="D156" t="str">
        <f t="shared" si="14"/>
        <v/>
      </c>
    </row>
    <row r="157" spans="2:4" x14ac:dyDescent="0.25">
      <c r="B157" s="98" t="str">
        <f t="shared" si="13"/>
        <v/>
      </c>
      <c r="C157" s="44" t="str">
        <f t="shared" si="15"/>
        <v/>
      </c>
      <c r="D157" t="str">
        <f t="shared" si="14"/>
        <v/>
      </c>
    </row>
    <row r="158" spans="2:4" x14ac:dyDescent="0.25">
      <c r="B158" s="98" t="str">
        <f t="shared" si="13"/>
        <v/>
      </c>
      <c r="C158" s="44" t="str">
        <f t="shared" si="15"/>
        <v/>
      </c>
      <c r="D158" t="str">
        <f t="shared" si="14"/>
        <v/>
      </c>
    </row>
    <row r="159" spans="2:4" x14ac:dyDescent="0.25">
      <c r="B159" s="98" t="str">
        <f t="shared" si="13"/>
        <v/>
      </c>
      <c r="C159" s="44" t="str">
        <f t="shared" si="15"/>
        <v/>
      </c>
      <c r="D159" t="str">
        <f t="shared" si="14"/>
        <v/>
      </c>
    </row>
    <row r="160" spans="2:4" x14ac:dyDescent="0.25">
      <c r="B160" s="98" t="str">
        <f t="shared" si="13"/>
        <v/>
      </c>
      <c r="C160" s="44" t="str">
        <f t="shared" si="15"/>
        <v/>
      </c>
      <c r="D160" t="str">
        <f t="shared" si="14"/>
        <v/>
      </c>
    </row>
    <row r="161" spans="2:4" x14ac:dyDescent="0.25">
      <c r="B161" s="98" t="str">
        <f t="shared" si="13"/>
        <v/>
      </c>
      <c r="C161" s="44" t="str">
        <f t="shared" si="15"/>
        <v/>
      </c>
      <c r="D161" t="str">
        <f t="shared" si="14"/>
        <v/>
      </c>
    </row>
    <row r="162" spans="2:4" x14ac:dyDescent="0.25">
      <c r="B162" s="98" t="str">
        <f t="shared" si="13"/>
        <v/>
      </c>
      <c r="C162" s="44" t="str">
        <f t="shared" si="15"/>
        <v/>
      </c>
      <c r="D162" t="str">
        <f t="shared" si="14"/>
        <v/>
      </c>
    </row>
    <row r="163" spans="2:4" x14ac:dyDescent="0.25">
      <c r="B163" s="98" t="str">
        <f t="shared" si="13"/>
        <v/>
      </c>
      <c r="C163" s="44" t="str">
        <f t="shared" si="15"/>
        <v/>
      </c>
      <c r="D163" t="str">
        <f t="shared" si="14"/>
        <v/>
      </c>
    </row>
    <row r="164" spans="2:4" x14ac:dyDescent="0.25">
      <c r="B164" s="98" t="str">
        <f t="shared" si="13"/>
        <v/>
      </c>
      <c r="C164" s="44" t="str">
        <f t="shared" si="15"/>
        <v/>
      </c>
      <c r="D164" t="str">
        <f t="shared" si="14"/>
        <v/>
      </c>
    </row>
    <row r="165" spans="2:4" x14ac:dyDescent="0.25">
      <c r="B165" s="98" t="str">
        <f t="shared" si="13"/>
        <v/>
      </c>
      <c r="C165" s="44" t="str">
        <f t="shared" si="15"/>
        <v/>
      </c>
      <c r="D165" t="str">
        <f t="shared" si="14"/>
        <v/>
      </c>
    </row>
    <row r="166" spans="2:4" x14ac:dyDescent="0.25">
      <c r="B166" s="98" t="str">
        <f t="shared" si="13"/>
        <v/>
      </c>
      <c r="C166" s="44" t="str">
        <f t="shared" si="15"/>
        <v/>
      </c>
      <c r="D166" t="str">
        <f t="shared" si="14"/>
        <v/>
      </c>
    </row>
    <row r="167" spans="2:4" x14ac:dyDescent="0.25">
      <c r="B167" s="98" t="str">
        <f t="shared" ref="B167:B230" si="16">IF(AND(N150&lt;1,(F150&gt;1)),"T","")</f>
        <v/>
      </c>
      <c r="C167" s="44" t="str">
        <f t="shared" si="15"/>
        <v/>
      </c>
      <c r="D167" t="str">
        <f t="shared" ref="D167:D230" si="17">G173&amp;J173</f>
        <v/>
      </c>
    </row>
    <row r="168" spans="2:4" x14ac:dyDescent="0.25">
      <c r="B168" s="98" t="str">
        <f t="shared" si="16"/>
        <v/>
      </c>
      <c r="C168" s="44" t="str">
        <f t="shared" si="15"/>
        <v/>
      </c>
      <c r="D168" t="str">
        <f t="shared" si="17"/>
        <v/>
      </c>
    </row>
    <row r="169" spans="2:4" x14ac:dyDescent="0.25">
      <c r="B169" s="98" t="str">
        <f t="shared" si="16"/>
        <v/>
      </c>
      <c r="C169" s="44" t="str">
        <f t="shared" si="15"/>
        <v/>
      </c>
      <c r="D169" t="str">
        <f t="shared" si="17"/>
        <v/>
      </c>
    </row>
    <row r="170" spans="2:4" x14ac:dyDescent="0.25">
      <c r="B170" s="98" t="str">
        <f t="shared" si="16"/>
        <v/>
      </c>
      <c r="C170" s="44" t="str">
        <f t="shared" si="15"/>
        <v/>
      </c>
      <c r="D170" t="str">
        <f t="shared" si="17"/>
        <v/>
      </c>
    </row>
    <row r="171" spans="2:4" x14ac:dyDescent="0.25">
      <c r="B171" s="98" t="str">
        <f t="shared" si="16"/>
        <v/>
      </c>
      <c r="C171" s="44" t="str">
        <f t="shared" si="15"/>
        <v/>
      </c>
      <c r="D171" t="str">
        <f t="shared" si="17"/>
        <v/>
      </c>
    </row>
    <row r="172" spans="2:4" x14ac:dyDescent="0.25">
      <c r="B172" s="98" t="str">
        <f t="shared" si="16"/>
        <v/>
      </c>
      <c r="C172" s="44" t="str">
        <f t="shared" si="15"/>
        <v/>
      </c>
      <c r="D172" t="str">
        <f t="shared" si="17"/>
        <v/>
      </c>
    </row>
    <row r="173" spans="2:4" x14ac:dyDescent="0.25">
      <c r="B173" s="98" t="str">
        <f t="shared" si="16"/>
        <v/>
      </c>
      <c r="C173" s="44" t="str">
        <f t="shared" si="15"/>
        <v/>
      </c>
      <c r="D173" t="str">
        <f t="shared" si="17"/>
        <v/>
      </c>
    </row>
    <row r="174" spans="2:4" x14ac:dyDescent="0.25">
      <c r="B174" s="98" t="str">
        <f t="shared" si="16"/>
        <v/>
      </c>
      <c r="C174" s="44" t="str">
        <f t="shared" si="15"/>
        <v/>
      </c>
      <c r="D174" t="str">
        <f t="shared" si="17"/>
        <v/>
      </c>
    </row>
    <row r="175" spans="2:4" x14ac:dyDescent="0.25">
      <c r="B175" s="98" t="str">
        <f t="shared" si="16"/>
        <v/>
      </c>
      <c r="C175" s="44" t="str">
        <f t="shared" si="15"/>
        <v/>
      </c>
      <c r="D175" t="str">
        <f t="shared" si="17"/>
        <v/>
      </c>
    </row>
    <row r="176" spans="2:4" x14ac:dyDescent="0.25">
      <c r="B176" s="98" t="str">
        <f t="shared" si="16"/>
        <v/>
      </c>
      <c r="C176" s="44" t="str">
        <f t="shared" si="15"/>
        <v/>
      </c>
      <c r="D176" t="str">
        <f t="shared" si="17"/>
        <v/>
      </c>
    </row>
    <row r="177" spans="2:4" x14ac:dyDescent="0.25">
      <c r="B177" s="98" t="str">
        <f t="shared" si="16"/>
        <v/>
      </c>
      <c r="C177" s="44" t="str">
        <f t="shared" si="15"/>
        <v/>
      </c>
      <c r="D177" t="str">
        <f t="shared" si="17"/>
        <v/>
      </c>
    </row>
    <row r="178" spans="2:4" x14ac:dyDescent="0.25">
      <c r="B178" s="98" t="str">
        <f t="shared" si="16"/>
        <v/>
      </c>
      <c r="C178" s="44" t="str">
        <f t="shared" si="15"/>
        <v/>
      </c>
      <c r="D178" t="str">
        <f t="shared" si="17"/>
        <v/>
      </c>
    </row>
    <row r="179" spans="2:4" x14ac:dyDescent="0.25">
      <c r="B179" s="98" t="str">
        <f t="shared" si="16"/>
        <v/>
      </c>
      <c r="C179" s="44" t="str">
        <f t="shared" si="15"/>
        <v/>
      </c>
      <c r="D179" t="str">
        <f t="shared" si="17"/>
        <v/>
      </c>
    </row>
    <row r="180" spans="2:4" x14ac:dyDescent="0.25">
      <c r="B180" s="98" t="str">
        <f t="shared" si="16"/>
        <v/>
      </c>
      <c r="C180" s="44" t="str">
        <f t="shared" si="15"/>
        <v/>
      </c>
      <c r="D180" t="str">
        <f t="shared" si="17"/>
        <v/>
      </c>
    </row>
    <row r="181" spans="2:4" x14ac:dyDescent="0.25">
      <c r="B181" s="98" t="str">
        <f t="shared" si="16"/>
        <v/>
      </c>
      <c r="C181" s="44" t="str">
        <f t="shared" si="15"/>
        <v/>
      </c>
      <c r="D181" t="str">
        <f t="shared" si="17"/>
        <v/>
      </c>
    </row>
    <row r="182" spans="2:4" x14ac:dyDescent="0.25">
      <c r="B182" s="98" t="str">
        <f t="shared" si="16"/>
        <v/>
      </c>
      <c r="C182" s="44" t="str">
        <f t="shared" si="15"/>
        <v/>
      </c>
      <c r="D182" t="str">
        <f t="shared" si="17"/>
        <v/>
      </c>
    </row>
    <row r="183" spans="2:4" x14ac:dyDescent="0.25">
      <c r="B183" s="98" t="str">
        <f t="shared" si="16"/>
        <v/>
      </c>
      <c r="C183" s="44" t="str">
        <f t="shared" si="15"/>
        <v/>
      </c>
      <c r="D183" t="str">
        <f t="shared" si="17"/>
        <v/>
      </c>
    </row>
    <row r="184" spans="2:4" x14ac:dyDescent="0.25">
      <c r="B184" s="98" t="str">
        <f t="shared" si="16"/>
        <v/>
      </c>
      <c r="C184" s="44" t="str">
        <f t="shared" si="15"/>
        <v/>
      </c>
      <c r="D184" t="str">
        <f t="shared" si="17"/>
        <v/>
      </c>
    </row>
    <row r="185" spans="2:4" x14ac:dyDescent="0.25">
      <c r="B185" s="98" t="str">
        <f t="shared" si="16"/>
        <v/>
      </c>
      <c r="C185" s="44" t="str">
        <f t="shared" si="15"/>
        <v/>
      </c>
      <c r="D185" t="str">
        <f t="shared" si="17"/>
        <v/>
      </c>
    </row>
    <row r="186" spans="2:4" x14ac:dyDescent="0.25">
      <c r="B186" s="98" t="str">
        <f t="shared" si="16"/>
        <v/>
      </c>
      <c r="C186" s="44" t="str">
        <f t="shared" si="15"/>
        <v/>
      </c>
      <c r="D186" t="str">
        <f t="shared" si="17"/>
        <v/>
      </c>
    </row>
    <row r="187" spans="2:4" x14ac:dyDescent="0.25">
      <c r="B187" s="98" t="str">
        <f t="shared" si="16"/>
        <v/>
      </c>
      <c r="C187" s="44" t="str">
        <f t="shared" si="15"/>
        <v/>
      </c>
      <c r="D187" t="str">
        <f t="shared" si="17"/>
        <v/>
      </c>
    </row>
    <row r="188" spans="2:4" x14ac:dyDescent="0.25">
      <c r="B188" s="98" t="str">
        <f t="shared" si="16"/>
        <v/>
      </c>
      <c r="C188" s="44" t="str">
        <f t="shared" si="15"/>
        <v/>
      </c>
      <c r="D188" t="str">
        <f t="shared" si="17"/>
        <v/>
      </c>
    </row>
    <row r="189" spans="2:4" x14ac:dyDescent="0.25">
      <c r="B189" s="98" t="str">
        <f t="shared" si="16"/>
        <v/>
      </c>
      <c r="C189" s="44" t="str">
        <f t="shared" si="15"/>
        <v/>
      </c>
      <c r="D189" t="str">
        <f t="shared" si="17"/>
        <v/>
      </c>
    </row>
    <row r="190" spans="2:4" x14ac:dyDescent="0.25">
      <c r="B190" s="98" t="str">
        <f t="shared" si="16"/>
        <v/>
      </c>
      <c r="C190" s="44" t="str">
        <f t="shared" si="15"/>
        <v/>
      </c>
      <c r="D190" t="str">
        <f t="shared" si="17"/>
        <v/>
      </c>
    </row>
    <row r="191" spans="2:4" x14ac:dyDescent="0.25">
      <c r="B191" s="98" t="str">
        <f t="shared" si="16"/>
        <v/>
      </c>
      <c r="C191" s="44" t="str">
        <f t="shared" si="15"/>
        <v/>
      </c>
      <c r="D191" t="str">
        <f t="shared" si="17"/>
        <v/>
      </c>
    </row>
    <row r="192" spans="2:4" x14ac:dyDescent="0.25">
      <c r="B192" s="98" t="str">
        <f t="shared" si="16"/>
        <v/>
      </c>
      <c r="C192" s="44" t="str">
        <f t="shared" si="15"/>
        <v/>
      </c>
      <c r="D192" t="str">
        <f t="shared" si="17"/>
        <v/>
      </c>
    </row>
    <row r="193" spans="2:4" x14ac:dyDescent="0.25">
      <c r="B193" s="98" t="str">
        <f t="shared" si="16"/>
        <v/>
      </c>
      <c r="C193" s="44" t="str">
        <f t="shared" si="15"/>
        <v/>
      </c>
      <c r="D193" t="str">
        <f t="shared" si="17"/>
        <v/>
      </c>
    </row>
    <row r="194" spans="2:4" x14ac:dyDescent="0.25">
      <c r="B194" s="98" t="str">
        <f t="shared" si="16"/>
        <v/>
      </c>
      <c r="C194" s="44" t="str">
        <f t="shared" si="15"/>
        <v/>
      </c>
      <c r="D194" t="str">
        <f t="shared" si="17"/>
        <v/>
      </c>
    </row>
    <row r="195" spans="2:4" x14ac:dyDescent="0.25">
      <c r="B195" s="98" t="str">
        <f t="shared" si="16"/>
        <v/>
      </c>
      <c r="C195" s="44" t="str">
        <f t="shared" ref="C195:C258" si="18">CONCATENATE(F195,H195)</f>
        <v/>
      </c>
      <c r="D195" t="str">
        <f t="shared" si="17"/>
        <v/>
      </c>
    </row>
    <row r="196" spans="2:4" x14ac:dyDescent="0.25">
      <c r="B196" s="98" t="str">
        <f t="shared" si="16"/>
        <v/>
      </c>
      <c r="C196" s="44" t="str">
        <f t="shared" si="18"/>
        <v/>
      </c>
      <c r="D196" t="str">
        <f t="shared" si="17"/>
        <v/>
      </c>
    </row>
    <row r="197" spans="2:4" x14ac:dyDescent="0.25">
      <c r="B197" s="98" t="str">
        <f t="shared" si="16"/>
        <v/>
      </c>
      <c r="C197" s="44" t="str">
        <f t="shared" si="18"/>
        <v/>
      </c>
      <c r="D197" t="str">
        <f t="shared" si="17"/>
        <v/>
      </c>
    </row>
    <row r="198" spans="2:4" x14ac:dyDescent="0.25">
      <c r="B198" s="98" t="str">
        <f t="shared" si="16"/>
        <v/>
      </c>
      <c r="C198" s="44" t="str">
        <f t="shared" si="18"/>
        <v/>
      </c>
      <c r="D198" t="str">
        <f t="shared" si="17"/>
        <v/>
      </c>
    </row>
    <row r="199" spans="2:4" x14ac:dyDescent="0.25">
      <c r="B199" s="98" t="str">
        <f t="shared" si="16"/>
        <v/>
      </c>
      <c r="C199" s="44" t="str">
        <f t="shared" si="18"/>
        <v/>
      </c>
      <c r="D199" t="str">
        <f t="shared" si="17"/>
        <v/>
      </c>
    </row>
    <row r="200" spans="2:4" x14ac:dyDescent="0.25">
      <c r="B200" s="98" t="str">
        <f t="shared" si="16"/>
        <v/>
      </c>
      <c r="C200" s="44" t="str">
        <f t="shared" si="18"/>
        <v/>
      </c>
      <c r="D200" t="str">
        <f t="shared" si="17"/>
        <v/>
      </c>
    </row>
    <row r="201" spans="2:4" x14ac:dyDescent="0.25">
      <c r="B201" s="98" t="str">
        <f t="shared" si="16"/>
        <v/>
      </c>
      <c r="C201" s="44" t="str">
        <f t="shared" si="18"/>
        <v/>
      </c>
      <c r="D201" t="str">
        <f t="shared" si="17"/>
        <v/>
      </c>
    </row>
    <row r="202" spans="2:4" x14ac:dyDescent="0.25">
      <c r="B202" s="98" t="str">
        <f t="shared" si="16"/>
        <v/>
      </c>
      <c r="C202" s="44" t="str">
        <f t="shared" si="18"/>
        <v/>
      </c>
      <c r="D202" t="str">
        <f t="shared" si="17"/>
        <v/>
      </c>
    </row>
    <row r="203" spans="2:4" x14ac:dyDescent="0.25">
      <c r="B203" s="98" t="str">
        <f t="shared" si="16"/>
        <v/>
      </c>
      <c r="C203" s="44" t="str">
        <f t="shared" si="18"/>
        <v/>
      </c>
      <c r="D203" t="str">
        <f t="shared" si="17"/>
        <v/>
      </c>
    </row>
    <row r="204" spans="2:4" x14ac:dyDescent="0.25">
      <c r="B204" s="98" t="str">
        <f t="shared" si="16"/>
        <v/>
      </c>
      <c r="C204" s="44" t="str">
        <f t="shared" si="18"/>
        <v/>
      </c>
      <c r="D204" t="str">
        <f t="shared" si="17"/>
        <v/>
      </c>
    </row>
    <row r="205" spans="2:4" x14ac:dyDescent="0.25">
      <c r="B205" s="98" t="str">
        <f t="shared" si="16"/>
        <v/>
      </c>
      <c r="C205" s="44" t="str">
        <f t="shared" si="18"/>
        <v/>
      </c>
      <c r="D205" t="str">
        <f t="shared" si="17"/>
        <v/>
      </c>
    </row>
    <row r="206" spans="2:4" x14ac:dyDescent="0.25">
      <c r="B206" s="98" t="str">
        <f t="shared" si="16"/>
        <v/>
      </c>
      <c r="C206" s="44" t="str">
        <f t="shared" si="18"/>
        <v/>
      </c>
      <c r="D206" t="str">
        <f t="shared" si="17"/>
        <v/>
      </c>
    </row>
    <row r="207" spans="2:4" x14ac:dyDescent="0.25">
      <c r="B207" s="98" t="str">
        <f t="shared" si="16"/>
        <v/>
      </c>
      <c r="C207" s="44" t="str">
        <f t="shared" si="18"/>
        <v/>
      </c>
      <c r="D207" t="str">
        <f t="shared" si="17"/>
        <v/>
      </c>
    </row>
    <row r="208" spans="2:4" x14ac:dyDescent="0.25">
      <c r="B208" s="98" t="str">
        <f t="shared" si="16"/>
        <v/>
      </c>
      <c r="C208" s="44" t="str">
        <f t="shared" si="18"/>
        <v/>
      </c>
      <c r="D208" t="str">
        <f t="shared" si="17"/>
        <v/>
      </c>
    </row>
    <row r="209" spans="2:4" x14ac:dyDescent="0.25">
      <c r="B209" s="98" t="str">
        <f t="shared" si="16"/>
        <v/>
      </c>
      <c r="C209" s="44" t="str">
        <f t="shared" si="18"/>
        <v/>
      </c>
      <c r="D209" t="str">
        <f t="shared" si="17"/>
        <v/>
      </c>
    </row>
    <row r="210" spans="2:4" x14ac:dyDescent="0.25">
      <c r="B210" s="98" t="str">
        <f t="shared" si="16"/>
        <v/>
      </c>
      <c r="C210" s="44" t="str">
        <f t="shared" si="18"/>
        <v/>
      </c>
      <c r="D210" t="str">
        <f t="shared" si="17"/>
        <v/>
      </c>
    </row>
    <row r="211" spans="2:4" x14ac:dyDescent="0.25">
      <c r="B211" s="98" t="str">
        <f t="shared" si="16"/>
        <v/>
      </c>
      <c r="C211" s="44" t="str">
        <f t="shared" si="18"/>
        <v/>
      </c>
      <c r="D211" t="str">
        <f t="shared" si="17"/>
        <v/>
      </c>
    </row>
    <row r="212" spans="2:4" x14ac:dyDescent="0.25">
      <c r="B212" s="98" t="str">
        <f t="shared" si="16"/>
        <v/>
      </c>
      <c r="C212" s="44" t="str">
        <f t="shared" si="18"/>
        <v/>
      </c>
      <c r="D212" t="str">
        <f t="shared" si="17"/>
        <v/>
      </c>
    </row>
    <row r="213" spans="2:4" x14ac:dyDescent="0.25">
      <c r="B213" s="98" t="str">
        <f t="shared" si="16"/>
        <v/>
      </c>
      <c r="C213" s="44" t="str">
        <f t="shared" si="18"/>
        <v/>
      </c>
      <c r="D213" t="str">
        <f t="shared" si="17"/>
        <v/>
      </c>
    </row>
    <row r="214" spans="2:4" x14ac:dyDescent="0.25">
      <c r="B214" s="98" t="str">
        <f t="shared" si="16"/>
        <v/>
      </c>
      <c r="C214" s="44" t="str">
        <f t="shared" si="18"/>
        <v/>
      </c>
      <c r="D214" t="str">
        <f t="shared" si="17"/>
        <v/>
      </c>
    </row>
    <row r="215" spans="2:4" x14ac:dyDescent="0.25">
      <c r="B215" s="98" t="str">
        <f t="shared" si="16"/>
        <v/>
      </c>
      <c r="C215" s="44" t="str">
        <f t="shared" si="18"/>
        <v/>
      </c>
      <c r="D215" t="str">
        <f t="shared" si="17"/>
        <v/>
      </c>
    </row>
    <row r="216" spans="2:4" x14ac:dyDescent="0.25">
      <c r="B216" s="98" t="str">
        <f t="shared" si="16"/>
        <v/>
      </c>
      <c r="C216" s="44" t="str">
        <f t="shared" si="18"/>
        <v/>
      </c>
      <c r="D216" t="str">
        <f t="shared" si="17"/>
        <v/>
      </c>
    </row>
    <row r="217" spans="2:4" x14ac:dyDescent="0.25">
      <c r="B217" s="98" t="str">
        <f t="shared" si="16"/>
        <v/>
      </c>
      <c r="C217" s="44" t="str">
        <f t="shared" si="18"/>
        <v/>
      </c>
      <c r="D217" t="str">
        <f t="shared" si="17"/>
        <v/>
      </c>
    </row>
    <row r="218" spans="2:4" x14ac:dyDescent="0.25">
      <c r="B218" s="98" t="str">
        <f t="shared" si="16"/>
        <v/>
      </c>
      <c r="C218" s="44" t="str">
        <f t="shared" si="18"/>
        <v/>
      </c>
      <c r="D218" t="str">
        <f t="shared" si="17"/>
        <v/>
      </c>
    </row>
    <row r="219" spans="2:4" x14ac:dyDescent="0.25">
      <c r="B219" s="98" t="str">
        <f t="shared" si="16"/>
        <v/>
      </c>
      <c r="C219" s="44" t="str">
        <f t="shared" si="18"/>
        <v/>
      </c>
      <c r="D219" t="str">
        <f t="shared" si="17"/>
        <v/>
      </c>
    </row>
    <row r="220" spans="2:4" x14ac:dyDescent="0.25">
      <c r="B220" s="98" t="str">
        <f t="shared" si="16"/>
        <v/>
      </c>
      <c r="C220" s="44" t="str">
        <f t="shared" si="18"/>
        <v/>
      </c>
      <c r="D220" t="str">
        <f t="shared" si="17"/>
        <v/>
      </c>
    </row>
    <row r="221" spans="2:4" x14ac:dyDescent="0.25">
      <c r="B221" s="98" t="str">
        <f t="shared" si="16"/>
        <v/>
      </c>
      <c r="C221" s="44" t="str">
        <f t="shared" si="18"/>
        <v/>
      </c>
      <c r="D221" t="str">
        <f t="shared" si="17"/>
        <v/>
      </c>
    </row>
    <row r="222" spans="2:4" x14ac:dyDescent="0.25">
      <c r="B222" s="98" t="str">
        <f t="shared" si="16"/>
        <v/>
      </c>
      <c r="C222" s="44" t="str">
        <f t="shared" si="18"/>
        <v/>
      </c>
      <c r="D222" t="str">
        <f t="shared" si="17"/>
        <v/>
      </c>
    </row>
    <row r="223" spans="2:4" x14ac:dyDescent="0.25">
      <c r="B223" s="98" t="str">
        <f t="shared" si="16"/>
        <v/>
      </c>
      <c r="C223" s="44" t="str">
        <f t="shared" si="18"/>
        <v/>
      </c>
      <c r="D223" t="str">
        <f t="shared" si="17"/>
        <v/>
      </c>
    </row>
    <row r="224" spans="2:4" x14ac:dyDescent="0.25">
      <c r="B224" s="98" t="str">
        <f t="shared" si="16"/>
        <v/>
      </c>
      <c r="C224" s="44" t="str">
        <f t="shared" si="18"/>
        <v/>
      </c>
      <c r="D224" t="str">
        <f t="shared" si="17"/>
        <v/>
      </c>
    </row>
    <row r="225" spans="2:4" x14ac:dyDescent="0.25">
      <c r="B225" s="98" t="str">
        <f t="shared" si="16"/>
        <v/>
      </c>
      <c r="C225" s="44" t="str">
        <f t="shared" si="18"/>
        <v/>
      </c>
      <c r="D225" t="str">
        <f t="shared" si="17"/>
        <v/>
      </c>
    </row>
    <row r="226" spans="2:4" x14ac:dyDescent="0.25">
      <c r="B226" s="98" t="str">
        <f t="shared" si="16"/>
        <v/>
      </c>
      <c r="C226" s="44" t="str">
        <f t="shared" si="18"/>
        <v/>
      </c>
      <c r="D226" t="str">
        <f t="shared" si="17"/>
        <v/>
      </c>
    </row>
    <row r="227" spans="2:4" x14ac:dyDescent="0.25">
      <c r="B227" s="98" t="str">
        <f t="shared" si="16"/>
        <v/>
      </c>
      <c r="C227" s="44" t="str">
        <f t="shared" si="18"/>
        <v/>
      </c>
      <c r="D227" t="str">
        <f t="shared" si="17"/>
        <v/>
      </c>
    </row>
    <row r="228" spans="2:4" x14ac:dyDescent="0.25">
      <c r="B228" s="98" t="str">
        <f t="shared" si="16"/>
        <v/>
      </c>
      <c r="C228" s="44" t="str">
        <f t="shared" si="18"/>
        <v/>
      </c>
      <c r="D228" t="str">
        <f t="shared" si="17"/>
        <v/>
      </c>
    </row>
    <row r="229" spans="2:4" x14ac:dyDescent="0.25">
      <c r="B229" s="98" t="str">
        <f t="shared" si="16"/>
        <v/>
      </c>
      <c r="C229" s="44" t="str">
        <f t="shared" si="18"/>
        <v/>
      </c>
      <c r="D229" t="str">
        <f t="shared" si="17"/>
        <v/>
      </c>
    </row>
    <row r="230" spans="2:4" x14ac:dyDescent="0.25">
      <c r="B230" s="98" t="str">
        <f t="shared" si="16"/>
        <v/>
      </c>
      <c r="C230" s="44" t="str">
        <f t="shared" si="18"/>
        <v/>
      </c>
      <c r="D230" t="str">
        <f t="shared" si="17"/>
        <v/>
      </c>
    </row>
    <row r="231" spans="2:4" x14ac:dyDescent="0.25">
      <c r="B231" s="98" t="str">
        <f t="shared" ref="B231:B294" si="19">IF(AND(N214&lt;1,(F214&gt;1)),"T","")</f>
        <v/>
      </c>
      <c r="C231" s="44" t="str">
        <f t="shared" si="18"/>
        <v/>
      </c>
      <c r="D231" t="str">
        <f t="shared" ref="D231:D294" si="20">G237&amp;J237</f>
        <v/>
      </c>
    </row>
    <row r="232" spans="2:4" x14ac:dyDescent="0.25">
      <c r="B232" s="98" t="str">
        <f t="shared" si="19"/>
        <v/>
      </c>
      <c r="C232" s="44" t="str">
        <f t="shared" si="18"/>
        <v/>
      </c>
      <c r="D232" t="str">
        <f t="shared" si="20"/>
        <v/>
      </c>
    </row>
    <row r="233" spans="2:4" x14ac:dyDescent="0.25">
      <c r="B233" s="98" t="str">
        <f t="shared" si="19"/>
        <v/>
      </c>
      <c r="C233" s="44" t="str">
        <f t="shared" si="18"/>
        <v/>
      </c>
      <c r="D233" t="str">
        <f t="shared" si="20"/>
        <v/>
      </c>
    </row>
    <row r="234" spans="2:4" x14ac:dyDescent="0.25">
      <c r="B234" s="98" t="str">
        <f t="shared" si="19"/>
        <v/>
      </c>
      <c r="C234" s="44" t="str">
        <f t="shared" si="18"/>
        <v/>
      </c>
      <c r="D234" t="str">
        <f t="shared" si="20"/>
        <v/>
      </c>
    </row>
    <row r="235" spans="2:4" x14ac:dyDescent="0.25">
      <c r="B235" s="98" t="str">
        <f t="shared" si="19"/>
        <v/>
      </c>
      <c r="C235" s="44" t="str">
        <f t="shared" si="18"/>
        <v/>
      </c>
      <c r="D235" t="str">
        <f t="shared" si="20"/>
        <v/>
      </c>
    </row>
    <row r="236" spans="2:4" x14ac:dyDescent="0.25">
      <c r="B236" s="98" t="str">
        <f t="shared" si="19"/>
        <v/>
      </c>
      <c r="C236" s="44" t="str">
        <f t="shared" si="18"/>
        <v/>
      </c>
      <c r="D236" t="str">
        <f t="shared" si="20"/>
        <v/>
      </c>
    </row>
    <row r="237" spans="2:4" x14ac:dyDescent="0.25">
      <c r="B237" s="98" t="str">
        <f t="shared" si="19"/>
        <v/>
      </c>
      <c r="C237" s="44" t="str">
        <f t="shared" si="18"/>
        <v/>
      </c>
      <c r="D237" t="str">
        <f t="shared" si="20"/>
        <v/>
      </c>
    </row>
    <row r="238" spans="2:4" x14ac:dyDescent="0.25">
      <c r="B238" s="98" t="str">
        <f t="shared" si="19"/>
        <v/>
      </c>
      <c r="C238" s="44" t="str">
        <f t="shared" si="18"/>
        <v/>
      </c>
      <c r="D238" t="str">
        <f t="shared" si="20"/>
        <v/>
      </c>
    </row>
    <row r="239" spans="2:4" x14ac:dyDescent="0.25">
      <c r="B239" s="98" t="str">
        <f t="shared" si="19"/>
        <v/>
      </c>
      <c r="C239" s="44" t="str">
        <f t="shared" si="18"/>
        <v/>
      </c>
      <c r="D239" t="str">
        <f t="shared" si="20"/>
        <v/>
      </c>
    </row>
    <row r="240" spans="2:4" x14ac:dyDescent="0.25">
      <c r="B240" s="98" t="str">
        <f t="shared" si="19"/>
        <v/>
      </c>
      <c r="C240" s="44" t="str">
        <f t="shared" si="18"/>
        <v/>
      </c>
      <c r="D240" t="str">
        <f t="shared" si="20"/>
        <v/>
      </c>
    </row>
    <row r="241" spans="2:4" x14ac:dyDescent="0.25">
      <c r="B241" s="98" t="str">
        <f t="shared" si="19"/>
        <v/>
      </c>
      <c r="C241" s="44" t="str">
        <f t="shared" si="18"/>
        <v/>
      </c>
      <c r="D241" t="str">
        <f t="shared" si="20"/>
        <v/>
      </c>
    </row>
    <row r="242" spans="2:4" x14ac:dyDescent="0.25">
      <c r="B242" s="98" t="str">
        <f t="shared" si="19"/>
        <v/>
      </c>
      <c r="C242" s="44" t="str">
        <f t="shared" si="18"/>
        <v/>
      </c>
      <c r="D242" t="str">
        <f t="shared" si="20"/>
        <v/>
      </c>
    </row>
    <row r="243" spans="2:4" x14ac:dyDescent="0.25">
      <c r="B243" s="98" t="str">
        <f t="shared" si="19"/>
        <v/>
      </c>
      <c r="C243" s="44" t="str">
        <f t="shared" si="18"/>
        <v/>
      </c>
      <c r="D243" t="str">
        <f t="shared" si="20"/>
        <v/>
      </c>
    </row>
    <row r="244" spans="2:4" x14ac:dyDescent="0.25">
      <c r="B244" s="98" t="str">
        <f t="shared" si="19"/>
        <v/>
      </c>
      <c r="C244" s="44" t="str">
        <f t="shared" si="18"/>
        <v/>
      </c>
      <c r="D244" t="str">
        <f t="shared" si="20"/>
        <v/>
      </c>
    </row>
    <row r="245" spans="2:4" x14ac:dyDescent="0.25">
      <c r="B245" s="98" t="str">
        <f t="shared" si="19"/>
        <v/>
      </c>
      <c r="C245" s="44" t="str">
        <f t="shared" si="18"/>
        <v/>
      </c>
      <c r="D245" t="str">
        <f t="shared" si="20"/>
        <v/>
      </c>
    </row>
    <row r="246" spans="2:4" x14ac:dyDescent="0.25">
      <c r="B246" s="98" t="str">
        <f t="shared" si="19"/>
        <v/>
      </c>
      <c r="C246" s="44" t="str">
        <f t="shared" si="18"/>
        <v/>
      </c>
      <c r="D246" t="str">
        <f t="shared" si="20"/>
        <v/>
      </c>
    </row>
    <row r="247" spans="2:4" x14ac:dyDescent="0.25">
      <c r="B247" s="98" t="str">
        <f t="shared" si="19"/>
        <v/>
      </c>
      <c r="C247" s="44" t="str">
        <f t="shared" si="18"/>
        <v/>
      </c>
      <c r="D247" t="str">
        <f t="shared" si="20"/>
        <v/>
      </c>
    </row>
    <row r="248" spans="2:4" x14ac:dyDescent="0.25">
      <c r="B248" s="98" t="str">
        <f t="shared" si="19"/>
        <v/>
      </c>
      <c r="C248" s="44" t="str">
        <f t="shared" si="18"/>
        <v/>
      </c>
      <c r="D248" t="str">
        <f t="shared" si="20"/>
        <v/>
      </c>
    </row>
    <row r="249" spans="2:4" x14ac:dyDescent="0.25">
      <c r="B249" s="98" t="str">
        <f t="shared" si="19"/>
        <v/>
      </c>
      <c r="C249" s="44" t="str">
        <f t="shared" si="18"/>
        <v/>
      </c>
      <c r="D249" t="str">
        <f t="shared" si="20"/>
        <v/>
      </c>
    </row>
    <row r="250" spans="2:4" x14ac:dyDescent="0.25">
      <c r="B250" s="98" t="str">
        <f t="shared" si="19"/>
        <v/>
      </c>
      <c r="C250" s="44" t="str">
        <f t="shared" si="18"/>
        <v/>
      </c>
      <c r="D250" t="str">
        <f t="shared" si="20"/>
        <v/>
      </c>
    </row>
    <row r="251" spans="2:4" x14ac:dyDescent="0.25">
      <c r="B251" s="98" t="str">
        <f t="shared" si="19"/>
        <v/>
      </c>
      <c r="C251" s="44" t="str">
        <f t="shared" si="18"/>
        <v/>
      </c>
      <c r="D251" t="str">
        <f t="shared" si="20"/>
        <v/>
      </c>
    </row>
    <row r="252" spans="2:4" x14ac:dyDescent="0.25">
      <c r="B252" s="98" t="str">
        <f t="shared" si="19"/>
        <v/>
      </c>
      <c r="C252" s="44" t="str">
        <f t="shared" si="18"/>
        <v/>
      </c>
      <c r="D252" t="str">
        <f t="shared" si="20"/>
        <v/>
      </c>
    </row>
    <row r="253" spans="2:4" x14ac:dyDescent="0.25">
      <c r="B253" s="98" t="str">
        <f t="shared" si="19"/>
        <v/>
      </c>
      <c r="C253" s="44" t="str">
        <f t="shared" si="18"/>
        <v/>
      </c>
      <c r="D253" t="str">
        <f t="shared" si="20"/>
        <v/>
      </c>
    </row>
    <row r="254" spans="2:4" x14ac:dyDescent="0.25">
      <c r="B254" s="98" t="str">
        <f t="shared" si="19"/>
        <v/>
      </c>
      <c r="C254" s="44" t="str">
        <f t="shared" si="18"/>
        <v/>
      </c>
      <c r="D254" t="str">
        <f t="shared" si="20"/>
        <v/>
      </c>
    </row>
    <row r="255" spans="2:4" x14ac:dyDescent="0.25">
      <c r="B255" s="98" t="str">
        <f t="shared" si="19"/>
        <v/>
      </c>
      <c r="C255" s="44" t="str">
        <f t="shared" si="18"/>
        <v/>
      </c>
      <c r="D255" t="str">
        <f t="shared" si="20"/>
        <v/>
      </c>
    </row>
    <row r="256" spans="2:4" x14ac:dyDescent="0.25">
      <c r="B256" s="98" t="str">
        <f t="shared" si="19"/>
        <v/>
      </c>
      <c r="C256" s="44" t="str">
        <f t="shared" si="18"/>
        <v/>
      </c>
      <c r="D256" t="str">
        <f t="shared" si="20"/>
        <v/>
      </c>
    </row>
    <row r="257" spans="2:4" x14ac:dyDescent="0.25">
      <c r="B257" s="98" t="str">
        <f t="shared" si="19"/>
        <v/>
      </c>
      <c r="C257" s="44" t="str">
        <f t="shared" si="18"/>
        <v/>
      </c>
      <c r="D257" t="str">
        <f t="shared" si="20"/>
        <v/>
      </c>
    </row>
    <row r="258" spans="2:4" x14ac:dyDescent="0.25">
      <c r="B258" s="98" t="str">
        <f t="shared" si="19"/>
        <v/>
      </c>
      <c r="C258" s="44" t="str">
        <f t="shared" si="18"/>
        <v/>
      </c>
      <c r="D258" t="str">
        <f t="shared" si="20"/>
        <v/>
      </c>
    </row>
    <row r="259" spans="2:4" x14ac:dyDescent="0.25">
      <c r="B259" s="98" t="str">
        <f t="shared" si="19"/>
        <v/>
      </c>
      <c r="C259" s="44" t="str">
        <f t="shared" ref="C259:C322" si="21">CONCATENATE(F259,H259)</f>
        <v/>
      </c>
      <c r="D259" t="str">
        <f t="shared" si="20"/>
        <v/>
      </c>
    </row>
    <row r="260" spans="2:4" x14ac:dyDescent="0.25">
      <c r="B260" s="98" t="str">
        <f t="shared" si="19"/>
        <v/>
      </c>
      <c r="C260" s="44" t="str">
        <f t="shared" si="21"/>
        <v/>
      </c>
      <c r="D260" t="str">
        <f t="shared" si="20"/>
        <v/>
      </c>
    </row>
    <row r="261" spans="2:4" x14ac:dyDescent="0.25">
      <c r="B261" s="98" t="str">
        <f t="shared" si="19"/>
        <v/>
      </c>
      <c r="C261" s="44" t="str">
        <f t="shared" si="21"/>
        <v/>
      </c>
      <c r="D261" t="str">
        <f t="shared" si="20"/>
        <v/>
      </c>
    </row>
    <row r="262" spans="2:4" x14ac:dyDescent="0.25">
      <c r="B262" s="98" t="str">
        <f t="shared" si="19"/>
        <v/>
      </c>
      <c r="C262" s="44" t="str">
        <f t="shared" si="21"/>
        <v/>
      </c>
      <c r="D262" t="str">
        <f t="shared" si="20"/>
        <v/>
      </c>
    </row>
    <row r="263" spans="2:4" x14ac:dyDescent="0.25">
      <c r="B263" s="98" t="str">
        <f t="shared" si="19"/>
        <v/>
      </c>
      <c r="C263" s="44" t="str">
        <f t="shared" si="21"/>
        <v/>
      </c>
      <c r="D263" t="str">
        <f t="shared" si="20"/>
        <v/>
      </c>
    </row>
    <row r="264" spans="2:4" x14ac:dyDescent="0.25">
      <c r="B264" s="98" t="str">
        <f t="shared" si="19"/>
        <v/>
      </c>
      <c r="C264" s="44" t="str">
        <f t="shared" si="21"/>
        <v/>
      </c>
      <c r="D264" t="str">
        <f t="shared" si="20"/>
        <v/>
      </c>
    </row>
    <row r="265" spans="2:4" x14ac:dyDescent="0.25">
      <c r="B265" s="98" t="str">
        <f t="shared" si="19"/>
        <v/>
      </c>
      <c r="C265" s="44" t="str">
        <f t="shared" si="21"/>
        <v/>
      </c>
      <c r="D265" t="str">
        <f t="shared" si="20"/>
        <v/>
      </c>
    </row>
    <row r="266" spans="2:4" x14ac:dyDescent="0.25">
      <c r="B266" s="98" t="str">
        <f t="shared" si="19"/>
        <v/>
      </c>
      <c r="C266" s="44" t="str">
        <f t="shared" si="21"/>
        <v/>
      </c>
      <c r="D266" t="str">
        <f t="shared" si="20"/>
        <v/>
      </c>
    </row>
    <row r="267" spans="2:4" x14ac:dyDescent="0.25">
      <c r="B267" s="98" t="str">
        <f t="shared" si="19"/>
        <v/>
      </c>
      <c r="C267" s="44" t="str">
        <f t="shared" si="21"/>
        <v/>
      </c>
      <c r="D267" t="str">
        <f t="shared" si="20"/>
        <v/>
      </c>
    </row>
    <row r="268" spans="2:4" x14ac:dyDescent="0.25">
      <c r="B268" s="98" t="str">
        <f t="shared" si="19"/>
        <v/>
      </c>
      <c r="C268" s="44" t="str">
        <f t="shared" si="21"/>
        <v/>
      </c>
      <c r="D268" t="str">
        <f t="shared" si="20"/>
        <v/>
      </c>
    </row>
    <row r="269" spans="2:4" x14ac:dyDescent="0.25">
      <c r="B269" s="98" t="str">
        <f t="shared" si="19"/>
        <v/>
      </c>
      <c r="C269" s="44" t="str">
        <f t="shared" si="21"/>
        <v/>
      </c>
      <c r="D269" t="str">
        <f t="shared" si="20"/>
        <v/>
      </c>
    </row>
    <row r="270" spans="2:4" x14ac:dyDescent="0.25">
      <c r="B270" s="98" t="str">
        <f t="shared" si="19"/>
        <v/>
      </c>
      <c r="C270" s="44" t="str">
        <f t="shared" si="21"/>
        <v/>
      </c>
      <c r="D270" t="str">
        <f t="shared" si="20"/>
        <v/>
      </c>
    </row>
    <row r="271" spans="2:4" x14ac:dyDescent="0.25">
      <c r="B271" s="98" t="str">
        <f t="shared" si="19"/>
        <v/>
      </c>
      <c r="C271" s="44" t="str">
        <f t="shared" si="21"/>
        <v/>
      </c>
      <c r="D271" t="str">
        <f t="shared" si="20"/>
        <v/>
      </c>
    </row>
    <row r="272" spans="2:4" x14ac:dyDescent="0.25">
      <c r="B272" s="98" t="str">
        <f t="shared" si="19"/>
        <v/>
      </c>
      <c r="C272" s="44" t="str">
        <f t="shared" si="21"/>
        <v/>
      </c>
      <c r="D272" t="str">
        <f t="shared" si="20"/>
        <v/>
      </c>
    </row>
    <row r="273" spans="2:4" x14ac:dyDescent="0.25">
      <c r="B273" s="98" t="str">
        <f t="shared" si="19"/>
        <v/>
      </c>
      <c r="C273" s="44" t="str">
        <f t="shared" si="21"/>
        <v/>
      </c>
      <c r="D273" t="str">
        <f t="shared" si="20"/>
        <v/>
      </c>
    </row>
    <row r="274" spans="2:4" x14ac:dyDescent="0.25">
      <c r="B274" s="98" t="str">
        <f t="shared" si="19"/>
        <v/>
      </c>
      <c r="C274" s="44" t="str">
        <f t="shared" si="21"/>
        <v/>
      </c>
      <c r="D274" t="str">
        <f t="shared" si="20"/>
        <v/>
      </c>
    </row>
    <row r="275" spans="2:4" x14ac:dyDescent="0.25">
      <c r="B275" s="98" t="str">
        <f t="shared" si="19"/>
        <v/>
      </c>
      <c r="C275" s="44" t="str">
        <f t="shared" si="21"/>
        <v/>
      </c>
      <c r="D275" t="str">
        <f t="shared" si="20"/>
        <v/>
      </c>
    </row>
    <row r="276" spans="2:4" x14ac:dyDescent="0.25">
      <c r="B276" s="98" t="str">
        <f t="shared" si="19"/>
        <v/>
      </c>
      <c r="C276" s="44" t="str">
        <f t="shared" si="21"/>
        <v/>
      </c>
      <c r="D276" t="str">
        <f t="shared" si="20"/>
        <v/>
      </c>
    </row>
    <row r="277" spans="2:4" x14ac:dyDescent="0.25">
      <c r="B277" s="98" t="str">
        <f t="shared" si="19"/>
        <v/>
      </c>
      <c r="C277" s="44" t="str">
        <f t="shared" si="21"/>
        <v/>
      </c>
      <c r="D277" t="str">
        <f t="shared" si="20"/>
        <v/>
      </c>
    </row>
    <row r="278" spans="2:4" x14ac:dyDescent="0.25">
      <c r="B278" s="98" t="str">
        <f t="shared" si="19"/>
        <v/>
      </c>
      <c r="C278" s="44" t="str">
        <f t="shared" si="21"/>
        <v/>
      </c>
      <c r="D278" t="str">
        <f t="shared" si="20"/>
        <v/>
      </c>
    </row>
    <row r="279" spans="2:4" x14ac:dyDescent="0.25">
      <c r="B279" s="98" t="str">
        <f t="shared" si="19"/>
        <v/>
      </c>
      <c r="C279" s="44" t="str">
        <f t="shared" si="21"/>
        <v/>
      </c>
      <c r="D279" t="str">
        <f t="shared" si="20"/>
        <v/>
      </c>
    </row>
    <row r="280" spans="2:4" x14ac:dyDescent="0.25">
      <c r="B280" s="98" t="str">
        <f t="shared" si="19"/>
        <v/>
      </c>
      <c r="C280" s="44" t="str">
        <f t="shared" si="21"/>
        <v/>
      </c>
      <c r="D280" t="str">
        <f t="shared" si="20"/>
        <v/>
      </c>
    </row>
    <row r="281" spans="2:4" x14ac:dyDescent="0.25">
      <c r="B281" s="98" t="str">
        <f t="shared" si="19"/>
        <v/>
      </c>
      <c r="C281" s="44" t="str">
        <f t="shared" si="21"/>
        <v/>
      </c>
      <c r="D281" t="str">
        <f t="shared" si="20"/>
        <v/>
      </c>
    </row>
    <row r="282" spans="2:4" x14ac:dyDescent="0.25">
      <c r="B282" s="98" t="str">
        <f t="shared" si="19"/>
        <v/>
      </c>
      <c r="C282" s="44" t="str">
        <f t="shared" si="21"/>
        <v/>
      </c>
      <c r="D282" t="str">
        <f t="shared" si="20"/>
        <v/>
      </c>
    </row>
    <row r="283" spans="2:4" x14ac:dyDescent="0.25">
      <c r="B283" s="98" t="str">
        <f t="shared" si="19"/>
        <v/>
      </c>
      <c r="C283" s="44" t="str">
        <f t="shared" si="21"/>
        <v/>
      </c>
      <c r="D283" t="str">
        <f t="shared" si="20"/>
        <v/>
      </c>
    </row>
    <row r="284" spans="2:4" x14ac:dyDescent="0.25">
      <c r="B284" s="98" t="str">
        <f t="shared" si="19"/>
        <v/>
      </c>
      <c r="C284" s="44" t="str">
        <f t="shared" si="21"/>
        <v/>
      </c>
      <c r="D284" t="str">
        <f t="shared" si="20"/>
        <v/>
      </c>
    </row>
    <row r="285" spans="2:4" x14ac:dyDescent="0.25">
      <c r="B285" s="98" t="str">
        <f t="shared" si="19"/>
        <v/>
      </c>
      <c r="C285" s="44" t="str">
        <f t="shared" si="21"/>
        <v/>
      </c>
      <c r="D285" t="str">
        <f t="shared" si="20"/>
        <v/>
      </c>
    </row>
    <row r="286" spans="2:4" x14ac:dyDescent="0.25">
      <c r="B286" s="98" t="str">
        <f t="shared" si="19"/>
        <v/>
      </c>
      <c r="C286" s="44" t="str">
        <f t="shared" si="21"/>
        <v/>
      </c>
      <c r="D286" t="str">
        <f t="shared" si="20"/>
        <v/>
      </c>
    </row>
    <row r="287" spans="2:4" x14ac:dyDescent="0.25">
      <c r="B287" s="98" t="str">
        <f t="shared" si="19"/>
        <v/>
      </c>
      <c r="C287" s="44" t="str">
        <f t="shared" si="21"/>
        <v/>
      </c>
      <c r="D287" t="str">
        <f t="shared" si="20"/>
        <v/>
      </c>
    </row>
    <row r="288" spans="2:4" x14ac:dyDescent="0.25">
      <c r="B288" s="98" t="str">
        <f t="shared" si="19"/>
        <v/>
      </c>
      <c r="C288" s="44" t="str">
        <f t="shared" si="21"/>
        <v/>
      </c>
      <c r="D288" t="str">
        <f t="shared" si="20"/>
        <v/>
      </c>
    </row>
    <row r="289" spans="2:4" x14ac:dyDescent="0.25">
      <c r="B289" s="98" t="str">
        <f t="shared" si="19"/>
        <v/>
      </c>
      <c r="C289" s="44" t="str">
        <f t="shared" si="21"/>
        <v/>
      </c>
      <c r="D289" t="str">
        <f t="shared" si="20"/>
        <v/>
      </c>
    </row>
    <row r="290" spans="2:4" x14ac:dyDescent="0.25">
      <c r="B290" s="98" t="str">
        <f t="shared" si="19"/>
        <v/>
      </c>
      <c r="C290" s="44" t="str">
        <f t="shared" si="21"/>
        <v/>
      </c>
      <c r="D290" t="str">
        <f t="shared" si="20"/>
        <v/>
      </c>
    </row>
    <row r="291" spans="2:4" x14ac:dyDescent="0.25">
      <c r="B291" s="98" t="str">
        <f t="shared" si="19"/>
        <v/>
      </c>
      <c r="C291" s="44" t="str">
        <f t="shared" si="21"/>
        <v/>
      </c>
      <c r="D291" t="str">
        <f t="shared" si="20"/>
        <v/>
      </c>
    </row>
    <row r="292" spans="2:4" x14ac:dyDescent="0.25">
      <c r="B292" s="98" t="str">
        <f t="shared" si="19"/>
        <v/>
      </c>
      <c r="C292" s="44" t="str">
        <f t="shared" si="21"/>
        <v/>
      </c>
      <c r="D292" t="str">
        <f t="shared" si="20"/>
        <v/>
      </c>
    </row>
    <row r="293" spans="2:4" x14ac:dyDescent="0.25">
      <c r="B293" s="98" t="str">
        <f t="shared" si="19"/>
        <v/>
      </c>
      <c r="C293" s="44" t="str">
        <f t="shared" si="21"/>
        <v/>
      </c>
      <c r="D293" t="str">
        <f t="shared" si="20"/>
        <v/>
      </c>
    </row>
    <row r="294" spans="2:4" x14ac:dyDescent="0.25">
      <c r="B294" s="98" t="str">
        <f t="shared" si="19"/>
        <v/>
      </c>
      <c r="C294" s="44" t="str">
        <f t="shared" si="21"/>
        <v/>
      </c>
      <c r="D294" t="str">
        <f t="shared" si="20"/>
        <v/>
      </c>
    </row>
    <row r="295" spans="2:4" x14ac:dyDescent="0.25">
      <c r="B295" s="98" t="str">
        <f t="shared" ref="B295:B358" si="22">IF(AND(N278&lt;1,(F278&gt;1)),"T","")</f>
        <v/>
      </c>
      <c r="C295" s="44" t="str">
        <f t="shared" si="21"/>
        <v/>
      </c>
      <c r="D295" t="str">
        <f t="shared" ref="D295:D358" si="23">G301&amp;J301</f>
        <v/>
      </c>
    </row>
    <row r="296" spans="2:4" x14ac:dyDescent="0.25">
      <c r="B296" s="98" t="str">
        <f t="shared" si="22"/>
        <v/>
      </c>
      <c r="C296" s="44" t="str">
        <f t="shared" si="21"/>
        <v/>
      </c>
      <c r="D296" t="str">
        <f t="shared" si="23"/>
        <v/>
      </c>
    </row>
    <row r="297" spans="2:4" x14ac:dyDescent="0.25">
      <c r="B297" s="98" t="str">
        <f t="shared" si="22"/>
        <v/>
      </c>
      <c r="C297" s="44" t="str">
        <f t="shared" si="21"/>
        <v/>
      </c>
      <c r="D297" t="str">
        <f t="shared" si="23"/>
        <v/>
      </c>
    </row>
    <row r="298" spans="2:4" x14ac:dyDescent="0.25">
      <c r="B298" s="98" t="str">
        <f t="shared" si="22"/>
        <v/>
      </c>
      <c r="C298" s="44" t="str">
        <f t="shared" si="21"/>
        <v/>
      </c>
      <c r="D298" t="str">
        <f t="shared" si="23"/>
        <v/>
      </c>
    </row>
    <row r="299" spans="2:4" x14ac:dyDescent="0.25">
      <c r="B299" s="98" t="str">
        <f t="shared" si="22"/>
        <v/>
      </c>
      <c r="C299" s="44" t="str">
        <f t="shared" si="21"/>
        <v/>
      </c>
      <c r="D299" t="str">
        <f t="shared" si="23"/>
        <v/>
      </c>
    </row>
    <row r="300" spans="2:4" x14ac:dyDescent="0.25">
      <c r="B300" s="98" t="str">
        <f t="shared" si="22"/>
        <v/>
      </c>
      <c r="C300" s="44" t="str">
        <f t="shared" si="21"/>
        <v/>
      </c>
      <c r="D300" t="str">
        <f t="shared" si="23"/>
        <v/>
      </c>
    </row>
    <row r="301" spans="2:4" x14ac:dyDescent="0.25">
      <c r="B301" s="98" t="str">
        <f t="shared" si="22"/>
        <v/>
      </c>
      <c r="C301" s="44" t="str">
        <f t="shared" si="21"/>
        <v/>
      </c>
      <c r="D301" t="str">
        <f t="shared" si="23"/>
        <v/>
      </c>
    </row>
    <row r="302" spans="2:4" x14ac:dyDescent="0.25">
      <c r="B302" s="98" t="str">
        <f t="shared" si="22"/>
        <v/>
      </c>
      <c r="C302" s="44" t="str">
        <f t="shared" si="21"/>
        <v/>
      </c>
      <c r="D302" t="str">
        <f t="shared" si="23"/>
        <v/>
      </c>
    </row>
    <row r="303" spans="2:4" x14ac:dyDescent="0.25">
      <c r="B303" s="98" t="str">
        <f t="shared" si="22"/>
        <v/>
      </c>
      <c r="C303" s="44" t="str">
        <f t="shared" si="21"/>
        <v/>
      </c>
      <c r="D303" t="str">
        <f t="shared" si="23"/>
        <v/>
      </c>
    </row>
    <row r="304" spans="2:4" x14ac:dyDescent="0.25">
      <c r="B304" s="98" t="str">
        <f t="shared" si="22"/>
        <v/>
      </c>
      <c r="C304" s="44" t="str">
        <f t="shared" si="21"/>
        <v/>
      </c>
      <c r="D304" t="str">
        <f t="shared" si="23"/>
        <v/>
      </c>
    </row>
    <row r="305" spans="2:4" x14ac:dyDescent="0.25">
      <c r="B305" s="98" t="str">
        <f t="shared" si="22"/>
        <v/>
      </c>
      <c r="C305" s="44" t="str">
        <f t="shared" si="21"/>
        <v/>
      </c>
      <c r="D305" t="str">
        <f t="shared" si="23"/>
        <v/>
      </c>
    </row>
    <row r="306" spans="2:4" x14ac:dyDescent="0.25">
      <c r="B306" s="98" t="str">
        <f t="shared" si="22"/>
        <v/>
      </c>
      <c r="C306" s="44" t="str">
        <f t="shared" si="21"/>
        <v/>
      </c>
      <c r="D306" t="str">
        <f t="shared" si="23"/>
        <v/>
      </c>
    </row>
    <row r="307" spans="2:4" x14ac:dyDescent="0.25">
      <c r="B307" s="98" t="str">
        <f t="shared" si="22"/>
        <v/>
      </c>
      <c r="C307" s="44" t="str">
        <f t="shared" si="21"/>
        <v/>
      </c>
      <c r="D307" t="str">
        <f t="shared" si="23"/>
        <v/>
      </c>
    </row>
    <row r="308" spans="2:4" x14ac:dyDescent="0.25">
      <c r="B308" s="98" t="str">
        <f t="shared" si="22"/>
        <v/>
      </c>
      <c r="C308" s="44" t="str">
        <f t="shared" si="21"/>
        <v/>
      </c>
      <c r="D308" t="str">
        <f t="shared" si="23"/>
        <v/>
      </c>
    </row>
    <row r="309" spans="2:4" x14ac:dyDescent="0.25">
      <c r="B309" s="98" t="str">
        <f t="shared" si="22"/>
        <v/>
      </c>
      <c r="C309" s="44" t="str">
        <f t="shared" si="21"/>
        <v/>
      </c>
      <c r="D309" t="str">
        <f t="shared" si="23"/>
        <v/>
      </c>
    </row>
    <row r="310" spans="2:4" x14ac:dyDescent="0.25">
      <c r="B310" s="98" t="str">
        <f t="shared" si="22"/>
        <v/>
      </c>
      <c r="C310" s="44" t="str">
        <f t="shared" si="21"/>
        <v/>
      </c>
      <c r="D310" t="str">
        <f t="shared" si="23"/>
        <v/>
      </c>
    </row>
    <row r="311" spans="2:4" x14ac:dyDescent="0.25">
      <c r="B311" s="98" t="str">
        <f t="shared" si="22"/>
        <v/>
      </c>
      <c r="C311" s="44" t="str">
        <f t="shared" si="21"/>
        <v/>
      </c>
      <c r="D311" t="str">
        <f t="shared" si="23"/>
        <v/>
      </c>
    </row>
    <row r="312" spans="2:4" x14ac:dyDescent="0.25">
      <c r="B312" s="98" t="str">
        <f t="shared" si="22"/>
        <v/>
      </c>
      <c r="C312" s="44" t="str">
        <f t="shared" si="21"/>
        <v/>
      </c>
      <c r="D312" t="str">
        <f t="shared" si="23"/>
        <v/>
      </c>
    </row>
    <row r="313" spans="2:4" x14ac:dyDescent="0.25">
      <c r="B313" s="98" t="str">
        <f t="shared" si="22"/>
        <v/>
      </c>
      <c r="C313" s="44" t="str">
        <f t="shared" si="21"/>
        <v/>
      </c>
      <c r="D313" t="str">
        <f t="shared" si="23"/>
        <v/>
      </c>
    </row>
    <row r="314" spans="2:4" x14ac:dyDescent="0.25">
      <c r="B314" s="98" t="str">
        <f t="shared" si="22"/>
        <v/>
      </c>
      <c r="C314" s="44" t="str">
        <f t="shared" si="21"/>
        <v/>
      </c>
      <c r="D314" t="str">
        <f t="shared" si="23"/>
        <v/>
      </c>
    </row>
    <row r="315" spans="2:4" x14ac:dyDescent="0.25">
      <c r="B315" s="98" t="str">
        <f t="shared" si="22"/>
        <v/>
      </c>
      <c r="C315" s="44" t="str">
        <f t="shared" si="21"/>
        <v/>
      </c>
      <c r="D315" t="str">
        <f t="shared" si="23"/>
        <v/>
      </c>
    </row>
    <row r="316" spans="2:4" x14ac:dyDescent="0.25">
      <c r="B316" s="98" t="str">
        <f t="shared" si="22"/>
        <v/>
      </c>
      <c r="C316" s="44" t="str">
        <f t="shared" si="21"/>
        <v/>
      </c>
      <c r="D316" t="str">
        <f t="shared" si="23"/>
        <v/>
      </c>
    </row>
    <row r="317" spans="2:4" x14ac:dyDescent="0.25">
      <c r="B317" s="98" t="str">
        <f t="shared" si="22"/>
        <v/>
      </c>
      <c r="C317" s="44" t="str">
        <f t="shared" si="21"/>
        <v/>
      </c>
      <c r="D317" t="str">
        <f t="shared" si="23"/>
        <v/>
      </c>
    </row>
    <row r="318" spans="2:4" x14ac:dyDescent="0.25">
      <c r="B318" s="98" t="str">
        <f t="shared" si="22"/>
        <v/>
      </c>
      <c r="C318" s="44" t="str">
        <f t="shared" si="21"/>
        <v/>
      </c>
      <c r="D318" t="str">
        <f t="shared" si="23"/>
        <v/>
      </c>
    </row>
    <row r="319" spans="2:4" x14ac:dyDescent="0.25">
      <c r="B319" s="98" t="str">
        <f t="shared" si="22"/>
        <v/>
      </c>
      <c r="C319" s="44" t="str">
        <f t="shared" si="21"/>
        <v/>
      </c>
      <c r="D319" t="str">
        <f t="shared" si="23"/>
        <v/>
      </c>
    </row>
    <row r="320" spans="2:4" x14ac:dyDescent="0.25">
      <c r="B320" s="98" t="str">
        <f t="shared" si="22"/>
        <v/>
      </c>
      <c r="C320" s="44" t="str">
        <f t="shared" si="21"/>
        <v/>
      </c>
      <c r="D320" t="str">
        <f t="shared" si="23"/>
        <v/>
      </c>
    </row>
    <row r="321" spans="2:4" x14ac:dyDescent="0.25">
      <c r="B321" s="98" t="str">
        <f t="shared" si="22"/>
        <v/>
      </c>
      <c r="C321" s="44" t="str">
        <f t="shared" si="21"/>
        <v/>
      </c>
      <c r="D321" t="str">
        <f t="shared" si="23"/>
        <v/>
      </c>
    </row>
    <row r="322" spans="2:4" x14ac:dyDescent="0.25">
      <c r="B322" s="98" t="str">
        <f t="shared" si="22"/>
        <v/>
      </c>
      <c r="C322" s="44" t="str">
        <f t="shared" si="21"/>
        <v/>
      </c>
      <c r="D322" t="str">
        <f t="shared" si="23"/>
        <v/>
      </c>
    </row>
    <row r="323" spans="2:4" x14ac:dyDescent="0.25">
      <c r="B323" s="98" t="str">
        <f t="shared" si="22"/>
        <v/>
      </c>
      <c r="C323" s="44" t="str">
        <f t="shared" ref="C323:C386" si="24">CONCATENATE(F323,H323)</f>
        <v/>
      </c>
      <c r="D323" t="str">
        <f t="shared" si="23"/>
        <v/>
      </c>
    </row>
    <row r="324" spans="2:4" x14ac:dyDescent="0.25">
      <c r="B324" s="98" t="str">
        <f t="shared" si="22"/>
        <v/>
      </c>
      <c r="C324" s="44" t="str">
        <f t="shared" si="24"/>
        <v/>
      </c>
      <c r="D324" t="str">
        <f t="shared" si="23"/>
        <v/>
      </c>
    </row>
    <row r="325" spans="2:4" x14ac:dyDescent="0.25">
      <c r="B325" s="98" t="str">
        <f t="shared" si="22"/>
        <v/>
      </c>
      <c r="C325" s="44" t="str">
        <f t="shared" si="24"/>
        <v/>
      </c>
      <c r="D325" t="str">
        <f t="shared" si="23"/>
        <v/>
      </c>
    </row>
    <row r="326" spans="2:4" x14ac:dyDescent="0.25">
      <c r="B326" s="98" t="str">
        <f t="shared" si="22"/>
        <v/>
      </c>
      <c r="C326" s="44" t="str">
        <f t="shared" si="24"/>
        <v/>
      </c>
      <c r="D326" t="str">
        <f t="shared" si="23"/>
        <v/>
      </c>
    </row>
    <row r="327" spans="2:4" x14ac:dyDescent="0.25">
      <c r="B327" s="98" t="str">
        <f t="shared" si="22"/>
        <v/>
      </c>
      <c r="C327" s="44" t="str">
        <f t="shared" si="24"/>
        <v/>
      </c>
      <c r="D327" t="str">
        <f t="shared" si="23"/>
        <v/>
      </c>
    </row>
    <row r="328" spans="2:4" x14ac:dyDescent="0.25">
      <c r="B328" s="98" t="str">
        <f t="shared" si="22"/>
        <v/>
      </c>
      <c r="C328" s="44" t="str">
        <f t="shared" si="24"/>
        <v/>
      </c>
      <c r="D328" t="str">
        <f t="shared" si="23"/>
        <v/>
      </c>
    </row>
    <row r="329" spans="2:4" x14ac:dyDescent="0.25">
      <c r="B329" s="98" t="str">
        <f t="shared" si="22"/>
        <v/>
      </c>
      <c r="C329" s="44" t="str">
        <f t="shared" si="24"/>
        <v/>
      </c>
      <c r="D329" t="str">
        <f t="shared" si="23"/>
        <v/>
      </c>
    </row>
    <row r="330" spans="2:4" x14ac:dyDescent="0.25">
      <c r="B330" s="98" t="str">
        <f t="shared" si="22"/>
        <v/>
      </c>
      <c r="C330" s="44" t="str">
        <f t="shared" si="24"/>
        <v/>
      </c>
      <c r="D330" t="str">
        <f t="shared" si="23"/>
        <v/>
      </c>
    </row>
    <row r="331" spans="2:4" x14ac:dyDescent="0.25">
      <c r="B331" s="98" t="str">
        <f t="shared" si="22"/>
        <v/>
      </c>
      <c r="C331" s="44" t="str">
        <f t="shared" si="24"/>
        <v/>
      </c>
      <c r="D331" t="str">
        <f t="shared" si="23"/>
        <v/>
      </c>
    </row>
    <row r="332" spans="2:4" x14ac:dyDescent="0.25">
      <c r="B332" s="98" t="str">
        <f t="shared" si="22"/>
        <v/>
      </c>
      <c r="C332" s="44" t="str">
        <f t="shared" si="24"/>
        <v/>
      </c>
      <c r="D332" t="str">
        <f t="shared" si="23"/>
        <v/>
      </c>
    </row>
    <row r="333" spans="2:4" x14ac:dyDescent="0.25">
      <c r="B333" s="98" t="str">
        <f t="shared" si="22"/>
        <v/>
      </c>
      <c r="C333" s="44" t="str">
        <f t="shared" si="24"/>
        <v/>
      </c>
      <c r="D333" t="str">
        <f t="shared" si="23"/>
        <v/>
      </c>
    </row>
    <row r="334" spans="2:4" x14ac:dyDescent="0.25">
      <c r="B334" s="98" t="str">
        <f t="shared" si="22"/>
        <v/>
      </c>
      <c r="C334" s="44" t="str">
        <f t="shared" si="24"/>
        <v/>
      </c>
      <c r="D334" t="str">
        <f t="shared" si="23"/>
        <v/>
      </c>
    </row>
    <row r="335" spans="2:4" x14ac:dyDescent="0.25">
      <c r="B335" s="98" t="str">
        <f t="shared" si="22"/>
        <v/>
      </c>
      <c r="C335" s="44" t="str">
        <f t="shared" si="24"/>
        <v/>
      </c>
      <c r="D335" t="str">
        <f t="shared" si="23"/>
        <v/>
      </c>
    </row>
    <row r="336" spans="2:4" x14ac:dyDescent="0.25">
      <c r="B336" s="98" t="str">
        <f t="shared" si="22"/>
        <v/>
      </c>
      <c r="C336" s="44" t="str">
        <f t="shared" si="24"/>
        <v/>
      </c>
      <c r="D336" t="str">
        <f t="shared" si="23"/>
        <v/>
      </c>
    </row>
    <row r="337" spans="2:4" x14ac:dyDescent="0.25">
      <c r="B337" s="98" t="str">
        <f t="shared" si="22"/>
        <v/>
      </c>
      <c r="C337" s="44" t="str">
        <f t="shared" si="24"/>
        <v/>
      </c>
      <c r="D337" t="str">
        <f t="shared" si="23"/>
        <v/>
      </c>
    </row>
    <row r="338" spans="2:4" x14ac:dyDescent="0.25">
      <c r="B338" s="98" t="str">
        <f t="shared" si="22"/>
        <v/>
      </c>
      <c r="C338" s="44" t="str">
        <f t="shared" si="24"/>
        <v/>
      </c>
      <c r="D338" t="str">
        <f t="shared" si="23"/>
        <v/>
      </c>
    </row>
    <row r="339" spans="2:4" x14ac:dyDescent="0.25">
      <c r="B339" s="98" t="str">
        <f t="shared" si="22"/>
        <v/>
      </c>
      <c r="C339" s="44" t="str">
        <f t="shared" si="24"/>
        <v/>
      </c>
      <c r="D339" t="str">
        <f t="shared" si="23"/>
        <v/>
      </c>
    </row>
    <row r="340" spans="2:4" x14ac:dyDescent="0.25">
      <c r="B340" s="98" t="str">
        <f t="shared" si="22"/>
        <v/>
      </c>
      <c r="C340" s="44" t="str">
        <f t="shared" si="24"/>
        <v/>
      </c>
      <c r="D340" t="str">
        <f t="shared" si="23"/>
        <v/>
      </c>
    </row>
    <row r="341" spans="2:4" x14ac:dyDescent="0.25">
      <c r="B341" s="98" t="str">
        <f t="shared" si="22"/>
        <v/>
      </c>
      <c r="C341" s="44" t="str">
        <f t="shared" si="24"/>
        <v/>
      </c>
      <c r="D341" t="str">
        <f t="shared" si="23"/>
        <v/>
      </c>
    </row>
    <row r="342" spans="2:4" x14ac:dyDescent="0.25">
      <c r="B342" s="98" t="str">
        <f t="shared" si="22"/>
        <v/>
      </c>
      <c r="C342" s="44" t="str">
        <f t="shared" si="24"/>
        <v/>
      </c>
      <c r="D342" t="str">
        <f t="shared" si="23"/>
        <v/>
      </c>
    </row>
    <row r="343" spans="2:4" x14ac:dyDescent="0.25">
      <c r="B343" s="98" t="str">
        <f t="shared" si="22"/>
        <v/>
      </c>
      <c r="C343" s="44" t="str">
        <f t="shared" si="24"/>
        <v/>
      </c>
      <c r="D343" t="str">
        <f t="shared" si="23"/>
        <v/>
      </c>
    </row>
    <row r="344" spans="2:4" x14ac:dyDescent="0.25">
      <c r="B344" s="98" t="str">
        <f t="shared" si="22"/>
        <v/>
      </c>
      <c r="C344" s="44" t="str">
        <f t="shared" si="24"/>
        <v/>
      </c>
      <c r="D344" t="str">
        <f t="shared" si="23"/>
        <v/>
      </c>
    </row>
    <row r="345" spans="2:4" x14ac:dyDescent="0.25">
      <c r="B345" s="98" t="str">
        <f t="shared" si="22"/>
        <v/>
      </c>
      <c r="C345" s="44" t="str">
        <f t="shared" si="24"/>
        <v/>
      </c>
      <c r="D345" t="str">
        <f t="shared" si="23"/>
        <v/>
      </c>
    </row>
    <row r="346" spans="2:4" x14ac:dyDescent="0.25">
      <c r="B346" s="98" t="str">
        <f t="shared" si="22"/>
        <v/>
      </c>
      <c r="C346" s="44" t="str">
        <f t="shared" si="24"/>
        <v/>
      </c>
      <c r="D346" t="str">
        <f t="shared" si="23"/>
        <v/>
      </c>
    </row>
    <row r="347" spans="2:4" x14ac:dyDescent="0.25">
      <c r="B347" s="98" t="str">
        <f t="shared" si="22"/>
        <v/>
      </c>
      <c r="C347" s="44" t="str">
        <f t="shared" si="24"/>
        <v/>
      </c>
      <c r="D347" t="str">
        <f t="shared" si="23"/>
        <v/>
      </c>
    </row>
    <row r="348" spans="2:4" x14ac:dyDescent="0.25">
      <c r="B348" s="98" t="str">
        <f t="shared" si="22"/>
        <v/>
      </c>
      <c r="C348" s="44" t="str">
        <f t="shared" si="24"/>
        <v/>
      </c>
      <c r="D348" t="str">
        <f t="shared" si="23"/>
        <v/>
      </c>
    </row>
    <row r="349" spans="2:4" x14ac:dyDescent="0.25">
      <c r="B349" s="98" t="str">
        <f t="shared" si="22"/>
        <v/>
      </c>
      <c r="C349" s="44" t="str">
        <f t="shared" si="24"/>
        <v/>
      </c>
      <c r="D349" t="str">
        <f t="shared" si="23"/>
        <v/>
      </c>
    </row>
    <row r="350" spans="2:4" x14ac:dyDescent="0.25">
      <c r="B350" s="98" t="str">
        <f t="shared" si="22"/>
        <v/>
      </c>
      <c r="C350" s="44" t="str">
        <f t="shared" si="24"/>
        <v/>
      </c>
      <c r="D350" t="str">
        <f t="shared" si="23"/>
        <v/>
      </c>
    </row>
    <row r="351" spans="2:4" x14ac:dyDescent="0.25">
      <c r="B351" s="98" t="str">
        <f t="shared" si="22"/>
        <v/>
      </c>
      <c r="C351" s="44" t="str">
        <f t="shared" si="24"/>
        <v/>
      </c>
      <c r="D351" t="str">
        <f t="shared" si="23"/>
        <v/>
      </c>
    </row>
    <row r="352" spans="2:4" x14ac:dyDescent="0.25">
      <c r="B352" s="98" t="str">
        <f t="shared" si="22"/>
        <v/>
      </c>
      <c r="C352" s="44" t="str">
        <f t="shared" si="24"/>
        <v/>
      </c>
      <c r="D352" t="str">
        <f t="shared" si="23"/>
        <v/>
      </c>
    </row>
    <row r="353" spans="2:4" x14ac:dyDescent="0.25">
      <c r="B353" s="98" t="str">
        <f t="shared" si="22"/>
        <v/>
      </c>
      <c r="C353" s="44" t="str">
        <f t="shared" si="24"/>
        <v/>
      </c>
      <c r="D353" t="str">
        <f t="shared" si="23"/>
        <v/>
      </c>
    </row>
    <row r="354" spans="2:4" x14ac:dyDescent="0.25">
      <c r="B354" s="98" t="str">
        <f t="shared" si="22"/>
        <v/>
      </c>
      <c r="C354" s="44" t="str">
        <f t="shared" si="24"/>
        <v/>
      </c>
      <c r="D354" t="str">
        <f t="shared" si="23"/>
        <v/>
      </c>
    </row>
    <row r="355" spans="2:4" x14ac:dyDescent="0.25">
      <c r="B355" s="98" t="str">
        <f t="shared" si="22"/>
        <v/>
      </c>
      <c r="C355" s="44" t="str">
        <f t="shared" si="24"/>
        <v/>
      </c>
      <c r="D355" t="str">
        <f t="shared" si="23"/>
        <v/>
      </c>
    </row>
    <row r="356" spans="2:4" x14ac:dyDescent="0.25">
      <c r="B356" s="98" t="str">
        <f t="shared" si="22"/>
        <v/>
      </c>
      <c r="C356" s="44" t="str">
        <f t="shared" si="24"/>
        <v/>
      </c>
      <c r="D356" t="str">
        <f t="shared" si="23"/>
        <v/>
      </c>
    </row>
    <row r="357" spans="2:4" x14ac:dyDescent="0.25">
      <c r="B357" s="98" t="str">
        <f t="shared" si="22"/>
        <v/>
      </c>
      <c r="C357" s="44" t="str">
        <f t="shared" si="24"/>
        <v/>
      </c>
      <c r="D357" t="str">
        <f t="shared" si="23"/>
        <v/>
      </c>
    </row>
    <row r="358" spans="2:4" x14ac:dyDescent="0.25">
      <c r="B358" s="98" t="str">
        <f t="shared" si="22"/>
        <v/>
      </c>
      <c r="C358" s="44" t="str">
        <f t="shared" si="24"/>
        <v/>
      </c>
      <c r="D358" t="str">
        <f t="shared" si="23"/>
        <v/>
      </c>
    </row>
    <row r="359" spans="2:4" x14ac:dyDescent="0.25">
      <c r="B359" s="98" t="str">
        <f t="shared" ref="B359:B422" si="25">IF(AND(N342&lt;1,(F342&gt;1)),"T","")</f>
        <v/>
      </c>
      <c r="C359" s="44" t="str">
        <f t="shared" si="24"/>
        <v/>
      </c>
      <c r="D359" t="str">
        <f t="shared" ref="D359:D422" si="26">G365&amp;J365</f>
        <v/>
      </c>
    </row>
    <row r="360" spans="2:4" x14ac:dyDescent="0.25">
      <c r="B360" s="98" t="str">
        <f t="shared" si="25"/>
        <v/>
      </c>
      <c r="C360" s="44" t="str">
        <f t="shared" si="24"/>
        <v/>
      </c>
      <c r="D360" t="str">
        <f t="shared" si="26"/>
        <v/>
      </c>
    </row>
    <row r="361" spans="2:4" x14ac:dyDescent="0.25">
      <c r="B361" s="98" t="str">
        <f t="shared" si="25"/>
        <v/>
      </c>
      <c r="C361" s="44" t="str">
        <f t="shared" si="24"/>
        <v/>
      </c>
      <c r="D361" t="str">
        <f t="shared" si="26"/>
        <v/>
      </c>
    </row>
    <row r="362" spans="2:4" x14ac:dyDescent="0.25">
      <c r="B362" s="98" t="str">
        <f t="shared" si="25"/>
        <v/>
      </c>
      <c r="C362" s="44" t="str">
        <f t="shared" si="24"/>
        <v/>
      </c>
      <c r="D362" t="str">
        <f t="shared" si="26"/>
        <v/>
      </c>
    </row>
    <row r="363" spans="2:4" x14ac:dyDescent="0.25">
      <c r="B363" s="98" t="str">
        <f t="shared" si="25"/>
        <v/>
      </c>
      <c r="C363" s="44" t="str">
        <f t="shared" si="24"/>
        <v/>
      </c>
      <c r="D363" t="str">
        <f t="shared" si="26"/>
        <v/>
      </c>
    </row>
    <row r="364" spans="2:4" x14ac:dyDescent="0.25">
      <c r="B364" s="98" t="str">
        <f t="shared" si="25"/>
        <v/>
      </c>
      <c r="C364" s="44" t="str">
        <f t="shared" si="24"/>
        <v/>
      </c>
      <c r="D364" t="str">
        <f t="shared" si="26"/>
        <v/>
      </c>
    </row>
    <row r="365" spans="2:4" x14ac:dyDescent="0.25">
      <c r="B365" s="98" t="str">
        <f t="shared" si="25"/>
        <v/>
      </c>
      <c r="C365" s="44" t="str">
        <f t="shared" si="24"/>
        <v/>
      </c>
      <c r="D365" t="str">
        <f t="shared" si="26"/>
        <v/>
      </c>
    </row>
    <row r="366" spans="2:4" x14ac:dyDescent="0.25">
      <c r="B366" s="98" t="str">
        <f t="shared" si="25"/>
        <v/>
      </c>
      <c r="C366" s="44" t="str">
        <f t="shared" si="24"/>
        <v/>
      </c>
      <c r="D366" t="str">
        <f t="shared" si="26"/>
        <v/>
      </c>
    </row>
    <row r="367" spans="2:4" x14ac:dyDescent="0.25">
      <c r="B367" s="98" t="str">
        <f t="shared" si="25"/>
        <v/>
      </c>
      <c r="C367" s="44" t="str">
        <f t="shared" si="24"/>
        <v/>
      </c>
      <c r="D367" t="str">
        <f t="shared" si="26"/>
        <v/>
      </c>
    </row>
    <row r="368" spans="2:4" x14ac:dyDescent="0.25">
      <c r="B368" s="98" t="str">
        <f t="shared" si="25"/>
        <v/>
      </c>
      <c r="C368" s="44" t="str">
        <f t="shared" si="24"/>
        <v/>
      </c>
      <c r="D368" t="str">
        <f t="shared" si="26"/>
        <v/>
      </c>
    </row>
    <row r="369" spans="2:4" x14ac:dyDescent="0.25">
      <c r="B369" s="98" t="str">
        <f t="shared" si="25"/>
        <v/>
      </c>
      <c r="C369" s="44" t="str">
        <f t="shared" si="24"/>
        <v/>
      </c>
      <c r="D369" t="str">
        <f t="shared" si="26"/>
        <v/>
      </c>
    </row>
    <row r="370" spans="2:4" x14ac:dyDescent="0.25">
      <c r="B370" s="98" t="str">
        <f t="shared" si="25"/>
        <v/>
      </c>
      <c r="C370" s="44" t="str">
        <f t="shared" si="24"/>
        <v/>
      </c>
      <c r="D370" t="str">
        <f t="shared" si="26"/>
        <v/>
      </c>
    </row>
    <row r="371" spans="2:4" x14ac:dyDescent="0.25">
      <c r="B371" s="98" t="str">
        <f t="shared" si="25"/>
        <v/>
      </c>
      <c r="C371" s="44" t="str">
        <f t="shared" si="24"/>
        <v/>
      </c>
      <c r="D371" t="str">
        <f t="shared" si="26"/>
        <v/>
      </c>
    </row>
    <row r="372" spans="2:4" x14ac:dyDescent="0.25">
      <c r="B372" s="98" t="str">
        <f t="shared" si="25"/>
        <v/>
      </c>
      <c r="C372" s="44" t="str">
        <f t="shared" si="24"/>
        <v/>
      </c>
      <c r="D372" t="str">
        <f t="shared" si="26"/>
        <v/>
      </c>
    </row>
    <row r="373" spans="2:4" x14ac:dyDescent="0.25">
      <c r="B373" s="98" t="str">
        <f t="shared" si="25"/>
        <v/>
      </c>
      <c r="C373" s="44" t="str">
        <f t="shared" si="24"/>
        <v/>
      </c>
      <c r="D373" t="str">
        <f t="shared" si="26"/>
        <v/>
      </c>
    </row>
    <row r="374" spans="2:4" x14ac:dyDescent="0.25">
      <c r="B374" s="98" t="str">
        <f t="shared" si="25"/>
        <v/>
      </c>
      <c r="C374" s="44" t="str">
        <f t="shared" si="24"/>
        <v/>
      </c>
      <c r="D374" t="str">
        <f t="shared" si="26"/>
        <v/>
      </c>
    </row>
    <row r="375" spans="2:4" x14ac:dyDescent="0.25">
      <c r="B375" s="98" t="str">
        <f t="shared" si="25"/>
        <v/>
      </c>
      <c r="C375" s="44" t="str">
        <f t="shared" si="24"/>
        <v/>
      </c>
      <c r="D375" t="str">
        <f t="shared" si="26"/>
        <v/>
      </c>
    </row>
    <row r="376" spans="2:4" x14ac:dyDescent="0.25">
      <c r="B376" s="98" t="str">
        <f t="shared" si="25"/>
        <v/>
      </c>
      <c r="C376" s="44" t="str">
        <f t="shared" si="24"/>
        <v/>
      </c>
      <c r="D376" t="str">
        <f t="shared" si="26"/>
        <v/>
      </c>
    </row>
    <row r="377" spans="2:4" x14ac:dyDescent="0.25">
      <c r="B377" s="98" t="str">
        <f t="shared" si="25"/>
        <v/>
      </c>
      <c r="C377" s="44" t="str">
        <f t="shared" si="24"/>
        <v/>
      </c>
      <c r="D377" t="str">
        <f t="shared" si="26"/>
        <v/>
      </c>
    </row>
    <row r="378" spans="2:4" x14ac:dyDescent="0.25">
      <c r="B378" s="98" t="str">
        <f t="shared" si="25"/>
        <v/>
      </c>
      <c r="C378" s="44" t="str">
        <f t="shared" si="24"/>
        <v/>
      </c>
      <c r="D378" t="str">
        <f t="shared" si="26"/>
        <v/>
      </c>
    </row>
    <row r="379" spans="2:4" x14ac:dyDescent="0.25">
      <c r="B379" s="98" t="str">
        <f t="shared" si="25"/>
        <v/>
      </c>
      <c r="C379" s="44" t="str">
        <f t="shared" si="24"/>
        <v/>
      </c>
      <c r="D379" t="str">
        <f t="shared" si="26"/>
        <v/>
      </c>
    </row>
    <row r="380" spans="2:4" x14ac:dyDescent="0.25">
      <c r="B380" s="98" t="str">
        <f t="shared" si="25"/>
        <v/>
      </c>
      <c r="C380" s="44" t="str">
        <f t="shared" si="24"/>
        <v/>
      </c>
      <c r="D380" t="str">
        <f t="shared" si="26"/>
        <v/>
      </c>
    </row>
    <row r="381" spans="2:4" x14ac:dyDescent="0.25">
      <c r="B381" s="98" t="str">
        <f t="shared" si="25"/>
        <v/>
      </c>
      <c r="C381" s="44" t="str">
        <f t="shared" si="24"/>
        <v/>
      </c>
      <c r="D381" t="str">
        <f t="shared" si="26"/>
        <v/>
      </c>
    </row>
    <row r="382" spans="2:4" x14ac:dyDescent="0.25">
      <c r="B382" s="98" t="str">
        <f t="shared" si="25"/>
        <v/>
      </c>
      <c r="C382" s="44" t="str">
        <f t="shared" si="24"/>
        <v/>
      </c>
      <c r="D382" t="str">
        <f t="shared" si="26"/>
        <v/>
      </c>
    </row>
    <row r="383" spans="2:4" x14ac:dyDescent="0.25">
      <c r="B383" s="98" t="str">
        <f t="shared" si="25"/>
        <v/>
      </c>
      <c r="C383" s="44" t="str">
        <f t="shared" si="24"/>
        <v/>
      </c>
      <c r="D383" t="str">
        <f t="shared" si="26"/>
        <v/>
      </c>
    </row>
    <row r="384" spans="2:4" x14ac:dyDescent="0.25">
      <c r="B384" s="98" t="str">
        <f t="shared" si="25"/>
        <v/>
      </c>
      <c r="C384" s="44" t="str">
        <f t="shared" si="24"/>
        <v/>
      </c>
      <c r="D384" t="str">
        <f t="shared" si="26"/>
        <v/>
      </c>
    </row>
    <row r="385" spans="2:4" x14ac:dyDescent="0.25">
      <c r="B385" s="98" t="str">
        <f t="shared" si="25"/>
        <v/>
      </c>
      <c r="C385" s="44" t="str">
        <f t="shared" si="24"/>
        <v/>
      </c>
      <c r="D385" t="str">
        <f t="shared" si="26"/>
        <v/>
      </c>
    </row>
    <row r="386" spans="2:4" x14ac:dyDescent="0.25">
      <c r="B386" s="98" t="str">
        <f t="shared" si="25"/>
        <v/>
      </c>
      <c r="C386" s="44" t="str">
        <f t="shared" si="24"/>
        <v/>
      </c>
      <c r="D386" t="str">
        <f t="shared" si="26"/>
        <v/>
      </c>
    </row>
    <row r="387" spans="2:4" x14ac:dyDescent="0.25">
      <c r="B387" s="98" t="str">
        <f t="shared" si="25"/>
        <v/>
      </c>
      <c r="C387" s="44" t="str">
        <f t="shared" ref="C387:C450" si="27">CONCATENATE(F387,H387)</f>
        <v/>
      </c>
      <c r="D387" t="str">
        <f t="shared" si="26"/>
        <v/>
      </c>
    </row>
    <row r="388" spans="2:4" x14ac:dyDescent="0.25">
      <c r="B388" s="98" t="str">
        <f t="shared" si="25"/>
        <v/>
      </c>
      <c r="C388" s="44" t="str">
        <f t="shared" si="27"/>
        <v/>
      </c>
      <c r="D388" t="str">
        <f t="shared" si="26"/>
        <v/>
      </c>
    </row>
    <row r="389" spans="2:4" x14ac:dyDescent="0.25">
      <c r="B389" s="98" t="str">
        <f t="shared" si="25"/>
        <v/>
      </c>
      <c r="C389" s="44" t="str">
        <f t="shared" si="27"/>
        <v/>
      </c>
      <c r="D389" t="str">
        <f t="shared" si="26"/>
        <v/>
      </c>
    </row>
    <row r="390" spans="2:4" x14ac:dyDescent="0.25">
      <c r="B390" s="98" t="str">
        <f t="shared" si="25"/>
        <v/>
      </c>
      <c r="C390" s="44" t="str">
        <f t="shared" si="27"/>
        <v/>
      </c>
      <c r="D390" t="str">
        <f t="shared" si="26"/>
        <v/>
      </c>
    </row>
    <row r="391" spans="2:4" x14ac:dyDescent="0.25">
      <c r="B391" s="98" t="str">
        <f t="shared" si="25"/>
        <v/>
      </c>
      <c r="C391" s="44" t="str">
        <f t="shared" si="27"/>
        <v/>
      </c>
      <c r="D391" t="str">
        <f t="shared" si="26"/>
        <v/>
      </c>
    </row>
    <row r="392" spans="2:4" x14ac:dyDescent="0.25">
      <c r="B392" s="98" t="str">
        <f t="shared" si="25"/>
        <v/>
      </c>
      <c r="C392" s="44" t="str">
        <f t="shared" si="27"/>
        <v/>
      </c>
      <c r="D392" t="str">
        <f t="shared" si="26"/>
        <v/>
      </c>
    </row>
    <row r="393" spans="2:4" x14ac:dyDescent="0.25">
      <c r="B393" s="98" t="str">
        <f t="shared" si="25"/>
        <v/>
      </c>
      <c r="C393" s="44" t="str">
        <f t="shared" si="27"/>
        <v/>
      </c>
      <c r="D393" t="str">
        <f t="shared" si="26"/>
        <v/>
      </c>
    </row>
    <row r="394" spans="2:4" x14ac:dyDescent="0.25">
      <c r="B394" s="98" t="str">
        <f t="shared" si="25"/>
        <v/>
      </c>
      <c r="C394" s="44" t="str">
        <f t="shared" si="27"/>
        <v/>
      </c>
      <c r="D394" t="str">
        <f t="shared" si="26"/>
        <v/>
      </c>
    </row>
    <row r="395" spans="2:4" x14ac:dyDescent="0.25">
      <c r="B395" s="98" t="str">
        <f t="shared" si="25"/>
        <v/>
      </c>
      <c r="C395" s="44" t="str">
        <f t="shared" si="27"/>
        <v/>
      </c>
      <c r="D395" t="str">
        <f t="shared" si="26"/>
        <v/>
      </c>
    </row>
    <row r="396" spans="2:4" x14ac:dyDescent="0.25">
      <c r="B396" s="98" t="str">
        <f t="shared" si="25"/>
        <v/>
      </c>
      <c r="C396" s="44" t="str">
        <f t="shared" si="27"/>
        <v/>
      </c>
      <c r="D396" t="str">
        <f t="shared" si="26"/>
        <v/>
      </c>
    </row>
    <row r="397" spans="2:4" x14ac:dyDescent="0.25">
      <c r="B397" s="98" t="str">
        <f t="shared" si="25"/>
        <v/>
      </c>
      <c r="C397" s="44" t="str">
        <f t="shared" si="27"/>
        <v/>
      </c>
      <c r="D397" t="str">
        <f t="shared" si="26"/>
        <v/>
      </c>
    </row>
    <row r="398" spans="2:4" x14ac:dyDescent="0.25">
      <c r="B398" s="98" t="str">
        <f t="shared" si="25"/>
        <v/>
      </c>
      <c r="C398" s="44" t="str">
        <f t="shared" si="27"/>
        <v/>
      </c>
      <c r="D398" t="str">
        <f t="shared" si="26"/>
        <v/>
      </c>
    </row>
    <row r="399" spans="2:4" x14ac:dyDescent="0.25">
      <c r="B399" s="98" t="str">
        <f t="shared" si="25"/>
        <v/>
      </c>
      <c r="C399" s="44" t="str">
        <f t="shared" si="27"/>
        <v/>
      </c>
      <c r="D399" t="str">
        <f t="shared" si="26"/>
        <v/>
      </c>
    </row>
    <row r="400" spans="2:4" x14ac:dyDescent="0.25">
      <c r="B400" s="98" t="str">
        <f t="shared" si="25"/>
        <v/>
      </c>
      <c r="C400" s="44" t="str">
        <f t="shared" si="27"/>
        <v/>
      </c>
      <c r="D400" t="str">
        <f t="shared" si="26"/>
        <v/>
      </c>
    </row>
    <row r="401" spans="2:4" x14ac:dyDescent="0.25">
      <c r="B401" s="98" t="str">
        <f t="shared" si="25"/>
        <v/>
      </c>
      <c r="C401" s="44" t="str">
        <f t="shared" si="27"/>
        <v/>
      </c>
      <c r="D401" t="str">
        <f t="shared" si="26"/>
        <v/>
      </c>
    </row>
    <row r="402" spans="2:4" x14ac:dyDescent="0.25">
      <c r="B402" s="98" t="str">
        <f t="shared" si="25"/>
        <v/>
      </c>
      <c r="C402" s="44" t="str">
        <f t="shared" si="27"/>
        <v/>
      </c>
      <c r="D402" t="str">
        <f t="shared" si="26"/>
        <v/>
      </c>
    </row>
    <row r="403" spans="2:4" x14ac:dyDescent="0.25">
      <c r="B403" s="98" t="str">
        <f t="shared" si="25"/>
        <v/>
      </c>
      <c r="C403" s="44" t="str">
        <f t="shared" si="27"/>
        <v/>
      </c>
      <c r="D403" t="str">
        <f t="shared" si="26"/>
        <v/>
      </c>
    </row>
    <row r="404" spans="2:4" x14ac:dyDescent="0.25">
      <c r="B404" s="98" t="str">
        <f t="shared" si="25"/>
        <v/>
      </c>
      <c r="C404" s="44" t="str">
        <f t="shared" si="27"/>
        <v/>
      </c>
      <c r="D404" t="str">
        <f t="shared" si="26"/>
        <v/>
      </c>
    </row>
    <row r="405" spans="2:4" x14ac:dyDescent="0.25">
      <c r="B405" s="98" t="str">
        <f t="shared" si="25"/>
        <v/>
      </c>
      <c r="C405" s="44" t="str">
        <f t="shared" si="27"/>
        <v/>
      </c>
      <c r="D405" t="str">
        <f t="shared" si="26"/>
        <v/>
      </c>
    </row>
    <row r="406" spans="2:4" x14ac:dyDescent="0.25">
      <c r="B406" s="98" t="str">
        <f t="shared" si="25"/>
        <v/>
      </c>
      <c r="C406" s="44" t="str">
        <f t="shared" si="27"/>
        <v/>
      </c>
      <c r="D406" t="str">
        <f t="shared" si="26"/>
        <v/>
      </c>
    </row>
    <row r="407" spans="2:4" x14ac:dyDescent="0.25">
      <c r="B407" s="98" t="str">
        <f t="shared" si="25"/>
        <v/>
      </c>
      <c r="C407" s="44" t="str">
        <f t="shared" si="27"/>
        <v/>
      </c>
      <c r="D407" t="str">
        <f t="shared" si="26"/>
        <v/>
      </c>
    </row>
    <row r="408" spans="2:4" x14ac:dyDescent="0.25">
      <c r="B408" s="98" t="str">
        <f t="shared" si="25"/>
        <v/>
      </c>
      <c r="C408" s="44" t="str">
        <f t="shared" si="27"/>
        <v/>
      </c>
      <c r="D408" t="str">
        <f t="shared" si="26"/>
        <v/>
      </c>
    </row>
    <row r="409" spans="2:4" x14ac:dyDescent="0.25">
      <c r="B409" s="98" t="str">
        <f t="shared" si="25"/>
        <v/>
      </c>
      <c r="C409" s="44" t="str">
        <f t="shared" si="27"/>
        <v/>
      </c>
      <c r="D409" t="str">
        <f t="shared" si="26"/>
        <v/>
      </c>
    </row>
    <row r="410" spans="2:4" x14ac:dyDescent="0.25">
      <c r="B410" s="98" t="str">
        <f t="shared" si="25"/>
        <v/>
      </c>
      <c r="C410" s="44" t="str">
        <f t="shared" si="27"/>
        <v/>
      </c>
      <c r="D410" t="str">
        <f t="shared" si="26"/>
        <v/>
      </c>
    </row>
    <row r="411" spans="2:4" x14ac:dyDescent="0.25">
      <c r="B411" s="98" t="str">
        <f t="shared" si="25"/>
        <v/>
      </c>
      <c r="C411" s="44" t="str">
        <f t="shared" si="27"/>
        <v/>
      </c>
      <c r="D411" t="str">
        <f t="shared" si="26"/>
        <v/>
      </c>
    </row>
    <row r="412" spans="2:4" x14ac:dyDescent="0.25">
      <c r="B412" s="98" t="str">
        <f t="shared" si="25"/>
        <v/>
      </c>
      <c r="C412" s="44" t="str">
        <f t="shared" si="27"/>
        <v/>
      </c>
      <c r="D412" t="str">
        <f t="shared" si="26"/>
        <v/>
      </c>
    </row>
    <row r="413" spans="2:4" x14ac:dyDescent="0.25">
      <c r="B413" s="98" t="str">
        <f t="shared" si="25"/>
        <v/>
      </c>
      <c r="C413" s="44" t="str">
        <f t="shared" si="27"/>
        <v/>
      </c>
      <c r="D413" t="str">
        <f t="shared" si="26"/>
        <v/>
      </c>
    </row>
    <row r="414" spans="2:4" x14ac:dyDescent="0.25">
      <c r="B414" s="98" t="str">
        <f t="shared" si="25"/>
        <v/>
      </c>
      <c r="C414" s="44" t="str">
        <f t="shared" si="27"/>
        <v/>
      </c>
      <c r="D414" t="str">
        <f t="shared" si="26"/>
        <v/>
      </c>
    </row>
    <row r="415" spans="2:4" x14ac:dyDescent="0.25">
      <c r="B415" s="98" t="str">
        <f t="shared" si="25"/>
        <v/>
      </c>
      <c r="C415" s="44" t="str">
        <f t="shared" si="27"/>
        <v/>
      </c>
      <c r="D415" t="str">
        <f t="shared" si="26"/>
        <v/>
      </c>
    </row>
    <row r="416" spans="2:4" x14ac:dyDescent="0.25">
      <c r="B416" s="98" t="str">
        <f t="shared" si="25"/>
        <v/>
      </c>
      <c r="C416" s="44" t="str">
        <f t="shared" si="27"/>
        <v/>
      </c>
      <c r="D416" t="str">
        <f t="shared" si="26"/>
        <v/>
      </c>
    </row>
    <row r="417" spans="2:4" x14ac:dyDescent="0.25">
      <c r="B417" s="98" t="str">
        <f t="shared" si="25"/>
        <v/>
      </c>
      <c r="C417" s="44" t="str">
        <f t="shared" si="27"/>
        <v/>
      </c>
      <c r="D417" t="str">
        <f t="shared" si="26"/>
        <v/>
      </c>
    </row>
    <row r="418" spans="2:4" x14ac:dyDescent="0.25">
      <c r="B418" s="98" t="str">
        <f t="shared" si="25"/>
        <v/>
      </c>
      <c r="C418" s="44" t="str">
        <f t="shared" si="27"/>
        <v/>
      </c>
      <c r="D418" t="str">
        <f t="shared" si="26"/>
        <v/>
      </c>
    </row>
    <row r="419" spans="2:4" x14ac:dyDescent="0.25">
      <c r="B419" s="98" t="str">
        <f t="shared" si="25"/>
        <v/>
      </c>
      <c r="C419" s="44" t="str">
        <f t="shared" si="27"/>
        <v/>
      </c>
      <c r="D419" t="str">
        <f t="shared" si="26"/>
        <v/>
      </c>
    </row>
    <row r="420" spans="2:4" x14ac:dyDescent="0.25">
      <c r="B420" s="98" t="str">
        <f t="shared" si="25"/>
        <v/>
      </c>
      <c r="C420" s="44" t="str">
        <f t="shared" si="27"/>
        <v/>
      </c>
      <c r="D420" t="str">
        <f t="shared" si="26"/>
        <v/>
      </c>
    </row>
    <row r="421" spans="2:4" x14ac:dyDescent="0.25">
      <c r="B421" s="98" t="str">
        <f t="shared" si="25"/>
        <v/>
      </c>
      <c r="C421" s="44" t="str">
        <f t="shared" si="27"/>
        <v/>
      </c>
      <c r="D421" t="str">
        <f t="shared" si="26"/>
        <v/>
      </c>
    </row>
    <row r="422" spans="2:4" x14ac:dyDescent="0.25">
      <c r="B422" s="98" t="str">
        <f t="shared" si="25"/>
        <v/>
      </c>
      <c r="C422" s="44" t="str">
        <f t="shared" si="27"/>
        <v/>
      </c>
      <c r="D422" t="str">
        <f t="shared" si="26"/>
        <v/>
      </c>
    </row>
    <row r="423" spans="2:4" x14ac:dyDescent="0.25">
      <c r="B423" s="98" t="str">
        <f t="shared" ref="B423:B486" si="28">IF(AND(N406&lt;1,(F406&gt;1)),"T","")</f>
        <v/>
      </c>
      <c r="C423" s="44" t="str">
        <f t="shared" si="27"/>
        <v/>
      </c>
      <c r="D423" t="str">
        <f t="shared" ref="D423:D486" si="29">G429&amp;J429</f>
        <v/>
      </c>
    </row>
    <row r="424" spans="2:4" x14ac:dyDescent="0.25">
      <c r="B424" s="98" t="str">
        <f t="shared" si="28"/>
        <v/>
      </c>
      <c r="C424" s="44" t="str">
        <f t="shared" si="27"/>
        <v/>
      </c>
      <c r="D424" t="str">
        <f t="shared" si="29"/>
        <v/>
      </c>
    </row>
    <row r="425" spans="2:4" x14ac:dyDescent="0.25">
      <c r="B425" s="98" t="str">
        <f t="shared" si="28"/>
        <v/>
      </c>
      <c r="C425" s="44" t="str">
        <f t="shared" si="27"/>
        <v/>
      </c>
      <c r="D425" t="str">
        <f t="shared" si="29"/>
        <v/>
      </c>
    </row>
    <row r="426" spans="2:4" x14ac:dyDescent="0.25">
      <c r="B426" s="98" t="str">
        <f t="shared" si="28"/>
        <v/>
      </c>
      <c r="C426" s="44" t="str">
        <f t="shared" si="27"/>
        <v/>
      </c>
      <c r="D426" t="str">
        <f t="shared" si="29"/>
        <v/>
      </c>
    </row>
    <row r="427" spans="2:4" x14ac:dyDescent="0.25">
      <c r="B427" s="98" t="str">
        <f t="shared" si="28"/>
        <v/>
      </c>
      <c r="C427" s="44" t="str">
        <f t="shared" si="27"/>
        <v/>
      </c>
      <c r="D427" t="str">
        <f t="shared" si="29"/>
        <v/>
      </c>
    </row>
    <row r="428" spans="2:4" x14ac:dyDescent="0.25">
      <c r="B428" s="98" t="str">
        <f t="shared" si="28"/>
        <v/>
      </c>
      <c r="C428" s="44" t="str">
        <f t="shared" si="27"/>
        <v/>
      </c>
      <c r="D428" t="str">
        <f t="shared" si="29"/>
        <v/>
      </c>
    </row>
    <row r="429" spans="2:4" x14ac:dyDescent="0.25">
      <c r="B429" s="98" t="str">
        <f t="shared" si="28"/>
        <v/>
      </c>
      <c r="C429" s="44" t="str">
        <f t="shared" si="27"/>
        <v/>
      </c>
      <c r="D429" t="str">
        <f t="shared" si="29"/>
        <v/>
      </c>
    </row>
    <row r="430" spans="2:4" x14ac:dyDescent="0.25">
      <c r="B430" s="98" t="str">
        <f t="shared" si="28"/>
        <v/>
      </c>
      <c r="C430" s="44" t="str">
        <f t="shared" si="27"/>
        <v/>
      </c>
      <c r="D430" t="str">
        <f t="shared" si="29"/>
        <v/>
      </c>
    </row>
    <row r="431" spans="2:4" x14ac:dyDescent="0.25">
      <c r="B431" s="98" t="str">
        <f t="shared" si="28"/>
        <v/>
      </c>
      <c r="C431" s="44" t="str">
        <f t="shared" si="27"/>
        <v/>
      </c>
      <c r="D431" t="str">
        <f t="shared" si="29"/>
        <v/>
      </c>
    </row>
    <row r="432" spans="2:4" x14ac:dyDescent="0.25">
      <c r="B432" s="98" t="str">
        <f t="shared" si="28"/>
        <v/>
      </c>
      <c r="C432" s="44" t="str">
        <f t="shared" si="27"/>
        <v/>
      </c>
      <c r="D432" t="str">
        <f t="shared" si="29"/>
        <v/>
      </c>
    </row>
    <row r="433" spans="2:4" x14ac:dyDescent="0.25">
      <c r="B433" s="98" t="str">
        <f t="shared" si="28"/>
        <v/>
      </c>
      <c r="C433" s="44" t="str">
        <f t="shared" si="27"/>
        <v/>
      </c>
      <c r="D433" t="str">
        <f t="shared" si="29"/>
        <v/>
      </c>
    </row>
    <row r="434" spans="2:4" x14ac:dyDescent="0.25">
      <c r="B434" s="98" t="str">
        <f t="shared" si="28"/>
        <v/>
      </c>
      <c r="C434" s="44" t="str">
        <f t="shared" si="27"/>
        <v/>
      </c>
      <c r="D434" t="str">
        <f t="shared" si="29"/>
        <v/>
      </c>
    </row>
    <row r="435" spans="2:4" x14ac:dyDescent="0.25">
      <c r="B435" s="98" t="str">
        <f t="shared" si="28"/>
        <v/>
      </c>
      <c r="C435" s="44" t="str">
        <f t="shared" si="27"/>
        <v/>
      </c>
      <c r="D435" t="str">
        <f t="shared" si="29"/>
        <v/>
      </c>
    </row>
    <row r="436" spans="2:4" x14ac:dyDescent="0.25">
      <c r="B436" s="98" t="str">
        <f t="shared" si="28"/>
        <v/>
      </c>
      <c r="C436" s="44" t="str">
        <f t="shared" si="27"/>
        <v/>
      </c>
      <c r="D436" t="str">
        <f t="shared" si="29"/>
        <v/>
      </c>
    </row>
    <row r="437" spans="2:4" x14ac:dyDescent="0.25">
      <c r="B437" s="98" t="str">
        <f t="shared" si="28"/>
        <v/>
      </c>
      <c r="C437" s="44" t="str">
        <f t="shared" si="27"/>
        <v/>
      </c>
      <c r="D437" t="str">
        <f t="shared" si="29"/>
        <v/>
      </c>
    </row>
    <row r="438" spans="2:4" x14ac:dyDescent="0.25">
      <c r="B438" s="98" t="str">
        <f t="shared" si="28"/>
        <v/>
      </c>
      <c r="C438" s="44" t="str">
        <f t="shared" si="27"/>
        <v/>
      </c>
      <c r="D438" t="str">
        <f t="shared" si="29"/>
        <v/>
      </c>
    </row>
    <row r="439" spans="2:4" x14ac:dyDescent="0.25">
      <c r="B439" s="98" t="str">
        <f t="shared" si="28"/>
        <v/>
      </c>
      <c r="C439" s="44" t="str">
        <f t="shared" si="27"/>
        <v/>
      </c>
      <c r="D439" t="str">
        <f t="shared" si="29"/>
        <v/>
      </c>
    </row>
    <row r="440" spans="2:4" x14ac:dyDescent="0.25">
      <c r="B440" s="98" t="str">
        <f t="shared" si="28"/>
        <v/>
      </c>
      <c r="C440" s="44" t="str">
        <f t="shared" si="27"/>
        <v/>
      </c>
      <c r="D440" t="str">
        <f t="shared" si="29"/>
        <v/>
      </c>
    </row>
    <row r="441" spans="2:4" x14ac:dyDescent="0.25">
      <c r="B441" s="98" t="str">
        <f t="shared" si="28"/>
        <v/>
      </c>
      <c r="C441" s="44" t="str">
        <f t="shared" si="27"/>
        <v/>
      </c>
      <c r="D441" t="str">
        <f t="shared" si="29"/>
        <v/>
      </c>
    </row>
    <row r="442" spans="2:4" x14ac:dyDescent="0.25">
      <c r="B442" s="98" t="str">
        <f t="shared" si="28"/>
        <v/>
      </c>
      <c r="C442" s="44" t="str">
        <f t="shared" si="27"/>
        <v/>
      </c>
      <c r="D442" t="str">
        <f t="shared" si="29"/>
        <v/>
      </c>
    </row>
    <row r="443" spans="2:4" x14ac:dyDescent="0.25">
      <c r="B443" s="98" t="str">
        <f t="shared" si="28"/>
        <v/>
      </c>
      <c r="C443" s="44" t="str">
        <f t="shared" si="27"/>
        <v/>
      </c>
      <c r="D443" t="str">
        <f t="shared" si="29"/>
        <v/>
      </c>
    </row>
    <row r="444" spans="2:4" x14ac:dyDescent="0.25">
      <c r="B444" s="98" t="str">
        <f t="shared" si="28"/>
        <v/>
      </c>
      <c r="C444" s="44" t="str">
        <f t="shared" si="27"/>
        <v/>
      </c>
      <c r="D444" t="str">
        <f t="shared" si="29"/>
        <v/>
      </c>
    </row>
    <row r="445" spans="2:4" x14ac:dyDescent="0.25">
      <c r="B445" s="98" t="str">
        <f t="shared" si="28"/>
        <v/>
      </c>
      <c r="C445" s="44" t="str">
        <f t="shared" si="27"/>
        <v/>
      </c>
      <c r="D445" t="str">
        <f t="shared" si="29"/>
        <v/>
      </c>
    </row>
    <row r="446" spans="2:4" x14ac:dyDescent="0.25">
      <c r="B446" s="98" t="str">
        <f t="shared" si="28"/>
        <v/>
      </c>
      <c r="C446" s="44" t="str">
        <f t="shared" si="27"/>
        <v/>
      </c>
      <c r="D446" t="str">
        <f t="shared" si="29"/>
        <v/>
      </c>
    </row>
    <row r="447" spans="2:4" x14ac:dyDescent="0.25">
      <c r="B447" s="98" t="str">
        <f t="shared" si="28"/>
        <v/>
      </c>
      <c r="C447" s="44" t="str">
        <f t="shared" si="27"/>
        <v/>
      </c>
      <c r="D447" t="str">
        <f t="shared" si="29"/>
        <v/>
      </c>
    </row>
    <row r="448" spans="2:4" x14ac:dyDescent="0.25">
      <c r="B448" s="98" t="str">
        <f t="shared" si="28"/>
        <v/>
      </c>
      <c r="C448" s="44" t="str">
        <f t="shared" si="27"/>
        <v/>
      </c>
      <c r="D448" t="str">
        <f t="shared" si="29"/>
        <v/>
      </c>
    </row>
    <row r="449" spans="2:4" x14ac:dyDescent="0.25">
      <c r="B449" s="98" t="str">
        <f t="shared" si="28"/>
        <v/>
      </c>
      <c r="C449" s="44" t="str">
        <f t="shared" si="27"/>
        <v/>
      </c>
      <c r="D449" t="str">
        <f t="shared" si="29"/>
        <v/>
      </c>
    </row>
    <row r="450" spans="2:4" x14ac:dyDescent="0.25">
      <c r="B450" s="98" t="str">
        <f t="shared" si="28"/>
        <v/>
      </c>
      <c r="C450" s="44" t="str">
        <f t="shared" si="27"/>
        <v/>
      </c>
      <c r="D450" t="str">
        <f t="shared" si="29"/>
        <v/>
      </c>
    </row>
    <row r="451" spans="2:4" x14ac:dyDescent="0.25">
      <c r="B451" s="98" t="str">
        <f t="shared" si="28"/>
        <v/>
      </c>
      <c r="C451" s="44" t="str">
        <f t="shared" ref="C451:C497" si="30">CONCATENATE(F451,H451)</f>
        <v/>
      </c>
      <c r="D451" t="str">
        <f t="shared" si="29"/>
        <v/>
      </c>
    </row>
    <row r="452" spans="2:4" x14ac:dyDescent="0.25">
      <c r="B452" s="98" t="str">
        <f t="shared" si="28"/>
        <v/>
      </c>
      <c r="C452" s="44" t="str">
        <f t="shared" si="30"/>
        <v/>
      </c>
      <c r="D452" t="str">
        <f t="shared" si="29"/>
        <v/>
      </c>
    </row>
    <row r="453" spans="2:4" x14ac:dyDescent="0.25">
      <c r="B453" s="98" t="str">
        <f t="shared" si="28"/>
        <v/>
      </c>
      <c r="C453" s="44" t="str">
        <f t="shared" si="30"/>
        <v/>
      </c>
      <c r="D453" t="str">
        <f t="shared" si="29"/>
        <v/>
      </c>
    </row>
    <row r="454" spans="2:4" x14ac:dyDescent="0.25">
      <c r="B454" s="98" t="str">
        <f t="shared" si="28"/>
        <v/>
      </c>
      <c r="C454" s="44" t="str">
        <f t="shared" si="30"/>
        <v/>
      </c>
      <c r="D454" t="str">
        <f t="shared" si="29"/>
        <v/>
      </c>
    </row>
    <row r="455" spans="2:4" x14ac:dyDescent="0.25">
      <c r="B455" s="98" t="str">
        <f t="shared" si="28"/>
        <v/>
      </c>
      <c r="C455" s="44" t="str">
        <f t="shared" si="30"/>
        <v/>
      </c>
      <c r="D455" t="str">
        <f t="shared" si="29"/>
        <v/>
      </c>
    </row>
    <row r="456" spans="2:4" x14ac:dyDescent="0.25">
      <c r="B456" s="98" t="str">
        <f t="shared" si="28"/>
        <v/>
      </c>
      <c r="C456" s="44" t="str">
        <f t="shared" si="30"/>
        <v/>
      </c>
      <c r="D456" t="str">
        <f t="shared" si="29"/>
        <v/>
      </c>
    </row>
    <row r="457" spans="2:4" x14ac:dyDescent="0.25">
      <c r="B457" s="98" t="str">
        <f t="shared" si="28"/>
        <v/>
      </c>
      <c r="C457" s="44" t="str">
        <f t="shared" si="30"/>
        <v/>
      </c>
      <c r="D457" t="str">
        <f t="shared" si="29"/>
        <v/>
      </c>
    </row>
    <row r="458" spans="2:4" x14ac:dyDescent="0.25">
      <c r="B458" s="98" t="str">
        <f t="shared" si="28"/>
        <v/>
      </c>
      <c r="C458" s="44" t="str">
        <f t="shared" si="30"/>
        <v/>
      </c>
      <c r="D458" t="str">
        <f t="shared" si="29"/>
        <v/>
      </c>
    </row>
    <row r="459" spans="2:4" x14ac:dyDescent="0.25">
      <c r="B459" s="98" t="str">
        <f t="shared" si="28"/>
        <v/>
      </c>
      <c r="C459" s="44" t="str">
        <f t="shared" si="30"/>
        <v/>
      </c>
      <c r="D459" t="str">
        <f t="shared" si="29"/>
        <v/>
      </c>
    </row>
    <row r="460" spans="2:4" x14ac:dyDescent="0.25">
      <c r="B460" s="98" t="str">
        <f t="shared" si="28"/>
        <v/>
      </c>
      <c r="C460" s="44" t="str">
        <f t="shared" si="30"/>
        <v/>
      </c>
      <c r="D460" t="str">
        <f t="shared" si="29"/>
        <v/>
      </c>
    </row>
    <row r="461" spans="2:4" x14ac:dyDescent="0.25">
      <c r="B461" s="98" t="str">
        <f t="shared" si="28"/>
        <v/>
      </c>
      <c r="C461" s="44" t="str">
        <f t="shared" si="30"/>
        <v/>
      </c>
      <c r="D461" t="str">
        <f t="shared" si="29"/>
        <v/>
      </c>
    </row>
    <row r="462" spans="2:4" x14ac:dyDescent="0.25">
      <c r="B462" s="98" t="str">
        <f t="shared" si="28"/>
        <v/>
      </c>
      <c r="C462" s="44" t="str">
        <f t="shared" si="30"/>
        <v/>
      </c>
      <c r="D462" t="str">
        <f t="shared" si="29"/>
        <v/>
      </c>
    </row>
    <row r="463" spans="2:4" x14ac:dyDescent="0.25">
      <c r="B463" s="98" t="str">
        <f t="shared" si="28"/>
        <v/>
      </c>
      <c r="C463" s="44" t="str">
        <f t="shared" si="30"/>
        <v/>
      </c>
      <c r="D463" t="str">
        <f t="shared" si="29"/>
        <v/>
      </c>
    </row>
    <row r="464" spans="2:4" x14ac:dyDescent="0.25">
      <c r="B464" s="98" t="str">
        <f t="shared" si="28"/>
        <v/>
      </c>
      <c r="C464" s="44" t="str">
        <f t="shared" si="30"/>
        <v/>
      </c>
      <c r="D464" t="str">
        <f t="shared" si="29"/>
        <v/>
      </c>
    </row>
    <row r="465" spans="2:4" x14ac:dyDescent="0.25">
      <c r="B465" s="98" t="str">
        <f t="shared" si="28"/>
        <v/>
      </c>
      <c r="C465" s="44" t="str">
        <f t="shared" si="30"/>
        <v/>
      </c>
      <c r="D465" t="str">
        <f t="shared" si="29"/>
        <v/>
      </c>
    </row>
    <row r="466" spans="2:4" x14ac:dyDescent="0.25">
      <c r="B466" s="98" t="str">
        <f t="shared" si="28"/>
        <v/>
      </c>
      <c r="C466" s="44" t="str">
        <f t="shared" si="30"/>
        <v/>
      </c>
      <c r="D466" t="str">
        <f t="shared" si="29"/>
        <v/>
      </c>
    </row>
    <row r="467" spans="2:4" x14ac:dyDescent="0.25">
      <c r="B467" s="98" t="str">
        <f t="shared" si="28"/>
        <v/>
      </c>
      <c r="C467" s="44" t="str">
        <f t="shared" si="30"/>
        <v/>
      </c>
      <c r="D467" t="str">
        <f t="shared" si="29"/>
        <v/>
      </c>
    </row>
    <row r="468" spans="2:4" x14ac:dyDescent="0.25">
      <c r="B468" s="98" t="str">
        <f t="shared" si="28"/>
        <v/>
      </c>
      <c r="C468" s="44" t="str">
        <f t="shared" si="30"/>
        <v/>
      </c>
      <c r="D468" t="str">
        <f t="shared" si="29"/>
        <v/>
      </c>
    </row>
    <row r="469" spans="2:4" x14ac:dyDescent="0.25">
      <c r="B469" s="98" t="str">
        <f t="shared" si="28"/>
        <v/>
      </c>
      <c r="C469" s="44" t="str">
        <f t="shared" si="30"/>
        <v/>
      </c>
      <c r="D469" t="str">
        <f t="shared" si="29"/>
        <v/>
      </c>
    </row>
    <row r="470" spans="2:4" x14ac:dyDescent="0.25">
      <c r="B470" s="98" t="str">
        <f t="shared" si="28"/>
        <v/>
      </c>
      <c r="C470" s="44" t="str">
        <f t="shared" si="30"/>
        <v/>
      </c>
      <c r="D470" t="str">
        <f t="shared" si="29"/>
        <v/>
      </c>
    </row>
    <row r="471" spans="2:4" x14ac:dyDescent="0.25">
      <c r="B471" s="98" t="str">
        <f t="shared" si="28"/>
        <v/>
      </c>
      <c r="C471" s="44" t="str">
        <f t="shared" si="30"/>
        <v/>
      </c>
      <c r="D471" t="str">
        <f t="shared" si="29"/>
        <v/>
      </c>
    </row>
    <row r="472" spans="2:4" x14ac:dyDescent="0.25">
      <c r="B472" s="98" t="str">
        <f t="shared" si="28"/>
        <v/>
      </c>
      <c r="C472" s="44" t="str">
        <f t="shared" si="30"/>
        <v/>
      </c>
      <c r="D472" t="str">
        <f t="shared" si="29"/>
        <v/>
      </c>
    </row>
    <row r="473" spans="2:4" x14ac:dyDescent="0.25">
      <c r="B473" s="98" t="str">
        <f t="shared" si="28"/>
        <v/>
      </c>
      <c r="C473" s="44" t="str">
        <f t="shared" si="30"/>
        <v/>
      </c>
      <c r="D473" t="str">
        <f t="shared" si="29"/>
        <v/>
      </c>
    </row>
    <row r="474" spans="2:4" x14ac:dyDescent="0.25">
      <c r="B474" s="98" t="str">
        <f t="shared" si="28"/>
        <v/>
      </c>
      <c r="C474" s="44" t="str">
        <f t="shared" si="30"/>
        <v/>
      </c>
      <c r="D474" t="str">
        <f t="shared" si="29"/>
        <v/>
      </c>
    </row>
    <row r="475" spans="2:4" x14ac:dyDescent="0.25">
      <c r="B475" s="98" t="str">
        <f t="shared" si="28"/>
        <v/>
      </c>
      <c r="C475" s="44" t="str">
        <f t="shared" si="30"/>
        <v/>
      </c>
      <c r="D475" t="str">
        <f t="shared" si="29"/>
        <v/>
      </c>
    </row>
    <row r="476" spans="2:4" x14ac:dyDescent="0.25">
      <c r="B476" s="98" t="str">
        <f t="shared" si="28"/>
        <v/>
      </c>
      <c r="C476" s="44" t="str">
        <f t="shared" si="30"/>
        <v/>
      </c>
      <c r="D476" t="str">
        <f t="shared" si="29"/>
        <v/>
      </c>
    </row>
    <row r="477" spans="2:4" x14ac:dyDescent="0.25">
      <c r="B477" s="98" t="str">
        <f t="shared" si="28"/>
        <v/>
      </c>
      <c r="C477" s="44" t="str">
        <f t="shared" si="30"/>
        <v/>
      </c>
      <c r="D477" t="str">
        <f t="shared" si="29"/>
        <v/>
      </c>
    </row>
    <row r="478" spans="2:4" x14ac:dyDescent="0.25">
      <c r="B478" s="98" t="str">
        <f t="shared" si="28"/>
        <v/>
      </c>
      <c r="C478" s="44" t="str">
        <f t="shared" si="30"/>
        <v/>
      </c>
      <c r="D478" t="str">
        <f t="shared" si="29"/>
        <v/>
      </c>
    </row>
    <row r="479" spans="2:4" x14ac:dyDescent="0.25">
      <c r="B479" s="98" t="str">
        <f t="shared" si="28"/>
        <v/>
      </c>
      <c r="C479" s="44" t="str">
        <f t="shared" si="30"/>
        <v/>
      </c>
      <c r="D479" t="str">
        <f t="shared" si="29"/>
        <v/>
      </c>
    </row>
    <row r="480" spans="2:4" x14ac:dyDescent="0.25">
      <c r="B480" s="98" t="str">
        <f t="shared" si="28"/>
        <v/>
      </c>
      <c r="C480" s="44" t="str">
        <f t="shared" si="30"/>
        <v/>
      </c>
      <c r="D480" t="str">
        <f t="shared" si="29"/>
        <v/>
      </c>
    </row>
    <row r="481" spans="2:4" x14ac:dyDescent="0.25">
      <c r="B481" s="98" t="str">
        <f t="shared" si="28"/>
        <v/>
      </c>
      <c r="C481" s="44" t="str">
        <f t="shared" si="30"/>
        <v/>
      </c>
      <c r="D481" t="str">
        <f t="shared" si="29"/>
        <v/>
      </c>
    </row>
    <row r="482" spans="2:4" x14ac:dyDescent="0.25">
      <c r="B482" s="98" t="str">
        <f t="shared" si="28"/>
        <v/>
      </c>
      <c r="C482" s="44" t="str">
        <f t="shared" si="30"/>
        <v/>
      </c>
      <c r="D482" t="str">
        <f t="shared" si="29"/>
        <v/>
      </c>
    </row>
    <row r="483" spans="2:4" x14ac:dyDescent="0.25">
      <c r="B483" s="98" t="str">
        <f t="shared" si="28"/>
        <v/>
      </c>
      <c r="C483" s="44" t="str">
        <f t="shared" si="30"/>
        <v/>
      </c>
      <c r="D483" t="str">
        <f t="shared" si="29"/>
        <v/>
      </c>
    </row>
    <row r="484" spans="2:4" x14ac:dyDescent="0.25">
      <c r="B484" s="98" t="str">
        <f t="shared" si="28"/>
        <v/>
      </c>
      <c r="C484" s="44" t="str">
        <f t="shared" si="30"/>
        <v/>
      </c>
      <c r="D484" t="str">
        <f t="shared" si="29"/>
        <v/>
      </c>
    </row>
    <row r="485" spans="2:4" x14ac:dyDescent="0.25">
      <c r="B485" s="98" t="str">
        <f t="shared" si="28"/>
        <v/>
      </c>
      <c r="C485" s="44" t="str">
        <f t="shared" si="30"/>
        <v/>
      </c>
      <c r="D485" t="str">
        <f t="shared" si="29"/>
        <v/>
      </c>
    </row>
    <row r="486" spans="2:4" x14ac:dyDescent="0.25">
      <c r="B486" s="98" t="str">
        <f t="shared" si="28"/>
        <v/>
      </c>
      <c r="C486" s="44" t="str">
        <f t="shared" si="30"/>
        <v/>
      </c>
      <c r="D486" t="str">
        <f t="shared" si="29"/>
        <v/>
      </c>
    </row>
    <row r="487" spans="2:4" x14ac:dyDescent="0.25">
      <c r="B487" s="98" t="str">
        <f t="shared" ref="B487:B520" si="31">IF(AND(N470&lt;1,(F470&gt;1)),"T","")</f>
        <v/>
      </c>
      <c r="C487" s="44" t="str">
        <f t="shared" si="30"/>
        <v/>
      </c>
      <c r="D487" t="str">
        <f t="shared" ref="D487:D497" si="32">G493&amp;J493</f>
        <v/>
      </c>
    </row>
    <row r="488" spans="2:4" x14ac:dyDescent="0.25">
      <c r="B488" s="98" t="str">
        <f t="shared" si="31"/>
        <v/>
      </c>
      <c r="C488" s="44" t="str">
        <f t="shared" si="30"/>
        <v/>
      </c>
      <c r="D488" t="str">
        <f t="shared" si="32"/>
        <v/>
      </c>
    </row>
    <row r="489" spans="2:4" x14ac:dyDescent="0.25">
      <c r="B489" s="98" t="str">
        <f t="shared" si="31"/>
        <v/>
      </c>
      <c r="C489" s="44" t="str">
        <f t="shared" si="30"/>
        <v/>
      </c>
      <c r="D489" t="str">
        <f t="shared" si="32"/>
        <v/>
      </c>
    </row>
    <row r="490" spans="2:4" x14ac:dyDescent="0.25">
      <c r="B490" s="98" t="str">
        <f t="shared" si="31"/>
        <v/>
      </c>
      <c r="C490" s="44" t="str">
        <f t="shared" si="30"/>
        <v/>
      </c>
      <c r="D490" t="str">
        <f t="shared" si="32"/>
        <v/>
      </c>
    </row>
    <row r="491" spans="2:4" x14ac:dyDescent="0.25">
      <c r="B491" s="98" t="str">
        <f t="shared" si="31"/>
        <v/>
      </c>
      <c r="C491" s="44" t="str">
        <f t="shared" si="30"/>
        <v/>
      </c>
      <c r="D491" t="str">
        <f t="shared" si="32"/>
        <v/>
      </c>
    </row>
    <row r="492" spans="2:4" x14ac:dyDescent="0.25">
      <c r="B492" s="98" t="str">
        <f t="shared" si="31"/>
        <v/>
      </c>
      <c r="C492" s="44" t="str">
        <f t="shared" si="30"/>
        <v/>
      </c>
      <c r="D492" t="str">
        <f t="shared" si="32"/>
        <v/>
      </c>
    </row>
    <row r="493" spans="2:4" x14ac:dyDescent="0.25">
      <c r="B493" s="98" t="str">
        <f t="shared" si="31"/>
        <v/>
      </c>
      <c r="C493" s="44" t="str">
        <f t="shared" si="30"/>
        <v/>
      </c>
      <c r="D493" t="str">
        <f t="shared" si="32"/>
        <v/>
      </c>
    </row>
    <row r="494" spans="2:4" x14ac:dyDescent="0.25">
      <c r="B494" s="98" t="str">
        <f t="shared" si="31"/>
        <v/>
      </c>
      <c r="C494" s="44" t="str">
        <f t="shared" si="30"/>
        <v/>
      </c>
      <c r="D494" t="str">
        <f t="shared" si="32"/>
        <v/>
      </c>
    </row>
    <row r="495" spans="2:4" x14ac:dyDescent="0.25">
      <c r="B495" s="98" t="str">
        <f t="shared" si="31"/>
        <v/>
      </c>
      <c r="C495" s="44" t="str">
        <f t="shared" si="30"/>
        <v/>
      </c>
      <c r="D495" t="str">
        <f t="shared" si="32"/>
        <v/>
      </c>
    </row>
    <row r="496" spans="2:4" x14ac:dyDescent="0.25">
      <c r="B496" s="98" t="str">
        <f t="shared" si="31"/>
        <v/>
      </c>
      <c r="C496" s="44" t="str">
        <f t="shared" si="30"/>
        <v/>
      </c>
      <c r="D496" t="str">
        <f t="shared" si="32"/>
        <v/>
      </c>
    </row>
    <row r="497" spans="2:4" x14ac:dyDescent="0.25">
      <c r="B497" s="98" t="str">
        <f t="shared" si="31"/>
        <v/>
      </c>
      <c r="C497" s="44" t="str">
        <f t="shared" si="30"/>
        <v/>
      </c>
      <c r="D497" t="str">
        <f t="shared" si="32"/>
        <v/>
      </c>
    </row>
    <row r="498" spans="2:4" x14ac:dyDescent="0.25">
      <c r="B498" s="98" t="str">
        <f t="shared" si="31"/>
        <v/>
      </c>
    </row>
    <row r="499" spans="2:4" x14ac:dyDescent="0.25">
      <c r="B499" s="98" t="str">
        <f t="shared" si="31"/>
        <v/>
      </c>
    </row>
    <row r="500" spans="2:4" x14ac:dyDescent="0.25">
      <c r="B500" s="98" t="str">
        <f t="shared" si="31"/>
        <v/>
      </c>
    </row>
    <row r="501" spans="2:4" x14ac:dyDescent="0.25">
      <c r="B501" s="98" t="str">
        <f t="shared" si="31"/>
        <v/>
      </c>
    </row>
    <row r="502" spans="2:4" x14ac:dyDescent="0.25">
      <c r="B502" s="98" t="str">
        <f t="shared" si="31"/>
        <v/>
      </c>
    </row>
    <row r="503" spans="2:4" x14ac:dyDescent="0.25">
      <c r="B503" s="98" t="str">
        <f t="shared" si="31"/>
        <v/>
      </c>
    </row>
    <row r="504" spans="2:4" x14ac:dyDescent="0.25">
      <c r="B504" s="98" t="str">
        <f t="shared" si="31"/>
        <v/>
      </c>
    </row>
    <row r="505" spans="2:4" x14ac:dyDescent="0.25">
      <c r="B505" s="98" t="str">
        <f t="shared" si="31"/>
        <v/>
      </c>
    </row>
    <row r="506" spans="2:4" x14ac:dyDescent="0.25">
      <c r="B506" s="98" t="str">
        <f t="shared" si="31"/>
        <v/>
      </c>
    </row>
    <row r="507" spans="2:4" x14ac:dyDescent="0.25">
      <c r="B507" s="98" t="str">
        <f t="shared" si="31"/>
        <v/>
      </c>
    </row>
    <row r="508" spans="2:4" x14ac:dyDescent="0.25">
      <c r="B508" s="98" t="str">
        <f t="shared" si="31"/>
        <v/>
      </c>
    </row>
    <row r="509" spans="2:4" x14ac:dyDescent="0.25">
      <c r="B509" s="98" t="str">
        <f t="shared" si="31"/>
        <v/>
      </c>
    </row>
    <row r="510" spans="2:4" x14ac:dyDescent="0.25">
      <c r="B510" s="98" t="str">
        <f t="shared" si="31"/>
        <v/>
      </c>
    </row>
    <row r="511" spans="2:4" x14ac:dyDescent="0.25">
      <c r="B511" s="98" t="str">
        <f t="shared" si="31"/>
        <v/>
      </c>
    </row>
    <row r="512" spans="2:4" x14ac:dyDescent="0.25">
      <c r="B512" s="98" t="str">
        <f t="shared" si="31"/>
        <v/>
      </c>
    </row>
    <row r="513" spans="2:2" x14ac:dyDescent="0.25">
      <c r="B513" s="98" t="str">
        <f t="shared" si="31"/>
        <v/>
      </c>
    </row>
    <row r="514" spans="2:2" x14ac:dyDescent="0.25">
      <c r="B514" s="98" t="str">
        <f t="shared" si="31"/>
        <v/>
      </c>
    </row>
    <row r="515" spans="2:2" x14ac:dyDescent="0.25">
      <c r="B515" s="98" t="str">
        <f t="shared" si="31"/>
        <v/>
      </c>
    </row>
    <row r="516" spans="2:2" x14ac:dyDescent="0.25">
      <c r="B516" s="98" t="str">
        <f t="shared" si="31"/>
        <v/>
      </c>
    </row>
    <row r="517" spans="2:2" x14ac:dyDescent="0.25">
      <c r="B517" s="98" t="str">
        <f t="shared" si="31"/>
        <v/>
      </c>
    </row>
    <row r="518" spans="2:2" x14ac:dyDescent="0.25">
      <c r="B518" s="98" t="str">
        <f t="shared" si="31"/>
        <v/>
      </c>
    </row>
    <row r="519" spans="2:2" x14ac:dyDescent="0.25">
      <c r="B519" s="98" t="str">
        <f t="shared" si="31"/>
        <v/>
      </c>
    </row>
    <row r="520" spans="2:2" x14ac:dyDescent="0.25">
      <c r="B520" s="98" t="str">
        <f t="shared" si="31"/>
        <v/>
      </c>
    </row>
  </sheetData>
  <autoFilter ref="A1:R520" xr:uid="{00000000-0009-0000-0000-000002000000}"/>
  <sortState xmlns:xlrd2="http://schemas.microsoft.com/office/spreadsheetml/2017/richdata2" ref="B2:R47">
    <sortCondition ref="R2:R47"/>
  </sortState>
  <conditionalFormatting sqref="C3:C497 A2:R100">
    <cfRule type="expression" dxfId="20" priority="3" stopIfTrue="1">
      <formula>$K2&gt;1</formula>
    </cfRule>
    <cfRule type="expression" dxfId="19" priority="13" stopIfTrue="1">
      <formula>$K2=1</formula>
    </cfRule>
  </conditionalFormatting>
  <conditionalFormatting sqref="Q1:R1048576">
    <cfRule type="cellIs" dxfId="18" priority="1" operator="greaterThan">
      <formula>0</formula>
    </cfRule>
  </conditionalFormatting>
  <dataValidations count="2">
    <dataValidation type="list" allowBlank="1" showInputMessage="1" showErrorMessage="1" sqref="O2:O45" xr:uid="{00000000-0002-0000-0200-000000000000}">
      <formula1>MAQUINAS</formula1>
    </dataValidation>
    <dataValidation type="list" allowBlank="1" showInputMessage="1" showErrorMessage="1" sqref="G2:G45" xr:uid="{00000000-0002-0000-0200-000001000000}">
      <formula1>LISTAPRO</formula1>
    </dataValidation>
  </dataValidations>
  <pageMargins left="0.7" right="0.7" top="0.75" bottom="0.75" header="0.3" footer="0.3"/>
  <pageSetup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3" r:id="rId4" name="Button 101">
              <controlPr defaultSize="0" print="0" autoFill="0" autoPict="0" macro="[0]!OM">
                <anchor moveWithCells="1" sizeWithCells="1">
                  <from>
                    <xdr:col>16</xdr:col>
                    <xdr:colOff>66675</xdr:colOff>
                    <xdr:row>0</xdr:row>
                    <xdr:rowOff>47625</xdr:rowOff>
                  </from>
                  <to>
                    <xdr:col>18</xdr:col>
                    <xdr:colOff>76200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5" name="Button 103">
              <controlPr defaultSize="0" print="0" autoFill="0" autoPict="0" macro="[0]!ORGPRI">
                <anchor moveWithCells="1" sizeWithCells="1">
                  <from>
                    <xdr:col>19</xdr:col>
                    <xdr:colOff>123825</xdr:colOff>
                    <xdr:row>0</xdr:row>
                    <xdr:rowOff>38100</xdr:rowOff>
                  </from>
                  <to>
                    <xdr:col>20</xdr:col>
                    <xdr:colOff>609600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6" name="Button 111">
              <controlPr defaultSize="0" print="0" autoFill="0" autoPict="0" macro="[0]!PROGMAQ">
                <anchor moveWithCells="1" sizeWithCells="1">
                  <from>
                    <xdr:col>20</xdr:col>
                    <xdr:colOff>752475</xdr:colOff>
                    <xdr:row>0</xdr:row>
                    <xdr:rowOff>38100</xdr:rowOff>
                  </from>
                  <to>
                    <xdr:col>22</xdr:col>
                    <xdr:colOff>323850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7" name="Button 114">
              <controlPr defaultSize="0" print="0" autoFill="0" autoPict="0" macro="[0]!Botón114_Haga_clic_en">
                <anchor moveWithCells="1" sizeWithCells="1">
                  <from>
                    <xdr:col>22</xdr:col>
                    <xdr:colOff>352425</xdr:colOff>
                    <xdr:row>0</xdr:row>
                    <xdr:rowOff>28575</xdr:rowOff>
                  </from>
                  <to>
                    <xdr:col>22</xdr:col>
                    <xdr:colOff>742950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IS57"/>
  <sheetViews>
    <sheetView showZeros="0" tabSelected="1" zoomScale="80" zoomScaleNormal="80" workbookViewId="0">
      <pane xSplit="15" ySplit="7" topLeftCell="P8" activePane="bottomRight" state="frozen"/>
      <selection pane="topRight" activeCell="J1" sqref="J1"/>
      <selection pane="bottomLeft" activeCell="A3" sqref="A3"/>
      <selection pane="bottomRight" activeCell="P15" sqref="P15"/>
    </sheetView>
  </sheetViews>
  <sheetFormatPr baseColWidth="10" defaultRowHeight="15" x14ac:dyDescent="0.25"/>
  <cols>
    <col min="1" max="1" width="4.5703125" customWidth="1"/>
    <col min="2" max="2" width="9.85546875" customWidth="1"/>
    <col min="3" max="3" width="36.42578125" bestFit="1" customWidth="1"/>
    <col min="4" max="6" width="9.85546875" hidden="1" customWidth="1"/>
    <col min="7" max="7" width="9.28515625" customWidth="1"/>
    <col min="8" max="8" width="16.42578125" bestFit="1" customWidth="1"/>
    <col min="9" max="9" width="6.42578125" customWidth="1"/>
    <col min="10" max="10" width="7.28515625" style="75" customWidth="1"/>
    <col min="11" max="11" width="9.85546875" style="75" hidden="1" customWidth="1"/>
    <col min="12" max="12" width="17" customWidth="1"/>
    <col min="13" max="13" width="11.28515625" style="9" customWidth="1"/>
    <col min="14" max="14" width="10.7109375" style="17" customWidth="1"/>
    <col min="15" max="15" width="7.85546875" style="9" customWidth="1"/>
    <col min="16" max="16" width="10" style="3" customWidth="1"/>
    <col min="17" max="88" width="10" customWidth="1"/>
  </cols>
  <sheetData>
    <row r="1" spans="1:253" x14ac:dyDescent="0.25">
      <c r="BX1" s="3">
        <f>SUM(P1:BW1)</f>
        <v>0</v>
      </c>
    </row>
    <row r="2" spans="1:253" s="26" customFormat="1" x14ac:dyDescent="0.25">
      <c r="B2" s="26">
        <f>K6-P6</f>
        <v>43698</v>
      </c>
      <c r="J2" s="76"/>
      <c r="K2" s="76"/>
      <c r="L2" s="86" t="s">
        <v>1662</v>
      </c>
      <c r="N2" s="108">
        <f>SUM(P2:CJ2)</f>
        <v>385849.74999999988</v>
      </c>
      <c r="O2" s="65"/>
      <c r="P2" s="87">
        <f>SUMPRODUCT($M$8:$M$56,P8:P56)</f>
        <v>2968.3674000000001</v>
      </c>
      <c r="Q2" s="87">
        <f t="shared" ref="Q2:CB2" si="0">SUMPRODUCT($M$8:$M$56,Q8:Q56)</f>
        <v>2968.3674000000001</v>
      </c>
      <c r="R2" s="87">
        <f t="shared" si="0"/>
        <v>3440.8674000000001</v>
      </c>
      <c r="S2" s="87">
        <f t="shared" si="0"/>
        <v>9856.0673999999981</v>
      </c>
      <c r="T2" s="87">
        <f t="shared" si="0"/>
        <v>15193.2024</v>
      </c>
      <c r="U2" s="87">
        <f t="shared" si="0"/>
        <v>9119.6804000000011</v>
      </c>
      <c r="V2" s="87">
        <f t="shared" si="0"/>
        <v>23840.843399999998</v>
      </c>
      <c r="W2" s="87">
        <f t="shared" si="0"/>
        <v>21453.949799999995</v>
      </c>
      <c r="X2" s="87">
        <f t="shared" si="0"/>
        <v>19136.929799999998</v>
      </c>
      <c r="Y2" s="87">
        <f t="shared" si="0"/>
        <v>14027.926800000001</v>
      </c>
      <c r="Z2" s="87">
        <f t="shared" si="0"/>
        <v>12152.556800000002</v>
      </c>
      <c r="AA2" s="87">
        <f t="shared" si="0"/>
        <v>15956.514799999999</v>
      </c>
      <c r="AB2" s="87">
        <f t="shared" si="0"/>
        <v>11264.616800000002</v>
      </c>
      <c r="AC2" s="87">
        <f t="shared" si="0"/>
        <v>10066.141800000001</v>
      </c>
      <c r="AD2" s="87">
        <f t="shared" si="0"/>
        <v>5479.9817999999996</v>
      </c>
      <c r="AE2" s="87">
        <f t="shared" si="0"/>
        <v>9050.5118000000002</v>
      </c>
      <c r="AF2" s="87">
        <f t="shared" si="0"/>
        <v>9022.6368000000002</v>
      </c>
      <c r="AG2" s="87">
        <f t="shared" si="0"/>
        <v>11933.164799999999</v>
      </c>
      <c r="AH2" s="87">
        <f t="shared" si="0"/>
        <v>9022.6368000000002</v>
      </c>
      <c r="AI2" s="87">
        <f t="shared" si="0"/>
        <v>9022.6368000000002</v>
      </c>
      <c r="AJ2" s="87">
        <f t="shared" si="0"/>
        <v>9022.6368000000002</v>
      </c>
      <c r="AK2" s="87">
        <f t="shared" si="0"/>
        <v>6148.4903999999997</v>
      </c>
      <c r="AL2" s="87">
        <f t="shared" si="0"/>
        <v>9059.018399999999</v>
      </c>
      <c r="AM2" s="87">
        <f t="shared" si="0"/>
        <v>9022.6368000000002</v>
      </c>
      <c r="AN2" s="87">
        <f t="shared" si="0"/>
        <v>9022.6368000000002</v>
      </c>
      <c r="AO2" s="87">
        <f t="shared" si="0"/>
        <v>9059.018399999999</v>
      </c>
      <c r="AP2" s="87">
        <f t="shared" si="0"/>
        <v>9022.6368000000002</v>
      </c>
      <c r="AQ2" s="87">
        <f t="shared" si="0"/>
        <v>9022.6368000000002</v>
      </c>
      <c r="AR2" s="87">
        <f t="shared" si="0"/>
        <v>4474.9367999999995</v>
      </c>
      <c r="AS2" s="87">
        <f t="shared" si="0"/>
        <v>6148.4903999999997</v>
      </c>
      <c r="AT2" s="87">
        <f t="shared" si="0"/>
        <v>6148.4903999999997</v>
      </c>
      <c r="AU2" s="87">
        <f t="shared" si="0"/>
        <v>9059.018399999999</v>
      </c>
      <c r="AV2" s="87">
        <f t="shared" si="0"/>
        <v>9022.6368000000002</v>
      </c>
      <c r="AW2" s="87">
        <f t="shared" si="0"/>
        <v>9022.6368000000002</v>
      </c>
      <c r="AX2" s="87">
        <f t="shared" si="0"/>
        <v>2849.8919999999998</v>
      </c>
      <c r="AY2" s="87">
        <f t="shared" si="0"/>
        <v>6148.4903999999997</v>
      </c>
      <c r="AZ2" s="87">
        <f t="shared" si="0"/>
        <v>3116.6903999999995</v>
      </c>
      <c r="BA2" s="87">
        <f t="shared" si="0"/>
        <v>2922.6551999999997</v>
      </c>
      <c r="BB2" s="87">
        <f t="shared" si="0"/>
        <v>227.16899999999998</v>
      </c>
      <c r="BC2" s="87">
        <f t="shared" si="0"/>
        <v>227.16899999999998</v>
      </c>
      <c r="BD2" s="87">
        <f t="shared" si="0"/>
        <v>227.16899999999998</v>
      </c>
      <c r="BE2" s="87">
        <f t="shared" si="0"/>
        <v>227.16899999999998</v>
      </c>
      <c r="BF2" s="87">
        <f t="shared" si="0"/>
        <v>227.16899999999998</v>
      </c>
      <c r="BG2" s="87">
        <f t="shared" si="0"/>
        <v>1283.7689999999998</v>
      </c>
      <c r="BH2" s="87">
        <f t="shared" si="0"/>
        <v>227.16899999999998</v>
      </c>
      <c r="BI2" s="87">
        <f t="shared" si="0"/>
        <v>227.16899999999998</v>
      </c>
      <c r="BJ2" s="87">
        <f t="shared" si="0"/>
        <v>227.16899999999998</v>
      </c>
      <c r="BK2" s="87">
        <f t="shared" si="0"/>
        <v>1283.7689999999998</v>
      </c>
      <c r="BL2" s="87">
        <f t="shared" si="0"/>
        <v>227.16899999999998</v>
      </c>
      <c r="BM2" s="87">
        <f t="shared" si="0"/>
        <v>227.16899999999998</v>
      </c>
      <c r="BN2" s="87">
        <f t="shared" si="0"/>
        <v>227.16899999999998</v>
      </c>
      <c r="BO2" s="87">
        <f t="shared" si="0"/>
        <v>1089.472</v>
      </c>
      <c r="BP2" s="87">
        <f t="shared" si="0"/>
        <v>1283.7689999999998</v>
      </c>
      <c r="BQ2" s="87">
        <f t="shared" si="0"/>
        <v>2340.3689999999997</v>
      </c>
      <c r="BR2" s="87">
        <f t="shared" si="0"/>
        <v>2531.1439999999998</v>
      </c>
      <c r="BS2" s="87">
        <f t="shared" si="0"/>
        <v>1791.5239999999999</v>
      </c>
      <c r="BT2" s="87">
        <f t="shared" si="0"/>
        <v>1996.9739999999997</v>
      </c>
      <c r="BU2" s="87">
        <f t="shared" si="0"/>
        <v>1996.9739999999997</v>
      </c>
      <c r="BV2" s="87">
        <f t="shared" si="0"/>
        <v>940.37399999999991</v>
      </c>
      <c r="BW2" s="87">
        <f t="shared" si="0"/>
        <v>940.37399999999991</v>
      </c>
      <c r="BX2" s="87">
        <f t="shared" si="0"/>
        <v>940.37399999999991</v>
      </c>
      <c r="BY2" s="87">
        <f t="shared" si="0"/>
        <v>1053.665</v>
      </c>
      <c r="BZ2" s="87">
        <f t="shared" si="0"/>
        <v>1373.58</v>
      </c>
      <c r="CA2" s="87">
        <f t="shared" si="0"/>
        <v>2430.1799999999998</v>
      </c>
      <c r="CB2" s="87">
        <f t="shared" si="0"/>
        <v>1916.5549999999998</v>
      </c>
      <c r="CC2" s="87">
        <f t="shared" ref="CC2:CJ2" si="1">SUMPRODUCT($M$8:$M$56,CC8:CC56)</f>
        <v>1065.405</v>
      </c>
      <c r="CD2" s="87">
        <f t="shared" si="1"/>
        <v>713.20499999999993</v>
      </c>
      <c r="CE2" s="87">
        <f t="shared" si="1"/>
        <v>713.20499999999993</v>
      </c>
      <c r="CF2" s="87">
        <f t="shared" si="1"/>
        <v>713.20499999999993</v>
      </c>
      <c r="CG2" s="87">
        <f t="shared" si="1"/>
        <v>713.20499999999993</v>
      </c>
      <c r="CH2" s="87">
        <f t="shared" si="1"/>
        <v>405.03</v>
      </c>
      <c r="CI2" s="87">
        <f t="shared" si="1"/>
        <v>316.97999999999996</v>
      </c>
      <c r="CJ2" s="87">
        <f t="shared" si="1"/>
        <v>246.54</v>
      </c>
    </row>
    <row r="3" spans="1:253" s="69" customFormat="1" x14ac:dyDescent="0.25">
      <c r="J3" s="77"/>
      <c r="K3" s="77"/>
      <c r="L3" s="86" t="s">
        <v>1663</v>
      </c>
      <c r="N3" s="108">
        <f>SUM(P3:CJ3)</f>
        <v>14757.399999999994</v>
      </c>
      <c r="O3" s="70"/>
      <c r="P3" s="88">
        <f>SUMPRODUCT($F$8:$F$56,P8:P56)</f>
        <v>0</v>
      </c>
      <c r="Q3" s="88">
        <f t="shared" ref="Q3:CB3" si="2">SUMPRODUCT($F$8:$F$56,Q8:Q56)</f>
        <v>0</v>
      </c>
      <c r="R3" s="88">
        <f t="shared" si="2"/>
        <v>0</v>
      </c>
      <c r="S3" s="88">
        <f t="shared" si="2"/>
        <v>0</v>
      </c>
      <c r="T3" s="88">
        <f t="shared" si="2"/>
        <v>210.73499999999999</v>
      </c>
      <c r="U3" s="88">
        <f t="shared" si="2"/>
        <v>210.73499999999999</v>
      </c>
      <c r="V3" s="88">
        <f t="shared" si="2"/>
        <v>210.73499999999999</v>
      </c>
      <c r="W3" s="88">
        <f t="shared" si="2"/>
        <v>210.73499999999999</v>
      </c>
      <c r="X3" s="88">
        <f t="shared" si="2"/>
        <v>903.01499999999999</v>
      </c>
      <c r="Y3" s="88">
        <f t="shared" si="2"/>
        <v>903.01499999999999</v>
      </c>
      <c r="Z3" s="88">
        <f t="shared" si="2"/>
        <v>1133.595</v>
      </c>
      <c r="AA3" s="88">
        <f t="shared" si="2"/>
        <v>2425.1550000000002</v>
      </c>
      <c r="AB3" s="88">
        <f t="shared" si="2"/>
        <v>1043.5050000000001</v>
      </c>
      <c r="AC3" s="88">
        <f t="shared" si="2"/>
        <v>1043.5050000000001</v>
      </c>
      <c r="AD3" s="88">
        <f t="shared" si="2"/>
        <v>1005.0450000000001</v>
      </c>
      <c r="AE3" s="88">
        <f t="shared" si="2"/>
        <v>27.875</v>
      </c>
      <c r="AF3" s="88">
        <f t="shared" si="2"/>
        <v>0</v>
      </c>
      <c r="AG3" s="88">
        <f t="shared" si="2"/>
        <v>0</v>
      </c>
      <c r="AH3" s="88">
        <f t="shared" si="2"/>
        <v>0</v>
      </c>
      <c r="AI3" s="88">
        <f t="shared" si="2"/>
        <v>0</v>
      </c>
      <c r="AJ3" s="88">
        <f t="shared" si="2"/>
        <v>0</v>
      </c>
      <c r="AK3" s="88">
        <f t="shared" si="2"/>
        <v>0</v>
      </c>
      <c r="AL3" s="88">
        <f t="shared" si="2"/>
        <v>0</v>
      </c>
      <c r="AM3" s="88">
        <f t="shared" si="2"/>
        <v>0</v>
      </c>
      <c r="AN3" s="88">
        <f t="shared" si="2"/>
        <v>0</v>
      </c>
      <c r="AO3" s="88">
        <f t="shared" si="2"/>
        <v>0</v>
      </c>
      <c r="AP3" s="88">
        <f t="shared" si="2"/>
        <v>0</v>
      </c>
      <c r="AQ3" s="88">
        <f t="shared" si="2"/>
        <v>0</v>
      </c>
      <c r="AR3" s="88">
        <f t="shared" si="2"/>
        <v>0</v>
      </c>
      <c r="AS3" s="88">
        <f t="shared" si="2"/>
        <v>0</v>
      </c>
      <c r="AT3" s="88">
        <f t="shared" si="2"/>
        <v>0</v>
      </c>
      <c r="AU3" s="88">
        <f t="shared" si="2"/>
        <v>0</v>
      </c>
      <c r="AV3" s="88">
        <f t="shared" si="2"/>
        <v>0</v>
      </c>
      <c r="AW3" s="88">
        <f t="shared" si="2"/>
        <v>0</v>
      </c>
      <c r="AX3" s="88">
        <f t="shared" si="2"/>
        <v>0</v>
      </c>
      <c r="AY3" s="88">
        <f t="shared" si="2"/>
        <v>0</v>
      </c>
      <c r="AZ3" s="88">
        <f t="shared" si="2"/>
        <v>0</v>
      </c>
      <c r="BA3" s="88">
        <f t="shared" si="2"/>
        <v>0</v>
      </c>
      <c r="BB3" s="88">
        <f t="shared" si="2"/>
        <v>0</v>
      </c>
      <c r="BC3" s="88">
        <f t="shared" si="2"/>
        <v>0</v>
      </c>
      <c r="BD3" s="88">
        <f t="shared" si="2"/>
        <v>0</v>
      </c>
      <c r="BE3" s="88">
        <f t="shared" si="2"/>
        <v>0</v>
      </c>
      <c r="BF3" s="88">
        <f t="shared" si="2"/>
        <v>0</v>
      </c>
      <c r="BG3" s="88">
        <f t="shared" si="2"/>
        <v>0</v>
      </c>
      <c r="BH3" s="88">
        <f t="shared" si="2"/>
        <v>0</v>
      </c>
      <c r="BI3" s="88">
        <f t="shared" si="2"/>
        <v>0</v>
      </c>
      <c r="BJ3" s="88">
        <f t="shared" si="2"/>
        <v>0</v>
      </c>
      <c r="BK3" s="88">
        <f t="shared" si="2"/>
        <v>0</v>
      </c>
      <c r="BL3" s="88">
        <f t="shared" si="2"/>
        <v>0</v>
      </c>
      <c r="BM3" s="88">
        <f t="shared" si="2"/>
        <v>0</v>
      </c>
      <c r="BN3" s="88">
        <f t="shared" si="2"/>
        <v>0</v>
      </c>
      <c r="BO3" s="88">
        <f t="shared" si="2"/>
        <v>0</v>
      </c>
      <c r="BP3" s="88">
        <f t="shared" si="2"/>
        <v>0</v>
      </c>
      <c r="BQ3" s="88">
        <f t="shared" si="2"/>
        <v>0</v>
      </c>
      <c r="BR3" s="88">
        <f t="shared" si="2"/>
        <v>0</v>
      </c>
      <c r="BS3" s="88">
        <f t="shared" si="2"/>
        <v>316.97999999999996</v>
      </c>
      <c r="BT3" s="88">
        <f t="shared" si="2"/>
        <v>316.97999999999996</v>
      </c>
      <c r="BU3" s="88">
        <f t="shared" si="2"/>
        <v>316.97999999999996</v>
      </c>
      <c r="BV3" s="88">
        <f t="shared" si="2"/>
        <v>316.97999999999996</v>
      </c>
      <c r="BW3" s="88">
        <f t="shared" si="2"/>
        <v>316.97999999999996</v>
      </c>
      <c r="BX3" s="88">
        <f t="shared" si="2"/>
        <v>316.97999999999996</v>
      </c>
      <c r="BY3" s="88">
        <f t="shared" si="2"/>
        <v>316.97999999999996</v>
      </c>
      <c r="BZ3" s="88">
        <f t="shared" si="2"/>
        <v>316.97999999999996</v>
      </c>
      <c r="CA3" s="88">
        <f t="shared" si="2"/>
        <v>316.97999999999996</v>
      </c>
      <c r="CB3" s="88">
        <f t="shared" si="2"/>
        <v>111.52999999999999</v>
      </c>
      <c r="CC3" s="88">
        <f t="shared" ref="CC3:CJ3" si="3">SUMPRODUCT($F$8:$F$56,CC8:CC56)</f>
        <v>316.97999999999996</v>
      </c>
      <c r="CD3" s="88">
        <f t="shared" si="3"/>
        <v>316.97999999999996</v>
      </c>
      <c r="CE3" s="88">
        <f t="shared" si="3"/>
        <v>316.97999999999996</v>
      </c>
      <c r="CF3" s="88">
        <f t="shared" si="3"/>
        <v>316.97999999999996</v>
      </c>
      <c r="CG3" s="88">
        <f t="shared" si="3"/>
        <v>316.97999999999996</v>
      </c>
      <c r="CH3" s="88">
        <f t="shared" si="3"/>
        <v>316.97999999999996</v>
      </c>
      <c r="CI3" s="88">
        <f t="shared" si="3"/>
        <v>316.97999999999996</v>
      </c>
      <c r="CJ3" s="88">
        <f t="shared" si="3"/>
        <v>246.54</v>
      </c>
    </row>
    <row r="4" spans="1:253" s="57" customFormat="1" x14ac:dyDescent="0.25">
      <c r="J4" s="78"/>
      <c r="K4" s="78"/>
      <c r="L4" s="86" t="s">
        <v>1664</v>
      </c>
      <c r="N4" s="109">
        <f>SUM(P4:CJ4)</f>
        <v>39.008612499999991</v>
      </c>
      <c r="O4" s="68"/>
      <c r="P4" s="89">
        <f>SUMPRODUCT($F$8:$F$56,$G$8:$G$56,P8:P56)/1000000</f>
        <v>0</v>
      </c>
      <c r="Q4" s="89">
        <f t="shared" ref="Q4:CB4" si="4">SUMPRODUCT($F$8:$F$56,$G$8:$G$56,Q8:Q56)/1000000</f>
        <v>0</v>
      </c>
      <c r="R4" s="89">
        <f t="shared" si="4"/>
        <v>0</v>
      </c>
      <c r="S4" s="89">
        <f t="shared" si="4"/>
        <v>0</v>
      </c>
      <c r="T4" s="89">
        <f t="shared" si="4"/>
        <v>0</v>
      </c>
      <c r="U4" s="89">
        <f t="shared" si="4"/>
        <v>0</v>
      </c>
      <c r="V4" s="89">
        <f t="shared" si="4"/>
        <v>0</v>
      </c>
      <c r="W4" s="89">
        <f t="shared" si="4"/>
        <v>0</v>
      </c>
      <c r="X4" s="89">
        <f t="shared" si="4"/>
        <v>0.32329475999999996</v>
      </c>
      <c r="Y4" s="89">
        <f t="shared" si="4"/>
        <v>0.32329475999999996</v>
      </c>
      <c r="Z4" s="89">
        <f t="shared" si="4"/>
        <v>0.485209485</v>
      </c>
      <c r="AA4" s="89">
        <f t="shared" si="4"/>
        <v>33.968115585</v>
      </c>
      <c r="AB4" s="89">
        <f t="shared" si="4"/>
        <v>0.485209485</v>
      </c>
      <c r="AC4" s="89">
        <f t="shared" si="4"/>
        <v>0.485209485</v>
      </c>
      <c r="AD4" s="89">
        <f t="shared" si="4"/>
        <v>0.46724866500000006</v>
      </c>
      <c r="AE4" s="89">
        <f t="shared" si="4"/>
        <v>1.2850375000000001E-2</v>
      </c>
      <c r="AF4" s="89">
        <f t="shared" si="4"/>
        <v>0</v>
      </c>
      <c r="AG4" s="89">
        <f t="shared" si="4"/>
        <v>0</v>
      </c>
      <c r="AH4" s="89">
        <f t="shared" si="4"/>
        <v>0</v>
      </c>
      <c r="AI4" s="89">
        <f t="shared" si="4"/>
        <v>0</v>
      </c>
      <c r="AJ4" s="89">
        <f t="shared" si="4"/>
        <v>0</v>
      </c>
      <c r="AK4" s="89">
        <f t="shared" si="4"/>
        <v>0</v>
      </c>
      <c r="AL4" s="89">
        <f t="shared" si="4"/>
        <v>0</v>
      </c>
      <c r="AM4" s="89">
        <f t="shared" si="4"/>
        <v>0</v>
      </c>
      <c r="AN4" s="89">
        <f t="shared" si="4"/>
        <v>0</v>
      </c>
      <c r="AO4" s="89">
        <f t="shared" si="4"/>
        <v>0</v>
      </c>
      <c r="AP4" s="89">
        <f t="shared" si="4"/>
        <v>0</v>
      </c>
      <c r="AQ4" s="89">
        <f t="shared" si="4"/>
        <v>0</v>
      </c>
      <c r="AR4" s="89">
        <f t="shared" si="4"/>
        <v>0</v>
      </c>
      <c r="AS4" s="89">
        <f t="shared" si="4"/>
        <v>0</v>
      </c>
      <c r="AT4" s="89">
        <f t="shared" si="4"/>
        <v>0</v>
      </c>
      <c r="AU4" s="89">
        <f t="shared" si="4"/>
        <v>0</v>
      </c>
      <c r="AV4" s="89">
        <f t="shared" si="4"/>
        <v>0</v>
      </c>
      <c r="AW4" s="89">
        <f t="shared" si="4"/>
        <v>0</v>
      </c>
      <c r="AX4" s="89">
        <f t="shared" si="4"/>
        <v>0</v>
      </c>
      <c r="AY4" s="89">
        <f t="shared" si="4"/>
        <v>0</v>
      </c>
      <c r="AZ4" s="89">
        <f t="shared" si="4"/>
        <v>0</v>
      </c>
      <c r="BA4" s="89">
        <f t="shared" si="4"/>
        <v>0</v>
      </c>
      <c r="BB4" s="89">
        <f t="shared" si="4"/>
        <v>0</v>
      </c>
      <c r="BC4" s="89">
        <f t="shared" si="4"/>
        <v>0</v>
      </c>
      <c r="BD4" s="89">
        <f t="shared" si="4"/>
        <v>0</v>
      </c>
      <c r="BE4" s="89">
        <f t="shared" si="4"/>
        <v>0</v>
      </c>
      <c r="BF4" s="89">
        <f t="shared" si="4"/>
        <v>0</v>
      </c>
      <c r="BG4" s="89">
        <f t="shared" si="4"/>
        <v>0</v>
      </c>
      <c r="BH4" s="89">
        <f t="shared" si="4"/>
        <v>0</v>
      </c>
      <c r="BI4" s="89">
        <f t="shared" si="4"/>
        <v>0</v>
      </c>
      <c r="BJ4" s="89">
        <f t="shared" si="4"/>
        <v>0</v>
      </c>
      <c r="BK4" s="89">
        <f t="shared" si="4"/>
        <v>0</v>
      </c>
      <c r="BL4" s="89">
        <f t="shared" si="4"/>
        <v>0</v>
      </c>
      <c r="BM4" s="89">
        <f t="shared" si="4"/>
        <v>0</v>
      </c>
      <c r="BN4" s="89">
        <f t="shared" si="4"/>
        <v>0</v>
      </c>
      <c r="BO4" s="89">
        <f t="shared" si="4"/>
        <v>0</v>
      </c>
      <c r="BP4" s="89">
        <f t="shared" si="4"/>
        <v>0</v>
      </c>
      <c r="BQ4" s="89">
        <f t="shared" si="4"/>
        <v>0</v>
      </c>
      <c r="BR4" s="89">
        <f t="shared" si="4"/>
        <v>0</v>
      </c>
      <c r="BS4" s="89">
        <f t="shared" si="4"/>
        <v>0.14264099999999999</v>
      </c>
      <c r="BT4" s="89">
        <f t="shared" si="4"/>
        <v>0.14264099999999999</v>
      </c>
      <c r="BU4" s="89">
        <f t="shared" si="4"/>
        <v>0.14264099999999999</v>
      </c>
      <c r="BV4" s="89">
        <f t="shared" si="4"/>
        <v>0.14264099999999999</v>
      </c>
      <c r="BW4" s="89">
        <f t="shared" si="4"/>
        <v>0.14264099999999999</v>
      </c>
      <c r="BX4" s="89">
        <f t="shared" si="4"/>
        <v>0.14264099999999999</v>
      </c>
      <c r="BY4" s="89">
        <f t="shared" si="4"/>
        <v>0.14264099999999999</v>
      </c>
      <c r="BZ4" s="89">
        <f t="shared" si="4"/>
        <v>0.14264099999999999</v>
      </c>
      <c r="CA4" s="89">
        <f t="shared" si="4"/>
        <v>0.14264099999999999</v>
      </c>
      <c r="CB4" s="89">
        <f t="shared" si="4"/>
        <v>5.018849999999999E-2</v>
      </c>
      <c r="CC4" s="89">
        <f t="shared" ref="CC4:CJ4" si="5">SUMPRODUCT($F$8:$F$56,$G$8:$G$56,CC8:CC56)/1000000</f>
        <v>0.14454287999999998</v>
      </c>
      <c r="CD4" s="89">
        <f t="shared" si="5"/>
        <v>0.14454287999999998</v>
      </c>
      <c r="CE4" s="89">
        <f t="shared" si="5"/>
        <v>0.14454287999999998</v>
      </c>
      <c r="CF4" s="89">
        <f t="shared" si="5"/>
        <v>0.14454287999999998</v>
      </c>
      <c r="CG4" s="89">
        <f t="shared" si="5"/>
        <v>0.14454287999999998</v>
      </c>
      <c r="CH4" s="89">
        <f t="shared" si="5"/>
        <v>0.14454287999999998</v>
      </c>
      <c r="CI4" s="89">
        <f t="shared" si="5"/>
        <v>0.14454287999999998</v>
      </c>
      <c r="CJ4" s="89">
        <f t="shared" si="5"/>
        <v>0.11242223999999999</v>
      </c>
    </row>
    <row r="5" spans="1:253" s="26" customFormat="1" x14ac:dyDescent="0.25">
      <c r="J5" s="76"/>
      <c r="K5" s="76"/>
      <c r="M5" s="65"/>
      <c r="N5" s="66"/>
      <c r="O5" s="65"/>
      <c r="P5" s="67"/>
      <c r="BX5" s="3"/>
    </row>
    <row r="6" spans="1:253" x14ac:dyDescent="0.25">
      <c r="A6" s="20"/>
      <c r="B6" s="20"/>
      <c r="C6" s="21"/>
      <c r="D6" s="21"/>
      <c r="E6" s="21"/>
      <c r="F6" s="21"/>
      <c r="G6" s="21"/>
      <c r="H6" s="56"/>
      <c r="I6" s="20"/>
      <c r="J6" s="79"/>
      <c r="K6" s="84">
        <v>43698</v>
      </c>
      <c r="L6" s="22"/>
      <c r="M6" s="23"/>
      <c r="N6" s="24"/>
      <c r="O6" s="25"/>
      <c r="P6" s="120"/>
      <c r="Q6" s="120"/>
      <c r="R6" s="120"/>
      <c r="S6" s="120"/>
      <c r="T6" s="120"/>
      <c r="U6" s="120"/>
      <c r="V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0"/>
      <c r="BA6" s="120"/>
      <c r="BB6" s="120"/>
      <c r="BC6" s="120"/>
      <c r="BD6" s="120"/>
      <c r="BE6" s="120"/>
      <c r="BF6" s="120"/>
      <c r="BG6" s="120"/>
      <c r="BH6" s="120"/>
      <c r="BI6" s="120"/>
      <c r="BJ6" s="120"/>
      <c r="BK6" s="120"/>
      <c r="BL6" s="120"/>
      <c r="BM6" s="120"/>
      <c r="BN6" s="120"/>
      <c r="BO6" s="120"/>
      <c r="BP6" s="120"/>
      <c r="BQ6" s="120"/>
      <c r="BR6" s="120"/>
      <c r="BS6" s="120"/>
      <c r="BT6" s="120"/>
      <c r="BU6" s="120"/>
      <c r="BV6" s="120"/>
      <c r="BW6" s="120"/>
      <c r="BX6" s="120"/>
      <c r="BY6" s="120"/>
      <c r="BZ6" s="120"/>
      <c r="CA6" s="120"/>
      <c r="CB6" s="120"/>
      <c r="CC6" s="120"/>
      <c r="CD6" s="120"/>
      <c r="CE6" s="120"/>
      <c r="CF6" s="120"/>
      <c r="CG6" s="120"/>
      <c r="CH6" s="120"/>
      <c r="CI6" s="120"/>
      <c r="CJ6" s="120"/>
      <c r="CK6" s="62"/>
    </row>
    <row r="7" spans="1:253" s="5" customFormat="1" x14ac:dyDescent="0.25">
      <c r="A7" s="57" t="s">
        <v>1666</v>
      </c>
      <c r="B7" s="74" t="s">
        <v>1593</v>
      </c>
      <c r="C7" s="71" t="s">
        <v>1620</v>
      </c>
      <c r="D7" s="71"/>
      <c r="E7" s="71"/>
      <c r="F7" s="71"/>
      <c r="G7" s="71" t="s">
        <v>1665</v>
      </c>
      <c r="H7" s="57" t="s">
        <v>110</v>
      </c>
      <c r="I7" s="57" t="s">
        <v>1639</v>
      </c>
      <c r="J7" s="80"/>
      <c r="K7" s="80" t="s">
        <v>1677</v>
      </c>
      <c r="L7" s="72" t="s">
        <v>1596</v>
      </c>
      <c r="M7" s="72" t="s">
        <v>1640</v>
      </c>
      <c r="N7" s="57" t="s">
        <v>1595</v>
      </c>
      <c r="O7" s="73" t="s">
        <v>1606</v>
      </c>
      <c r="P7" s="84">
        <v>43668.446116898151</v>
      </c>
      <c r="Q7" s="84">
        <v>43669</v>
      </c>
      <c r="R7" s="84">
        <v>43670</v>
      </c>
      <c r="S7" s="84">
        <v>43671</v>
      </c>
      <c r="T7" s="84">
        <v>43672</v>
      </c>
      <c r="U7" s="84">
        <v>43675</v>
      </c>
      <c r="V7" s="84">
        <v>43676</v>
      </c>
      <c r="W7" s="84">
        <v>43677</v>
      </c>
      <c r="X7" s="84">
        <v>43678</v>
      </c>
      <c r="Y7" s="84">
        <v>43679</v>
      </c>
      <c r="Z7" s="84">
        <v>43682</v>
      </c>
      <c r="AA7" s="84">
        <v>43683</v>
      </c>
      <c r="AB7" s="84">
        <v>43684</v>
      </c>
      <c r="AC7" s="84">
        <v>43685</v>
      </c>
      <c r="AD7" s="84">
        <v>43686</v>
      </c>
      <c r="AE7" s="84">
        <v>43689</v>
      </c>
      <c r="AF7" s="84">
        <v>43690</v>
      </c>
      <c r="AG7" s="84">
        <v>43691</v>
      </c>
      <c r="AH7" s="84">
        <v>43692</v>
      </c>
      <c r="AI7" s="84">
        <v>43693</v>
      </c>
      <c r="AJ7" s="84">
        <v>43696</v>
      </c>
      <c r="AK7" s="84">
        <v>43697</v>
      </c>
      <c r="AL7" s="84">
        <v>43698</v>
      </c>
      <c r="AM7" s="84">
        <v>43699</v>
      </c>
      <c r="AN7" s="84">
        <v>43700</v>
      </c>
      <c r="AO7" s="84">
        <v>43703</v>
      </c>
      <c r="AP7" s="84">
        <v>43704</v>
      </c>
      <c r="AQ7" s="84">
        <v>43705</v>
      </c>
      <c r="AR7" s="84">
        <v>43706</v>
      </c>
      <c r="AS7" s="84">
        <v>43707</v>
      </c>
      <c r="AT7" s="84">
        <v>43710</v>
      </c>
      <c r="AU7" s="84">
        <v>43711</v>
      </c>
      <c r="AV7" s="84">
        <v>43712</v>
      </c>
      <c r="AW7" s="84">
        <v>43713</v>
      </c>
      <c r="AX7" s="84">
        <v>43714</v>
      </c>
      <c r="AY7" s="84">
        <v>43717</v>
      </c>
      <c r="AZ7" s="84">
        <v>43718</v>
      </c>
      <c r="BA7" s="84">
        <v>43719</v>
      </c>
      <c r="BB7" s="84">
        <v>43720</v>
      </c>
      <c r="BC7" s="84">
        <v>43721</v>
      </c>
      <c r="BD7" s="84">
        <v>43724</v>
      </c>
      <c r="BE7" s="84">
        <v>43725</v>
      </c>
      <c r="BF7" s="84">
        <v>43726</v>
      </c>
      <c r="BG7" s="84">
        <v>43727</v>
      </c>
      <c r="BH7" s="84">
        <v>43728</v>
      </c>
      <c r="BI7" s="84">
        <v>43731</v>
      </c>
      <c r="BJ7" s="84">
        <v>43732</v>
      </c>
      <c r="BK7" s="84">
        <v>43733</v>
      </c>
      <c r="BL7" s="84">
        <v>43734</v>
      </c>
      <c r="BM7" s="84">
        <v>43735</v>
      </c>
      <c r="BN7" s="84">
        <v>43738</v>
      </c>
      <c r="BO7" s="84">
        <v>43739</v>
      </c>
      <c r="BP7" s="84">
        <v>43740</v>
      </c>
      <c r="BQ7" s="84">
        <v>43741</v>
      </c>
      <c r="BR7" s="84">
        <v>43742</v>
      </c>
      <c r="BS7" s="84">
        <v>43745</v>
      </c>
      <c r="BT7" s="84">
        <v>43746</v>
      </c>
      <c r="BU7" s="84">
        <v>43747</v>
      </c>
      <c r="BV7" s="84">
        <v>43748</v>
      </c>
      <c r="BW7" s="84">
        <v>43749</v>
      </c>
      <c r="BX7" s="84">
        <v>43752</v>
      </c>
      <c r="BY7" s="84">
        <v>43753</v>
      </c>
      <c r="BZ7" s="84">
        <v>43754</v>
      </c>
      <c r="CA7" s="84">
        <v>43755</v>
      </c>
      <c r="CB7" s="84">
        <v>43756</v>
      </c>
      <c r="CC7" s="84">
        <v>43759</v>
      </c>
      <c r="CD7" s="84">
        <v>43760</v>
      </c>
      <c r="CE7" s="84">
        <v>43761</v>
      </c>
      <c r="CF7" s="84">
        <v>43762</v>
      </c>
      <c r="CG7" s="84">
        <v>43763</v>
      </c>
      <c r="CH7" s="84">
        <v>43766</v>
      </c>
      <c r="CI7" s="84">
        <v>43767</v>
      </c>
      <c r="CJ7" s="84">
        <v>43768</v>
      </c>
    </row>
    <row r="8" spans="1:253" x14ac:dyDescent="0.25">
      <c r="A8" s="81">
        <v>1</v>
      </c>
      <c r="B8">
        <f>IF(A8&gt;0,FABRICAR!F2,NA())</f>
        <v>39223</v>
      </c>
      <c r="C8" t="str">
        <f>IF(A8&gt;0,FABRICAR!G2,NA())</f>
        <v>Barra Ojo 5/8x2,40mtrs</v>
      </c>
      <c r="D8" s="1" t="str">
        <f t="shared" ref="D8:D32" si="6">B8&amp;E8</f>
        <v>392230</v>
      </c>
      <c r="E8">
        <f>IF(A8&gt;0,FABRICAR!P2,"")</f>
        <v>0</v>
      </c>
      <c r="F8" t="str">
        <f t="shared" ref="F8:F32" si="7">IF(E8="T",M8,"")</f>
        <v/>
      </c>
      <c r="G8">
        <v>440</v>
      </c>
      <c r="H8" t="str">
        <f>IF(B8=0,B8,IF(A8&gt;0,FABRICAR!H2,NA()))</f>
        <v>PRENSA FR - 01</v>
      </c>
      <c r="I8">
        <f>IF(B8=0,B8,IF(A8&gt;0,FABRICAR!B2,NA()))</f>
        <v>1</v>
      </c>
      <c r="J8" s="75">
        <f>IF(B8=0,B8,'PROGRAM SALDO '!J4)</f>
        <v>348</v>
      </c>
      <c r="K8" s="82">
        <v>606</v>
      </c>
      <c r="L8" t="str">
        <f>IF(A8&gt;0,FABRICAR!J2,NA())</f>
        <v>ESTAMPAR</v>
      </c>
      <c r="M8" s="9">
        <f t="shared" ref="M8:M32" si="8">IFERROR(VLOOKUP(C8,PRODUCTOS,4,0),0)</f>
        <v>4.0423999999999998</v>
      </c>
      <c r="N8">
        <f>IF(A8&gt;0,FABRICAR!L2,NA())</f>
        <v>15000</v>
      </c>
      <c r="O8">
        <f>IF(B8=0,B8,IF(A8&gt;0,FABRICAR!M2,"")*9)</f>
        <v>396</v>
      </c>
      <c r="P8" s="3">
        <f>IF($N$8&gt;O8,$O$8,N8)</f>
        <v>396</v>
      </c>
      <c r="Q8">
        <f>IF($N$8&gt;$O$8+(SUM($P$8:P8)),$O$8,$N$8-(SUM($P$8:P8)))</f>
        <v>396</v>
      </c>
      <c r="R8">
        <f>IF($N$8&gt;$O$8+(SUM($P$8:Q8)),$O$8,$N$8-(SUM($P$8:Q8)))</f>
        <v>396</v>
      </c>
      <c r="S8">
        <f>IF($N$8&gt;$O$8+(SUM($P$8:R8)),$O$8,$N$8-(SUM($P$8:R8)))</f>
        <v>396</v>
      </c>
      <c r="T8">
        <f>IF($N$8&gt;$O$8+(SUM($P$8:S8)),$O$8,$N$8-(SUM($P$8:S8)))</f>
        <v>396</v>
      </c>
      <c r="U8">
        <f>IF($N$8&gt;$O$8+(SUM($P$8:T8)),$O$8,$N$8-(SUM($P$8:T8)))</f>
        <v>396</v>
      </c>
      <c r="V8">
        <f>IF($N$8&gt;$O$8+(SUM($P$8:U8)),$O$8,$N$8-(SUM($P$8:U8)))</f>
        <v>396</v>
      </c>
      <c r="W8">
        <f>IF($N$8&gt;$O$8+(SUM($P$8:V8)),$O$8,$N$8-(SUM($P$8:V8)))</f>
        <v>396</v>
      </c>
      <c r="X8">
        <f>IF($N$8&gt;$O$8+(SUM($P$8:W8)),$O$8,$N$8-(SUM($P$8:W8)))</f>
        <v>396</v>
      </c>
      <c r="Y8">
        <f>IF($N$8&gt;$O$8+(SUM($P$8:X8)),$O$8,$N$8-(SUM($P$8:X8)))</f>
        <v>396</v>
      </c>
      <c r="Z8">
        <f>IF($N$8&gt;$O$8+(SUM($P$8:Y8)),$O$8,$N$8-(SUM($P$8:Y8)))</f>
        <v>396</v>
      </c>
      <c r="AA8">
        <f>IF($N$8&gt;$O$8+(SUM($P$8:Z8)),$O$8,$N$8-(SUM($P$8:Z8)))</f>
        <v>396</v>
      </c>
      <c r="AB8">
        <f>IF($N$8&gt;$O$8+(SUM($P$8:AA8)),$O$8,$N$8-(SUM($P$8:AA8)))</f>
        <v>396</v>
      </c>
      <c r="AC8">
        <f>IF($N$8&gt;$O$8+(SUM($P$8:AB8)),$O$8,$N$8-(SUM($P$8:AB8)))</f>
        <v>396</v>
      </c>
      <c r="AD8">
        <f>IF($N$8&gt;$O$8+(SUM($P$8:AC8)),$O$8,$N$8-(SUM($P$8:AC8)))</f>
        <v>396</v>
      </c>
      <c r="AE8">
        <f>IF($N$8&gt;$O$8+(SUM($P$8:AD8)),$O$8,$N$8-(SUM($P$8:AD8)))</f>
        <v>396</v>
      </c>
      <c r="AF8">
        <f>IF($N$8&gt;$O$8+(SUM($P$8:AE8)),$O$8,$N$8-(SUM($P$8:AE8)))</f>
        <v>396</v>
      </c>
      <c r="AG8">
        <f>IF($N$8&gt;$O$8+(SUM($P$8:AF8)),$O$8,$N$8-(SUM($P$8:AF8)))</f>
        <v>396</v>
      </c>
      <c r="AH8">
        <f>IF($N$8&gt;$O$8+(SUM($P$8:AG8)),$O$8,$N$8-(SUM($P$8:AG8)))</f>
        <v>396</v>
      </c>
      <c r="AI8">
        <f>IF($N$8&gt;$O$8+(SUM($P$8:AH8)),$O$8,$N$8-(SUM($P$8:AH8)))</f>
        <v>396</v>
      </c>
      <c r="AJ8">
        <f>IF($N$8&gt;$O$8+(SUM($P$8:AI8)),$O$8,$N$8-(SUM($P$8:AI8)))</f>
        <v>396</v>
      </c>
      <c r="AK8">
        <f>IF($N$8&gt;$O$8+(SUM($P$8:AJ8)),$O$8,$N$8-(SUM($P$8:AJ8)))</f>
        <v>396</v>
      </c>
      <c r="AL8">
        <f>IF($N$8&gt;$O$8+(SUM($P$8:AK8)),$O$8,$N$8-(SUM($P$8:AK8)))</f>
        <v>396</v>
      </c>
      <c r="AM8">
        <f>IF($N$8&gt;$O$8+(SUM($P$8:AL8)),$O$8,$N$8-(SUM($P$8:AL8)))</f>
        <v>396</v>
      </c>
      <c r="AN8">
        <f>IF($N$8&gt;$O$8+(SUM($P$8:AM8)),$O$8,$N$8-(SUM($P$8:AM8)))</f>
        <v>396</v>
      </c>
      <c r="AO8">
        <f>IF($N$8&gt;$O$8+(SUM($P$8:AN8)),$O$8,$N$8-(SUM($P$8:AN8)))</f>
        <v>396</v>
      </c>
      <c r="AP8">
        <f>IF($N$8&gt;$O$8+(SUM($P$8:AO8)),$O$8,$N$8-(SUM($P$8:AO8)))</f>
        <v>396</v>
      </c>
      <c r="AQ8">
        <f>IF($N$8&gt;$O$8+(SUM($P$8:AP8)),$O$8,$N$8-(SUM($P$8:AP8)))</f>
        <v>396</v>
      </c>
      <c r="AR8">
        <f>IF($N$8&gt;$O$8+(SUM($P$8:AQ8)),$O$8,$N$8-(SUM($P$8:AQ8)))</f>
        <v>396</v>
      </c>
      <c r="AS8">
        <f>IF($N$8&gt;$O$8+(SUM($P$8:AR8)),$O$8,$N$8-(SUM($P$8:AR8)))</f>
        <v>396</v>
      </c>
      <c r="AT8">
        <f>IF($N$8&gt;$O$8+(SUM($P$8:AS8)),$O$8,$N$8-(SUM($P$8:AS8)))</f>
        <v>396</v>
      </c>
      <c r="AU8">
        <f>IF($N$8&gt;$O$8+(SUM($P$8:AT8)),$O$8,$N$8-(SUM($P$8:AT8)))</f>
        <v>396</v>
      </c>
      <c r="AV8">
        <f>IF($N$8&gt;$O$8+(SUM($P$8:AU8)),$O$8,$N$8-(SUM($P$8:AU8)))</f>
        <v>396</v>
      </c>
      <c r="AW8">
        <f>IF($N$8&gt;$O$8+(SUM($P$8:AV8)),$O$8,$N$8-(SUM($P$8:AV8)))</f>
        <v>396</v>
      </c>
      <c r="AX8">
        <f>IF($N$8&gt;$O$8+(SUM($P$8:AW8)),$O$8,$N$8-(SUM($P$8:AW8)))</f>
        <v>396</v>
      </c>
      <c r="AY8">
        <f>IF($N$8&gt;$O$8+(SUM($P$8:AX8)),$O$8,$N$8-(SUM($P$8:AX8)))</f>
        <v>396</v>
      </c>
      <c r="AZ8">
        <f>IF($N$8&gt;$O$8+(SUM($P$8:AY8)),$O$8,$N$8-(SUM($P$8:AY8)))</f>
        <v>396</v>
      </c>
      <c r="BA8">
        <f>IF($N$8&gt;$O$8+(SUM($P$8:AZ8)),$O$8,$N$8-(SUM($P$8:AZ8)))</f>
        <v>348</v>
      </c>
      <c r="BB8">
        <f>IF($N$8&gt;$O$8+(SUM($P$8:BA8)),$O$8,$N$8-(SUM($P$8:BA8)))</f>
        <v>0</v>
      </c>
      <c r="BC8">
        <f>IF($N$8&gt;$O$8+(SUM($P$8:BB8)),$O$8,$N$8-(SUM($P$8:BB8)))</f>
        <v>0</v>
      </c>
      <c r="BD8">
        <f>IF($N$8&gt;$O$8+(SUM($P$8:BC8)),$O$8,$N$8-(SUM($P$8:BC8)))</f>
        <v>0</v>
      </c>
      <c r="BE8">
        <f>IF($N$8&gt;$O$8+(SUM($P$8:BD8)),$O$8,$N$8-(SUM($P$8:BD8)))</f>
        <v>0</v>
      </c>
      <c r="BF8">
        <f>IF($N$8&gt;$O$8+(SUM($P$8:BE8)),$O$8,$N$8-(SUM($P$8:BE8)))</f>
        <v>0</v>
      </c>
      <c r="BG8">
        <f>IF($N$8&gt;$O$8+(SUM($P$8:BF8)),$O$8,$N$8-(SUM($P$8:BF8)))</f>
        <v>0</v>
      </c>
      <c r="BH8">
        <f>IF($N$8&gt;$O$8+(SUM($P$8:BG8)),$O$8,$N$8-(SUM($P$8:BG8)))</f>
        <v>0</v>
      </c>
      <c r="BI8">
        <f>IF($N$8&gt;$O$8+(SUM($P$8:BH8)),$O$8,$N$8-(SUM($P$8:BH8)))</f>
        <v>0</v>
      </c>
      <c r="BJ8">
        <f>IF($N$8&gt;$O$8+(SUM($P$8:BI8)),$O$8,$N$8-(SUM($P$8:BI8)))</f>
        <v>0</v>
      </c>
      <c r="BK8">
        <f>IF($N$8&gt;$O$8+(SUM($P$8:BJ8)),$O$8,$N$8-(SUM($P$8:BJ8)))</f>
        <v>0</v>
      </c>
      <c r="BL8">
        <f>IF($N$8&gt;$O$8+(SUM($P$8:BK8)),$O$8,$N$8-(SUM($P$8:BK8)))</f>
        <v>0</v>
      </c>
      <c r="BM8">
        <f>IF($N$8&gt;$O$8+(SUM($P$8:BL8)),$O$8,$N$8-(SUM($P$8:BL8)))</f>
        <v>0</v>
      </c>
      <c r="BN8">
        <f>IF($N$8&gt;$O$8+(SUM($P$8:BM8)),$O$8,$N$8-(SUM($P$8:BM8)))</f>
        <v>0</v>
      </c>
      <c r="BO8">
        <f>IF($N$8&gt;$O$8+(SUM($P$8:BN8)),$O$8,$N$8-(SUM($P$8:BN8)))</f>
        <v>0</v>
      </c>
      <c r="BP8">
        <f>IF($N$8&gt;$O$8+(SUM($P$8:BO8)),$O$8,$N$8-(SUM($P$8:BO8)))</f>
        <v>0</v>
      </c>
      <c r="BQ8">
        <f>IF($N$8&gt;$O$8+(SUM($P$8:BP8)),$O$8,$N$8-(SUM($P$8:BP8)))</f>
        <v>0</v>
      </c>
      <c r="BR8">
        <f>IF($N$8&gt;$O$8+(SUM($P$8:BQ8)),$O$8,$N$8-(SUM($P$8:BQ8)))</f>
        <v>0</v>
      </c>
      <c r="BS8">
        <f>IF($N$8&gt;$O$8+(SUM($P$8:BR8)),$O$8,$N$8-(SUM($P$8:BR8)))</f>
        <v>0</v>
      </c>
      <c r="BT8">
        <f>IF($N$8&gt;$O$8+(SUM($P$8:BS8)),$O$8,$N$8-(SUM($P$8:BS8)))</f>
        <v>0</v>
      </c>
      <c r="BU8">
        <f>IF($N$8&gt;$O$8+(SUM($P$8:BT8)),$O$8,$N$8-(SUM($P$8:BT8)))</f>
        <v>0</v>
      </c>
      <c r="BV8">
        <f>IF($N$8&gt;$O$8+(SUM($P$8:BU8)),$O$8,$N$8-(SUM($P$8:BU8)))</f>
        <v>0</v>
      </c>
      <c r="BW8">
        <f>IF($N$8&gt;$O$8+(SUM($P$8:BV8)),$O$8,$N$8-(SUM($P$8:BV8)))</f>
        <v>0</v>
      </c>
      <c r="BX8">
        <f>IF($N$8&gt;$O$8+(SUM($P$8:BW8)),$O$8,$N$8-(SUM($P$8:BW8)))</f>
        <v>0</v>
      </c>
      <c r="BY8">
        <f>IF($N$8&gt;$O$8+(SUM($P$8:BX8)),$O$8,$N$8-(SUM($P$8:BX8)))</f>
        <v>0</v>
      </c>
      <c r="BZ8">
        <f>IF($N$8&gt;$O$8+(SUM($P$8:BY8)),$O$8,$N$8-(SUM($P$8:BY8)))</f>
        <v>0</v>
      </c>
      <c r="CA8">
        <f>IF($N$8&gt;$O$8+(SUM($P$8:BZ8)),$O$8,$N$8-(SUM($P$8:BZ8)))</f>
        <v>0</v>
      </c>
      <c r="CB8">
        <f>IF($N$8&gt;$O$8+(SUM($P$8:CA8)),$O$8,$N$8-(SUM($P$8:CA8)))</f>
        <v>0</v>
      </c>
      <c r="CC8">
        <f>IF($N$8&gt;$O$8+(SUM($P$8:CB8)),$O$8,$N$8-(SUM($P$8:CB8)))</f>
        <v>0</v>
      </c>
      <c r="CD8">
        <f>IF($N$8&gt;$O$8+(SUM($P$8:CC8)),$O$8,$N$8-(SUM($P$8:CC8)))</f>
        <v>0</v>
      </c>
      <c r="CE8">
        <f>IF($N$8&gt;$O$8+(SUM($P$8:CD8)),$O$8,$N$8-(SUM($P$8:CD8)))</f>
        <v>0</v>
      </c>
      <c r="CF8">
        <f>IF($N$8&gt;$O$8+(SUM($P$8:CE8)),$O$8,$N$8-(SUM($P$8:CE8)))</f>
        <v>0</v>
      </c>
      <c r="CG8">
        <f>IF($N$8&gt;$O$8+(SUM($P$8:CF8)),$O$8,$N$8-(SUM($P$8:CF8)))</f>
        <v>0</v>
      </c>
      <c r="CH8">
        <f>IF($N$8&gt;$O$8+(SUM($P$8:CG8)),$O$8,$N$8-(SUM($P$8:CG8)))</f>
        <v>0</v>
      </c>
      <c r="CI8">
        <f>IF($N$8&gt;$O$8+(SUM($P$8:CH8)),$O$8,$N$8-(SUM($P$8:CH8)))</f>
        <v>0</v>
      </c>
      <c r="CJ8">
        <f>IF($N$8&gt;$O$8+(SUM($P$8:CI8)),$O$8,$N$8-(SUM($P$8:CI8)))</f>
        <v>0</v>
      </c>
    </row>
    <row r="9" spans="1:253" x14ac:dyDescent="0.25">
      <c r="A9" s="81">
        <v>2</v>
      </c>
      <c r="B9">
        <f>IF(A9&gt;0,FABRICAR!F3,NA())</f>
        <v>39223</v>
      </c>
      <c r="C9" t="str">
        <f>IF(A9&gt;0,FABRICAR!G3,NA())</f>
        <v>Barra Ojo 5/8x2,40mtrs</v>
      </c>
      <c r="D9" s="1" t="str">
        <f t="shared" si="6"/>
        <v>392230</v>
      </c>
      <c r="E9">
        <f>IF(A9&gt;0,FABRICAR!P3,"")</f>
        <v>0</v>
      </c>
      <c r="F9" t="str">
        <f t="shared" si="7"/>
        <v/>
      </c>
      <c r="G9">
        <v>441</v>
      </c>
      <c r="H9" t="str">
        <f>IF(B9=0,B9,IF(A9&gt;0,FABRICAR!H3,NA()))</f>
        <v>PRENSA EX - 13</v>
      </c>
      <c r="I9">
        <f>IF(B9=0,B9,IF(A9&gt;0,FABRICAR!B3,NA()))</f>
        <v>0</v>
      </c>
      <c r="J9" s="75">
        <f>IF(B9=0,B9,'PROGRAM SALDO '!J5)</f>
        <v>375</v>
      </c>
      <c r="K9" s="82">
        <v>606</v>
      </c>
      <c r="L9" t="str">
        <f>IF(A9&gt;0,FABRICAR!J3,NA())</f>
        <v>REBABAR EXT</v>
      </c>
      <c r="M9" s="9">
        <f t="shared" si="8"/>
        <v>4.0423999999999998</v>
      </c>
      <c r="N9">
        <f>IF(A9&gt;0,FABRICAR!L3,NA())</f>
        <v>15000</v>
      </c>
      <c r="O9">
        <f>IF(B9=0,B9,IF(A9&gt;0,FABRICAR!M3,"")*9)</f>
        <v>1125</v>
      </c>
      <c r="P9" t="str">
        <f t="shared" ref="P9:P45" si="9">IF(I9&gt;1,VLOOKUP(B9,PROGRAMACION1,8,0),IF(H9=H8,"",IF(AND(B9=B8,O9&gt;1),"",(IF(N9&gt;O9,O9,N9)))))</f>
        <v/>
      </c>
      <c r="Q9" s="3" t="str">
        <f t="shared" ref="Q9:Q45" si="10">IF(AND(N9&gt;O9,B8=B9,J8+SUM(P8:P8)&lt;J9+SUM(P9:P9)),"",IF(I9&gt;1,VLOOKUP(B9,PROGRAMACION1,9,0),IF(AND(H8=H9,N8&gt;SUM(P8:P8),Q8&gt;(O8/7)),"",IF(AND(Q8&lt;&gt;0,B8=B9,O9&gt;(SUM(P8:P8))),"",(IF(N9&gt;O9+(SUM(P9:P9)),O9,N9-(SUM(P9:P9))))))))</f>
        <v/>
      </c>
      <c r="R9" s="3" t="str">
        <f t="shared" ref="R9" si="11">IF(AND(N9&gt;O9,B8=B9,J8+SUM(P8:Q8)&lt;J9+SUM(P9:Q9)),"",IF(I9&gt;1,VLOOKUP(B9,PROGRAMACION1,10,0),IF(AND(H8=H9,N8&gt;SUM(P8:Q8),R8&gt;(O8/7)),"",IF(AND(R8&lt;&gt;0,B8=B9,O9&gt;(SUM(P8:Q8))),"",(IF(N9&gt;O9+(SUM(P9:Q9)),O9,N9-(SUM(P9:Q9))))))))</f>
        <v/>
      </c>
      <c r="S9" s="3">
        <f>IF(AND(N9&gt;O9,B8=B9,J8+SUM(P8:R8)&lt;J9+SUM(P9:R9)),"",IF(I9&gt;1,VLOOKUP(B9,PROGRAMACION1,11,0),IF(AND(H8=H9,N8&gt;SUM(P8:R8),S8&gt;(O8/7)),"",IF(AND(S8&lt;&gt;0,B8=B9,O9&gt;(SUM(P8:R8))),"",(IF(N9&gt;O9+(SUM(P9:R9)),O9,N9-(SUM(P9:R9))))))))</f>
        <v>1125</v>
      </c>
      <c r="T9" s="3">
        <f t="shared" ref="T9" si="12">IF(AND(N9&gt;O9,B8=B9,J8+SUM(P8:S8)&lt;J9+SUM(P9:S9)),"",IF(I9&gt;1,VLOOKUP(B9,PROGRAMACION1,12,0),IF(AND(H8=H9,N8&gt;SUM(P8:S8),T8&gt;(O8/7)),"",IF(AND(T8&lt;&gt;0,B8=B9,O9&gt;(SUM(P8:S8))),"",(IF(N9&gt;O9+(SUM(P9:S9)),O9,N9-(SUM(P9:S9))))))))</f>
        <v>1125</v>
      </c>
      <c r="U9" s="3" t="str">
        <f t="shared" ref="U9" si="13">IF(AND(N9&gt;O9,B8=B9,J8+SUM(P8:T8)&lt;J9+SUM(P9:T9)),"",IF(I9&gt;1,VLOOKUP(B9,PROGRAMACION1,13,0),IF(AND(H8=H9,N8&gt;SUM(P8:T8),U8&gt;(O8/7)),"",IF(AND(U8&lt;&gt;0,B8=B9,O9&gt;(SUM(P8:T8))),"",(IF(N9&gt;O9+(SUM(P9:T9)),O9,N9-(SUM(P9:T9))))))))</f>
        <v/>
      </c>
      <c r="V9" s="3">
        <f t="shared" ref="V9" si="14">IF(AND(N9&gt;O9,B8=B9,J8+SUM(P8:U8)&lt;J9+SUM(P9:U9)),"",IF(I9&gt;1,VLOOKUP(B9,PROGRAMACION1,14,0),IF(AND(H8=H9,N8&gt;SUM(P8:U8),V8&gt;(O8/7)),"",IF(AND(V8&lt;&gt;0,B8=B9,O9&gt;(SUM(P8:U8))),"",(IF(N9&gt;O9+(SUM(P9:U9)),O9,N9-(SUM(P9:U9))))))))</f>
        <v>1125</v>
      </c>
      <c r="W9" s="3" t="str">
        <f t="shared" ref="W9" si="15">IF(AND(N9&gt;O9,B8=B9,J8+SUM(P8:V8)&lt;J9+SUM(P9:V9)),"",IF(I9&gt;1,VLOOKUP(B9,PROGRAMACION1,15,0),IF(AND(H8=H9,N8&gt;SUM(P8:V8),W8&gt;(O8/7)),"",IF(AND(W8&lt;&gt;0,B8=B9,O9&gt;(SUM(P8:V8))),"",(IF(N9&gt;O9+(SUM(P9:V9)),O9,N9-(SUM(P9:V9))))))))</f>
        <v/>
      </c>
      <c r="X9" s="3" t="str">
        <f t="shared" ref="X9" si="16">IF(AND(N9&gt;O9,B8=B9,J8+SUM(P8:W8)&lt;J9+SUM(P9:W9)),"",IF(I9&gt;1,VLOOKUP(B9,PROGRAMACION1,16,0),IF(AND(H8=H9,N8&gt;SUM(P8:W8),X8&gt;(O8/7)),"",IF(AND(X8&lt;&gt;0,B8=B9,O9&gt;(SUM(P8:W8))),"",(IF(N9&gt;O9+(SUM(P9:W9)),O9,N9-(SUM(P9:W9))))))))</f>
        <v/>
      </c>
      <c r="Y9" s="3">
        <f t="shared" ref="Y9" si="17">IF(AND(N9&gt;O9,B8=B9,J8+SUM(P8:X8)&lt;J9+SUM(P9:X9)),"",IF(I9&gt;1,VLOOKUP(B9,PROGRAMACION1,17,0),IF(AND(H8=H9,N8&gt;SUM(P8:X8),Y8&gt;(O8/7)),"",IF(AND(Y8&lt;&gt;0,B8=B9,O9&gt;(SUM(P8:X8))),"",(IF(N9&gt;O9+(SUM(P9:X9)),O9,N9-(SUM(P9:X9))))))))</f>
        <v>1125</v>
      </c>
      <c r="Z9" s="3" t="str">
        <f t="shared" ref="Z9" si="18">IF(AND(N9&gt;O9,B8=B9,J8+SUM(P8:Y8)&lt;J9+SUM(P9:Y9)),"",IF(I9&gt;1,VLOOKUP(B9,PROGRAMACION1,18,0),IF(AND(H8=H9,N8&gt;SUM(P8:Y8),Z8&gt;(O8/7)),"",IF(AND(Z8&lt;&gt;0,B8=B9,O9&gt;(SUM(P8:Y8))),"",(IF(N9&gt;O9+(SUM(P9:Y9)),O9,N9-(SUM(P9:Y9))))))))</f>
        <v/>
      </c>
      <c r="AA9" s="3" t="str">
        <f t="shared" ref="AA9" si="19">IF(AND(N9&gt;O9,B8=B9,J8+SUM(P8:Z8)&lt;J9+SUM(P9:Z9)),"",IF(I9&gt;1,VLOOKUP(B9,PROGRAMACION1,19,0),IF(AND(H8=H9,N8&gt;SUM(P8:Z8),AA8&gt;(O8/7)),"",IF(AND(AA8&lt;&gt;0,B8=B9,O9&gt;(SUM(P8:Z8))),"",(IF(N9&gt;O9+(SUM(P9:Z9)),O9,N9-(SUM(P9:Z9))))))))</f>
        <v/>
      </c>
      <c r="AB9" s="3">
        <f t="shared" ref="AB9" si="20">IF(AND(N9&gt;O9,B8=B9,J8+SUM(P8:AA8)&lt;J9+SUM(P9:AA9)),"",IF(I9&gt;1,VLOOKUP(B9,PROGRAMACION1,20,0),IF(AND(H8=H9,N8&gt;SUM(P8:AA8),AB8&gt;(O8/7)),"",IF(AND(AB8&lt;&gt;0,B8=B9,O9&gt;(SUM(P8:AA8))),"",(IF(N9&gt;O9+(SUM(P9:AA9)),O9,N9-(SUM(P9:AA9))))))))</f>
        <v>1125</v>
      </c>
      <c r="AC9" s="3" t="str">
        <f t="shared" ref="AC9" si="21">IF(AND(N9&gt;O9,B8=B9,J8+SUM(P8:AB8)&lt;J9+SUM(P9:AB9)),"",IF(I9&gt;1,VLOOKUP(B9,PROGRAMACION1,21,0),IF(AND(H8=H9,N8&gt;SUM(P8:AB8),AC8&gt;(O8/7)),"",IF(AND(AC8&lt;&gt;0,B8=B9,O9&gt;(SUM(P8:AB8))),"",(IF(N9&gt;O9+(SUM(P9:AB9)),O9,N9-(SUM(P9:AB9))))))))</f>
        <v/>
      </c>
      <c r="AD9" s="3" t="str">
        <f t="shared" ref="AD9:AD45" si="22">IF(AND(N9&gt;O9,B8=B9,J8+SUM(P8:AC8)&lt;J9+SUM(P9:AC9)),"",IF(I9&gt;1,VLOOKUP(B9,PROGRAMACION1,22,0),IF(AND(H8=H9,N8&gt;SUM(P8:AC8),AD8&gt;(O8/7)),"",IF(AND(AD8&lt;&gt;0,B8=B9,O9&gt;(SUM(P8:AC8))),"",(IF(N9&gt;O9+(SUM(P9:AC9)),O9,N9-(SUM(P9:AC9))))))))</f>
        <v/>
      </c>
      <c r="AE9" s="3">
        <f t="shared" ref="AE9:AE45" si="23">IF(AND(N9&gt;O9,B8=B9,J8+SUM(P8:AD8)&lt;J9+SUM(P9:AD9)),"",IF(I9&gt;1,VLOOKUP(B9,PROGRAMACION1,23,0),IF(AND(H8=H9,N8&gt;SUM(P8:AD8),AE8&gt;(O8/7)),"",IF(AND(AE8&lt;&gt;0,B8=B9,O9&gt;(SUM(P8:AD8))),"",(IF(N9&gt;O9+(SUM(P9:AD9)),O9,N9-(SUM(P9:AD9))))))))</f>
        <v>1125</v>
      </c>
      <c r="AF9" s="3" t="str">
        <f t="shared" ref="AF9:AF45" si="24">IF(AND(N9&gt;O9,B8=B9,J8+SUM(P8:AE8)&lt;J9+SUM(P9:AE9)),"",IF(I9&gt;1,VLOOKUP(B9,PROGRAMACION1,24,0),IF(AND(H8=H9,N8&gt;SUM(P8:AE8),AF8&gt;(O8/7)),"",IF(AND(AF8&lt;&gt;0,B8=B9,O9&gt;(SUM(P8:AE8))),"",(IF(N9&gt;O9+(SUM(P9:AE9)),O9,N9-(SUM(P9:AE9))))))))</f>
        <v/>
      </c>
      <c r="AG9" s="3" t="str">
        <f t="shared" ref="AG9:AG45" si="25">IF(AND(N9&gt;O9,B8=B9,J8+SUM(P8:AF8)&lt;J9+SUM(P9:AF9)),"",IF(I9&gt;1,VLOOKUP(B9,PROGRAMACION1,25,0),IF(AND(H8=H9,N8&gt;SUM(P8:AF8),AG8&gt;(O8/7)),"",IF(AND(AG8&lt;&gt;0,B8=B9,O9&gt;(SUM(P8:AF8))),"",(IF(N9&gt;O9+(SUM(P9:AF9)),O9,N9-(SUM(P9:AF9))))))))</f>
        <v/>
      </c>
      <c r="AH9" s="3">
        <f t="shared" ref="AH9:AH45" si="26">IF(AND(N9&gt;O9,B8=B9,J8+SUM(P8:AG8)&lt;J9+SUM(P9:AG9)),"",IF(I9&gt;1,VLOOKUP(B9,PROGRAMACION1,26,0),IF(AND(H8=H9,N8&gt;SUM(P8:AG8),AH8&gt;(O8/7)),"",IF(AND(AH8&lt;&gt;0,B8=B9,O9&gt;(SUM(P8:AG8))),"",(IF(N9&gt;O9+(SUM(P9:AG9)),O9,N9-(SUM(P9:AG9))))))))</f>
        <v>1125</v>
      </c>
      <c r="AI9" s="3" t="str">
        <f t="shared" ref="AI9:AI45" si="27">IF(AND(N9&gt;O9,B8=B9,J8+SUM(P8:AH8)&lt;J9+SUM(P9:AH9)),"",IF(I9&gt;1,VLOOKUP(B9,PROGRAMACION1,27,0),IF(AND(H8=H9,N8&gt;SUM(P8:AH8),AI8&gt;(O8/7)),"",IF(AND(AI8&lt;&gt;0,B8=B9,O9&gt;(SUM(P8:AH8))),"",(IF(N9&gt;O9+(SUM(P9:AH9)),O9,N9-(SUM(P9:AH9))))))))</f>
        <v/>
      </c>
      <c r="AJ9" s="3">
        <f t="shared" ref="AJ9:AJ45" si="28">IF(AND(N9&gt;O9,B8=B9,J8+SUM(P8:AI8)&lt;J9+SUM(P9:AI9)),"",IF(I9&gt;1,VLOOKUP(B9,PROGRAMACION1,28,0),IF(AND(H8=H9,N8&gt;SUM(P8:AI8),AJ8&gt;(O8/7)),"",IF(AND(AJ8&lt;&gt;0,B8=B9,O9&gt;(SUM(P8:AI8))),"",(IF(N9&gt;O9+(SUM(P9:AI9)),O9,N9-(SUM(P9:AI9))))))))</f>
        <v>1125</v>
      </c>
      <c r="AK9" s="3" t="str">
        <f t="shared" ref="AK9:AK45" si="29">IF(AND(N9&gt;O9,B8=B9,J8+SUM(P8:AJ8)&lt;J9+SUM(P9:AJ9)),"",IF(I9&gt;1,VLOOKUP(B9,PROGRAMACION1,29,0),IF(AND(H8=H9,N8&gt;SUM(P8:AJ8),AK8&gt;(O8/7)),"",IF(AND(AK8&lt;&gt;0,B8=B9,O9&gt;(SUM(P8:AJ8))),"",(IF(N9&gt;O9+(SUM(P9:AJ9)),O9,N9-(SUM(P9:AJ9))))))))</f>
        <v/>
      </c>
      <c r="AL9" s="3" t="str">
        <f t="shared" ref="AL9:AL45" si="30">IF(AND(N9&gt;O9,B8=B9,J8+SUM(P8:AK8)&lt;J9+SUM(P9:AK9)),"",IF(I9&gt;1,VLOOKUP(B9,PROGRAMACION1,30,0),IF(AND(H8=H9,N8&gt;SUM(P8:AK8),AL8&gt;(O8/7)),"",IF(AND(AL8&lt;&gt;0,B8=B9,O9&gt;(SUM(P8:AK8))),"",(IF(N9&gt;O9+(SUM(P9:AK9)),O9,N9-(SUM(P9:AK9))))))))</f>
        <v/>
      </c>
      <c r="AM9" s="3">
        <f t="shared" ref="AM9:AM45" si="31">IF(AND(N9&gt;O9,B8=B9,J8+SUM(P8:AL8)&lt;J9+SUM(P9:AL9)),"",IF(I9&gt;1,VLOOKUP(B9,PROGRAMACION1,31,0),IF(AND(H8=H9,N8&gt;SUM(P8:AL8),AM8&gt;(O8/7)),"",IF(AND(AM8&lt;&gt;0,B8=B9,O9&gt;(SUM(P8:AL8))),"",(IF(N9&gt;O9+(SUM(P9:AL9)),O9,N9-(SUM(P9:AL9))))))))</f>
        <v>1125</v>
      </c>
      <c r="AN9" s="3" t="str">
        <f t="shared" ref="AN9:AN45" si="32">IF(AND(N9&gt;O9,B8=B9,J8+SUM(P8:AM8)&lt;J9+SUM(P9:AM9)),"",IF(I9&gt;1,VLOOKUP(B9,PROGRAMACION1,32,0),IF(AND(H8=H9,N8&gt;SUM(P8:AM8),AN8&gt;(O8/7)),"",IF(AND(AN8&lt;&gt;0,B8=B9,O9&gt;(SUM(P8:AM8))),"",(IF(N9&gt;O9+(SUM(P9:AM9)),O9,N9-(SUM(P9:AM9))))))))</f>
        <v/>
      </c>
      <c r="AO9" s="3" t="str">
        <f t="shared" ref="AO9:AO45" si="33">IF(AND(N9&gt;O9,B8=B9,J8+SUM(P8:AN8)&lt;J9+SUM(P9:AN9)),"",IF(I9&gt;1,VLOOKUP(B9,PROGRAMACION1,33,0),IF(AND(H8=H9,N8&gt;SUM(P8:AN8),AO8&gt;(O8/7)),"",IF(AND(AO8&lt;&gt;0,B8=B9,O9&gt;(SUM(P8:AN8))),"",(IF(N9&gt;O9+(SUM(P9:AN9)),O9,N9-(SUM(P9:AN9))))))))</f>
        <v/>
      </c>
      <c r="AP9" s="3">
        <f t="shared" ref="AP9:AP45" si="34">IF(AND(N9&gt;O9,B8=B9,J8+SUM(P8:AO8)&lt;J9+SUM(P9:AO9)),"",IF(I9&gt;1,VLOOKUP(B9,PROGRAMACION1,34,0),IF(AND(H8=H9,N8&gt;SUM(P8:AO8),AP8&gt;(O8/7)),"",IF(AND(AP8&lt;&gt;0,B8=B9,O9&gt;(SUM(P8:AO8))),"",(IF(N9&gt;O9+(SUM(P9:AO9)),O9,N9-(SUM(P9:AO9))))))))</f>
        <v>1125</v>
      </c>
      <c r="AQ9" s="3" t="str">
        <f t="shared" ref="AQ9:AQ45" si="35">IF(AND(N9&gt;O9,B8=B9,J8+SUM(P8:AP8)&lt;J9+SUM(P9:AP9)),"",IF(I9&gt;1,VLOOKUP(B9,PROGRAMACION1,35,0),IF(AND(H8=H9,N8&gt;SUM(P8:AP8),AQ8&gt;(O8/7)),"",IF(AND(AQ8&lt;&gt;0,B8=B9,O9&gt;(SUM(P8:AP8))),"",(IF(N9&gt;O9+(SUM(P9:AP9)),O9,N9-(SUM(P9:AP9))))))))</f>
        <v/>
      </c>
      <c r="AR9" s="3" t="str">
        <f t="shared" ref="AR9:AR45" si="36">IF(AND(N9&gt;O9,B8=B9,J8+SUM(P8:AQ8)&lt;J9+SUM(P9:AQ9)),"",IF(I9&gt;1,VLOOKUP(B9,PROGRAMACION1,36,0),IF(AND(H8=H9,N8&gt;SUM(P8:AQ8),AR8&gt;(O8/7)),"",IF(AND(AR8&lt;&gt;0,B8=B9,O9&gt;(SUM(P8:AQ8))),"",(IF(N9&gt;O9+(SUM(P9:AQ9)),O9,N9-(SUM(P9:AQ9))))))))</f>
        <v/>
      </c>
      <c r="AS9" s="3">
        <f t="shared" ref="AS9:AS45" si="37">IF(AND(N9&gt;O9,B8=B9,J8+SUM(P8:AR8)&lt;J9+SUM(P9:AR9)),"",IF(I9&gt;1,VLOOKUP(B9,PROGRAMACION1,37,0),IF(AND(H8=H9,N8&gt;SUM(P8:AR8),AS8&gt;(O8/7)),"",IF(AND(AS8&lt;&gt;0,B8=B9,O9&gt;(SUM(P8:AR8))),"",(IF(N9&gt;O9+(SUM(P9:AR9)),O9,N9-(SUM(P9:AR9))))))))</f>
        <v>1125</v>
      </c>
      <c r="AT9" s="3" t="str">
        <f t="shared" ref="AT9:AT45" si="38">IF(AND(N9&gt;O9,B8=B9,J8+SUM(P8:AS8)&lt;J9+SUM(P9:AS9)),"",IF(I9&gt;1,VLOOKUP(B9,PROGRAMACION1,38,0),IF(AND(H8=H9,N8&gt;SUM(P8:AS8),AT8&gt;(O8/7)),"",IF(AND(AT8&lt;&gt;0,B8=B9,O9&gt;(SUM(P8:AS8))),"",(IF(N9&gt;O9+(SUM(P9:AS9)),O9,N9-(SUM(P9:AS9))))))))</f>
        <v/>
      </c>
      <c r="AU9" s="3" t="str">
        <f t="shared" ref="AU9:AU45" si="39">IF(AND(N9&gt;O9,B8=B9,J8+SUM(P8:AT8)&lt;J9+SUM(P9:AT9)),"",IF(I9&gt;1,VLOOKUP(B9,PROGRAMACION1,39,0),IF(AND(H8=H9,N8&gt;SUM(P8:AT8),AU8&gt;(O8/7)),"",IF(AND(AU8&lt;&gt;0,B8=B9,O9&gt;(SUM(P8:AT8))),"",(IF(N9&gt;O9+(SUM(P9:AT9)),O9,N9-(SUM(P9:AT9))))))))</f>
        <v/>
      </c>
      <c r="AV9" s="3">
        <f t="shared" ref="AV9:AV45" si="40">IF(AND(N9&gt;O9,B8=B9,J8+SUM(P8:AU8)&lt;J9+SUM(P9:AU9)),"",IF(I9&gt;1,VLOOKUP(B9,PROGRAMACION1,40,0),IF(AND(H8=H9,N8&gt;SUM(P8:AU8),AV8&gt;(O8/7)),"",IF(AND(AV8&lt;&gt;0,B8=B9,O9&gt;(SUM(P8:AU8))),"",(IF(N9&gt;O9+(SUM(P9:AU9)),O9,N9-(SUM(P9:AU9))))))))</f>
        <v>1125</v>
      </c>
      <c r="AW9" s="3" t="str">
        <f t="shared" ref="AW9:AW45" si="41">IF(AND(N9&gt;O9,B8=B9,J8+SUM(P8:AV8)&lt;J9+SUM(P9:AV9)),"",IF(I9&gt;1,VLOOKUP(B9,PROGRAMACION1,41,0),IF(AND(H8=H9,N8&gt;SUM(P8:AV8),AW8&gt;(O8/7)),"",IF(AND(AW8&lt;&gt;0,B8=B9,O9&gt;(SUM(P8:AV8))),"",(IF(N9&gt;O9+(SUM(P9:AV9)),O9,N9-(SUM(P9:AV9))))))))</f>
        <v/>
      </c>
      <c r="AX9" s="3" t="str">
        <f t="shared" ref="AX9:AX45" si="42">IF(AND(N9&gt;O9,B8=B9,J8+SUM(P8:AW8)&lt;J9+SUM(P9:AW9)),"",IF(I9&gt;1,VLOOKUP(B9,PROGRAMACION1,42,0),IF(AND(H8=H9,N8&gt;SUM(P8:AW8),AX8&gt;(O8/7)),"",IF(AND(AX8&lt;&gt;0,B8=B9,O9&gt;(SUM(P8:AW8))),"",(IF(N9&gt;O9+(SUM(P9:AW9)),O9,N9-(SUM(P9:AW9))))))))</f>
        <v/>
      </c>
      <c r="AY9" s="3">
        <f t="shared" ref="AY9:AY45" si="43">IF(AND(N9&gt;O9,B8=B9,J8+SUM(P8:AX8)&lt;J9+SUM(P9:AX9)),"",IF(I9&gt;1,VLOOKUP(B9,PROGRAMACION1,43,0),IF(AND(H8=H9,N8&gt;SUM(P8:AX8),AY8&gt;(O8/7)),"",IF(AND(AY8&lt;&gt;0,B8=B9,O9&gt;(SUM(P8:AX8))),"",(IF(N9&gt;O9+(SUM(P9:AX9)),O9,N9-(SUM(P9:AX9))))))))</f>
        <v>1125</v>
      </c>
      <c r="AZ9" s="3" t="str">
        <f t="shared" ref="AZ9:AZ45" si="44">IF(AND(N9&gt;O9,B8=B9,J8+SUM(P8:AY8)&lt;J9+SUM(P9:AY9)),"",IF(I9&gt;1,VLOOKUP(B9,PROGRAMACION1,44,0),IF(AND(H8=H9,N8&gt;SUM(P8:AY8),AZ8&gt;(O8/7)),"",IF(AND(AZ8&lt;&gt;0,B8=B9,O9&gt;(SUM(P8:AY8))),"",(IF(N9&gt;O9+(SUM(P9:AY9)),O9,N9-(SUM(P9:AY9))))))))</f>
        <v/>
      </c>
      <c r="BA9" s="3">
        <f t="shared" ref="BA9:BA45" si="45">IF(AND(N9&gt;O9,B8=B9,J8+SUM(P8:AZ8)&lt;J9+SUM(P9:AZ9)),"",IF(I9&gt;1,VLOOKUP(B9,PROGRAMACION1,45,0),IF(AND(H8=H9,N8&gt;SUM(P8:AZ8),BA8&gt;(O8/7)),"",IF(AND(BA8&lt;&gt;0,B8=B9,O9&gt;(SUM(P8:AZ8))),"",(IF(N9&gt;O9+(SUM(P9:AZ9)),O9,N9-(SUM(P9:AZ9))))))))</f>
        <v>375</v>
      </c>
      <c r="BB9" s="3" t="str">
        <f t="shared" ref="BB9:BB45" si="46">IF(AND(N9&gt;O9,B8=B9,J8+SUM(P8:BA8)&lt;J9+SUM(P9:BA9)),"",IF(I9&gt;1,VLOOKUP(B9,PROGRAMACION1,46,0),IF(AND(H8=H9,N8&gt;SUM(P8:BA8),BB8&gt;(O8/7)),"",IF(AND(BB8&lt;&gt;0,B8=B9,O9&gt;(SUM(P8:BA8))),"",(IF(N9&gt;O9+(SUM(P9:BA9)),O9,N9-(SUM(P9:BA9))))))))</f>
        <v/>
      </c>
      <c r="BC9" s="3" t="str">
        <f t="shared" ref="BC9:BC45" si="47">IF(AND(N9&gt;O9,B8=B9,J8+SUM(P8:BB8)&lt;J9+SUM(P9:BB9)),"",IF(I9&gt;1,VLOOKUP(B9,PROGRAMACION1,47,0),IF(AND(H8=H9,N8&gt;SUM(P8:BB8),BC8&gt;(O8/7)),"",IF(AND(BC8&lt;&gt;0,B8=B9,O9&gt;(SUM(P8:BB8))),"",(IF(N9&gt;O9+(SUM(P9:BB9)),O9,N9-(SUM(P9:BB9))))))))</f>
        <v/>
      </c>
      <c r="BD9" s="3" t="str">
        <f>IF(AND(N9&gt;O9,B8=B9,J8+SUM(P8:BC8)&lt;J9+SUM(P9:BC9)),"",IF(I9&gt;1,VLOOKUP(B9,PROGRAMACION1,48,0),IF(AND(H8=H9,N8&gt;SUM(P8:BC8),BD8&gt;(O8/7)),"",IF(AND(BD8&lt;&gt;0,B8=B9,O9&gt;(SUM(P8:BC8))),"",(IF(N9&gt;O9+(SUM(P9:BC9)),O9,N9-(SUM($P9:BC9))))))))</f>
        <v/>
      </c>
      <c r="BE9" s="3" t="str">
        <f t="shared" ref="BE9:BE45" si="48">IF(AND(N9&gt;O9,B8=B9,J8+SUM(P8:BD8)&lt;J9+SUM(P9:BD9)),"",IF(I9&gt;1,VLOOKUP(B9,PROGRAMACION1,49,0),IF(AND(H8=H9,N8&gt;SUM(P8:BD8),BE8&gt;(O8/7)),"",IF(AND(BE8&lt;&gt;0,B8=B9,O9&gt;(SUM(P8:BD8))),"",(IF(N9&gt;O9+(SUM(P9:BD9)),O9,N9-(SUM(P9:BD9))))))))</f>
        <v/>
      </c>
      <c r="BF9" s="3" t="str">
        <f t="shared" ref="BF9:BF45" si="49">IF(AND(N9&gt;O9,B8=B9,J8+SUM(P8:BE8)&lt;J9+SUM(P9:BE9)),"",IF(I9&gt;1,VLOOKUP(B9,PROGRAMACION1,50,0),IF(AND(H8=H9,N8&gt;SUM(P8:BE8),BF8&gt;(O8/7)),"",IF(AND(BF8&lt;&gt;0,B8=B9,O9&gt;(SUM(P8:BE8))),"",(IF(N9&gt;O9+(SUM(P9:BE9)),O9,N9-(SUM(P9:BE9))))))))</f>
        <v/>
      </c>
      <c r="BG9" s="3" t="str">
        <f t="shared" ref="BG9:BG45" si="50">IF(AND(N9&gt;O9,B8=B9,J8+SUM(P8:BF8)&lt;J9+SUM(P9:BF9)),"",IF(I9&gt;1,VLOOKUP(B9,PROGRAMACION1,51,0),IF(AND(H8=H9,N8&gt;SUM(P8:BF8),BG8&gt;(O8/7)),"",IF(AND(BG8&lt;&gt;0,B8=B9,O9&gt;(SUM(P8:BF8))),"",(IF(N9&gt;O9+(SUM(P9:BF9)),O9,N9-(SUM(P9:BF9))))))))</f>
        <v/>
      </c>
      <c r="BH9" s="3" t="str">
        <f t="shared" ref="BH9:BH45" si="51">IF(AND(N9&gt;O9,B8=B9,J8+SUM(P8:BG8)&lt;J9+SUM(P9:BG9)),"",IF(I9&gt;1,VLOOKUP(B9,PROGRAMACION1,52,0),IF(AND(H8=H9,N8&gt;SUM(P8:BG8),BH8&gt;(O8/7)),"",IF(AND(BH8&lt;&gt;0,B8=B9,O9&gt;(SUM(P8:BG8))),"",(IF(N9&gt;O9+(SUM(P9:BG9)),O9,N9-(SUM(P9:BG9))))))))</f>
        <v/>
      </c>
      <c r="BI9" s="3" t="str">
        <f t="shared" ref="BI9:BI45" si="52">IF(AND(N9&gt;O9,B8=B9,J8+SUM(P8:BH8)&lt;J9+SUM(P9:BH9)),"",IF(I9&gt;1,VLOOKUP(B9,PROGRAMACION1,53,0),IF(AND(H8=H9,N8&gt;SUM(P8:BH8),BI8&gt;(O8/7)),"",IF(AND(BI8&lt;&gt;0,B8=B9,O9&gt;(SUM(P8:BH8))),"",(IF(N9&gt;O9+(SUM(P9:BH9)),O9,N9-(SUM(P9:BH9))))))))</f>
        <v/>
      </c>
      <c r="BJ9" s="3" t="str">
        <f t="shared" ref="BJ9:BJ45" si="53">IF(AND(N9&gt;O9,B8=B9,J8+SUM(P8:BI8)&lt;J9+SUM(P9:BI9)),"",IF(I9&gt;1,VLOOKUP(B9,PROGRAMACION1,54,0),IF(AND(H8=H9,N8&gt;SUM(P8:BI8),BJ8&gt;(O8/7)),"",IF(AND(BJ8&lt;&gt;0,B8=B9,O9&gt;(SUM(P8:BI8))),"",(IF(N9&gt;O9+(SUM(P9:BI9)),O9,N9-(SUM(P9:BI9))))))))</f>
        <v/>
      </c>
      <c r="BK9" s="3" t="str">
        <f t="shared" ref="BK9:BK45" si="54">IF(AND(N9&gt;O9,B8=B9,J8+SUM(P8:BJ8)&lt;J9+SUM(P9:BJ9)),"",IF(I9&gt;1,VLOOKUP(B9,PROGRAMACION1,55,0),IF(AND(H8=H9,N8&gt;SUM(P8:BJ8),BK8&gt;(O8/7)),"",IF(AND(BK8&lt;&gt;0,B8=B9,O9&gt;(SUM(P8:BJ8))),"",(IF(N9&gt;O9+(SUM(P9:BJ9)),O9,N9-(SUM(P9:BJ9))))))))</f>
        <v/>
      </c>
      <c r="BL9" s="3" t="str">
        <f t="shared" ref="BL9:BL45" si="55">IF(AND(N9&gt;O9,B8=B9,J8+SUM(P8:BK8)&lt;J9+SUM(P9:BK9)),"",IF(I9&gt;1,VLOOKUP(B9,PROGRAMACION1,56,0),IF(AND(H8=H9,N8&gt;SUM(P8:BK8),BL8&gt;(O8/7)),"",IF(AND(BL8&lt;&gt;0,B8=B9,O9&gt;(SUM(P8:BK8))),"",(IF(N9&gt;O9+(SUM(P9:BK9)),O9,N9-(SUM(P9:BK9))))))))</f>
        <v/>
      </c>
      <c r="BM9" s="3" t="str">
        <f t="shared" ref="BM9:BM45" si="56">IF(AND(N9&gt;O9,B8=B9,J8+SUM(P8:BL8)&lt;J9+SUM(P9:BL9)),"",IF(I9&gt;1,VLOOKUP(B9,PROGRAMACION1,57,0),IF(AND(H8=H9,N8&gt;SUM(P8:BL8),BM8&gt;(O8/7)),"",IF(AND(BM8&lt;&gt;0,B8=B9,O9&gt;(SUM(P8:BL8))),"",(IF(N9&gt;O9+(SUM(P9:BL9)),O9,N9-(SUM(P9:BL9))))))))</f>
        <v/>
      </c>
      <c r="BN9" s="3" t="str">
        <f t="shared" ref="BN9:BN45" si="57">IF(AND(N9&gt;O9,B8=B9,J8+SUM(P8:BM8)&lt;J9+SUM(P9:BM9)),"",IF(I9&gt;1,VLOOKUP(B9,PROGRAMACION1,58,0),IF(AND(H8=H9,N8&gt;SUM(P8:BM8),BN8&gt;(O8/7)),"",IF(AND(BN8&lt;&gt;0,B8=B9,O9&gt;(SUM(P8:BM8))),"",(IF(N9&gt;O9+(SUM(P9:BM9)),O9,N9-(SUM(P9:BM9))))))))</f>
        <v/>
      </c>
      <c r="BO9" s="3" t="str">
        <f t="shared" ref="BO9:BO45" si="58">IF(AND(N9&gt;O9,B8=B9,J8+SUM(P8:BN8)&lt;J9+SUM(P9:BN9)),"",IF(I9&gt;1,VLOOKUP(B9,PROGRAMACION1,59,0),IF(AND(H8=H9,N8&gt;SUM(P8:BN8),BO8&gt;(O8/7)),"",IF(AND(BO8&lt;&gt;0,B8=B9,O9&gt;(SUM(P8:BN8))),"",(IF(N9&gt;O9+(SUM(P9:BN9)),O9,N9-(SUM(P9:BN9))))))))</f>
        <v/>
      </c>
      <c r="BP9" s="3" t="str">
        <f t="shared" ref="BP9:BP45" si="59">IF(AND(N9&gt;O9,B8=B9,J8+SUM(P8:BO8)&lt;J9+SUM(P9:BO9)),"",IF(I9&gt;1,VLOOKUP(B9,PROGRAMACION1,60,0),IF(AND(H8=H9,N8&gt;SUM(P8:BO8),BP8&gt;(O8/7)),"",IF(AND(BP8&lt;&gt;0,B8=B9,O9&gt;(SUM(P8:BO8))),"",(IF(N9&gt;O9+(SUM(P9:BO9)),O9,N9-(SUM(P9:BO9))))))))</f>
        <v/>
      </c>
      <c r="BQ9" s="3" t="str">
        <f t="shared" ref="BQ9:BQ45" si="60">IF(AND(N9&gt;O9,B8=B9,J8+SUM(P8:BP8)&lt;J9+SUM(P9:BP9)),"",IF(I9&gt;1,VLOOKUP(B9,PROGRAMACION1,61,0),IF(AND(H8=H9,N8&gt;SUM(P8:BP8),BQ8&gt;(O8/7)),"",IF(AND(BQ8&lt;&gt;0,B8=B9,O9&gt;(SUM(P8:BP8))),"",(IF(N9&gt;O9+(SUM(P9:BP9)),O9,N9-(SUM(P9:BP9))))))))</f>
        <v/>
      </c>
      <c r="BR9" s="3" t="str">
        <f t="shared" ref="BR9:BR45" si="61">IF(AND(N9&gt;O9,B8=B9,J8+SUM(P8:BQ8)&lt;J9+SUM(P9:BQ9)),"",IF(I9&gt;1,VLOOKUP(B9,PROGRAMACION1,62,0),IF(AND(H8=H9,N8&gt;SUM(P8:BQ8),BR8&gt;(O8/7)),"",IF(AND(BR8&lt;&gt;0,B8=B9,O9&gt;(SUM(P8:BQ8))),"",(IF(N9&gt;O9+(SUM(P9:BQ9)),O9,N9-(SUM(P9:BQ9))))))))</f>
        <v/>
      </c>
      <c r="BS9" s="3" t="str">
        <f t="shared" ref="BS9:BS45" si="62">IF(AND(N9&gt;O9,B8=B9,J8+SUM(P8:BR8)&lt;J9+SUM(P9:BR9)),"",IF(I9&gt;1,VLOOKUP(B9,PROGRAMACION1,63,0),IF(AND(H8=H9,N8&gt;SUM(P8:BR8),BS8&gt;(O8/7)),"",IF(AND(BS8&lt;&gt;0,B8=B9,O9&gt;(SUM(P8:BR8))),"",(IF(N9&gt;O9+(SUM(P9:BR9)),O9,N9-(SUM(P9:BR9))))))))</f>
        <v/>
      </c>
      <c r="BT9" s="3" t="str">
        <f t="shared" ref="BT9:BT45" si="63">IF(AND(N9&gt;O9,B8=B9,J8+SUM(P8:BS8)&lt;J9+SUM(P9:BS9)),"",IF(I9&gt;1,VLOOKUP(B9,PROGRAMACION1,64,0),IF(AND(H8=H9,N8&gt;SUM(P8:BS8),BT8&gt;(O8/7)),"",IF(AND(BT8&lt;&gt;0,B8=B9,O9&gt;(SUM(P8:BS8))),"",(IF(N9&gt;O9+(SUM(P9:BS9)),O9,N9-(SUM(P9:BS9))))))))</f>
        <v/>
      </c>
      <c r="BU9" s="3" t="str">
        <f t="shared" ref="BU9:BU45" si="64">IF(AND(N9&gt;O9,B8=B9,J8+SUM(P8:BT8)&lt;J9+SUM(P9:BT9)),"",IF(I9&gt;1,VLOOKUP(B9,PROGRAMACION1,65,0),IF(AND(H8=H9,N8&gt;SUM(P8:BT8),BU8&gt;(O8/7)),"",IF(AND(BU8&lt;&gt;0,B8=B9,O9&gt;(SUM(P8:BT8))),"",(IF(N9&gt;O9+(SUM(P9:BT9)),O9,N9-(SUM(P9:BT9))))))))</f>
        <v/>
      </c>
      <c r="BV9" s="3" t="str">
        <f t="shared" ref="BV9:BV45" si="65">IF(AND(N9&gt;O9,B8=B9,J8+SUM(P8:BU8)&lt;J9+SUM(P9:BU9)),"",IF(I9&gt;1,VLOOKUP(B9,PROGRAMACION1,66,0),IF(AND(H8=H9,N8&gt;SUM(P8:BU8),BV8&gt;(O8/7)),"",IF(AND(BV8&lt;&gt;0,B8=B9,O9&gt;(SUM(P8:BU8))),"",(IF(N9&gt;O9+(SUM(P9:BU9)),O9,N9-(SUM(P9:BU9))))))))</f>
        <v/>
      </c>
      <c r="BW9" s="3" t="str">
        <f t="shared" ref="BW9:BW45" si="66">IF(AND(N9&gt;O9,B8=B9,J8+SUM(P8:BV8)&lt;J9+SUM(P9:BV9)),"",IF(I9&gt;1,VLOOKUP(B9,PROGRAMACION1,67,0),IF(AND(H8=H9,N8&gt;SUM(P8:BV8),BW8&gt;(O8/7)),"",IF(AND(BW8&lt;&gt;0,B8=B9,O9&gt;(SUM(P8:BV8))),"",(IF(N9&gt;O9+(SUM(P9:BV9)),O9,N9-(SUM(P9:BV9))))))))</f>
        <v/>
      </c>
      <c r="BX9" s="3" t="str">
        <f t="shared" ref="BX9:BX45" si="67">IF(AND(N9&gt;O9,B8=B9,J8+SUM(P8:BW8)&lt;J9+SUM(P9:BW9)),"",IF(I9&gt;1,VLOOKUP(B9,PROGRAMACION1,68,0),IF(AND(H8=H9,N8&gt;SUM(P8:BW8),BX8&gt;(O8/7)),"",IF(AND(BX8&lt;&gt;0,B8=B9,O9&gt;(SUM(P8:BW8))),"",(IF(N9&gt;O9+(SUM(P9:BW9)),O9,N9-(SUM(P9:BW9))))))))</f>
        <v/>
      </c>
      <c r="BY9" s="3" t="str">
        <f t="shared" ref="BY9:BY45" si="68">IF(AND(N9&gt;O9,B8=B9,J8+SUM(P8:BX8)&lt;J9+SUM(P9:BX9)),"",IF(I9&gt;1,VLOOKUP(B9,PROGRAMACION1,69,0),IF(AND(H8=H9,N8&gt;SUM(P8:BX8),BY8&gt;(O8/7)),"",IF(AND(BY8&lt;&gt;0,B8=B9,O9&gt;(SUM(P8:BX8))),"",(IF(N9&gt;O9+(SUM(P9:BX9)),O9,N9-(SUM(P9:BX9))))))))</f>
        <v/>
      </c>
      <c r="BZ9" s="3" t="str">
        <f t="shared" ref="BZ9:BZ45" si="69">IF(AND(N9&gt;O9,B8=B9,J8+SUM(P8:BY8)&lt;J9+SUM(P9:BY9)),"",IF(I9&gt;1,VLOOKUP(B9,PROGRAMACION1,70,0),IF(AND(H8=H9,N8&gt;SUM(P8:BY8),BZ8&gt;(O8/7)),"",IF(AND(BZ8&lt;&gt;0,B8=B9,O9&gt;(SUM(P8:BY8))),"",(IF(N9&gt;O9+(SUM(P9:BY9)),O9,N9-(SUM(P9:BY9))))))))</f>
        <v/>
      </c>
      <c r="CA9" s="3" t="str">
        <f>IF(AND(N9&gt;O9,B8=B9,J8+SUM($P8:BZ8)&lt;J9+SUM(P9:BZ9)),"",IF(I9&gt;1,VLOOKUP(B9,PROGRAMACION1,71,0),IF(AND(H8=H9,N8&gt;SUM(P8:BZ8),CA8&gt;(O8/7)),"",IF(AND(CA8&lt;&gt;0,B8=B9,O9&gt;(SUM(P8:BZ8))),"",(IF(N9&gt;O9+(SUM(P9:BZ9)),O9,N9-(SUM(P9:BZ9))))))))</f>
        <v/>
      </c>
      <c r="CB9" s="3" t="str">
        <f t="shared" ref="CB9:CB45" si="70">IF(AND(N9&gt;O9,B8=B9,J8+SUM(P8:CA8)&lt;J9+SUM(P9:CA9)),"",IF(I9&gt;1,VLOOKUP(B9,PROGRAMACION1,72,0),IF(AND(H8=H9,N8&gt;SUM(P8:CA8),CB8&gt;(O8/7)),"",IF(AND(CB8&lt;&gt;0,B8=B9,O9&gt;(SUM(P8:CA8))),"",(IF(N9&gt;O9+(SUM(P9:CA9)),O9,N9-(SUM(P9:CA9))))))))</f>
        <v/>
      </c>
      <c r="CC9" s="3" t="str">
        <f t="shared" ref="CC9:CC45" si="71">IF(AND(N9&gt;O9,B8=B9,J8+SUM(P8:CB8)&lt;J9+SUM(P9:CB9)),"",IF(I9&gt;1,VLOOKUP(B9,PROGRAMACION1,73,0),IF(AND(H8=H9,N8&gt;SUM(P8:CB8),CC8&gt;(O8/7)),"",IF(AND(CC8&lt;&gt;0,B8=B9,O9&gt;(SUM(P8:CB8))),"",(IF(N9&gt;O9+(SUM(P9:CB9)),O9,N9-(SUM(P9:CB9))))))))</f>
        <v/>
      </c>
      <c r="CD9" s="3" t="str">
        <f t="shared" ref="CD9:CD45" si="72">IF(AND(N9&gt;O9,B8=B9,J8+SUM(P8:CC8)&lt;J9+SUM(P9:CC9)),"",IF(I9&gt;1,VLOOKUP(B9,PROGRAMACION1,74,0),IF(AND(H8=H9,N8&gt;SUM(P8:CC8),CD8&gt;(O8/7)),"",IF(AND(CD8&lt;&gt;0,B8=B9,O9&gt;(SUM(P8:CC8))),"",(IF(N9&gt;O9+(SUM(P9:CC9)),O9,N9-(SUM(P9:CC9))))))))</f>
        <v/>
      </c>
      <c r="CE9" s="3" t="str">
        <f t="shared" ref="CE9:CE45" si="73">IF(AND(N9&gt;O9,B8=B9,J8+SUM(P8:CD8)&lt;J9+SUM(P9:CD9)),"",IF(I9&gt;1,VLOOKUP(B9,PROGRAMACION1,75,0),IF(AND(H8=H9,N8&gt;SUM(P8:CD8),CE8&gt;(O8/7)),"",IF(AND(CE8&lt;&gt;0,B8=B9,O9&gt;(SUM(P8:CD8))),"",(IF(N9&gt;O9+(SUM(P9:CD9)),O9,N9-(SUM(P9:CD9))))))))</f>
        <v/>
      </c>
      <c r="CF9" s="3" t="str">
        <f t="shared" ref="CF9:CF45" si="74">IF(AND(N9&gt;O9,B8=B9,J8+SUM(P8:CE8)&lt;J9+SUM(P9:CE9)),"",IF(I9&gt;1,VLOOKUP(B9,PROGRAMACION1,76,0),IF(AND(H8=H9,N8&gt;SUM(P8:CE8),CF8&gt;(O8/7)),"",IF(AND(CF8&lt;&gt;0,B8=B9,O9&gt;(SUM(P8:CE8))),"",(IF(N9&gt;O9+(SUM(P9:CE9)),O9,N9-(SUM(P9:CE9))))))))</f>
        <v/>
      </c>
      <c r="CG9" s="3" t="str">
        <f t="shared" ref="CG9:CG45" si="75">IF(AND(N9&gt;O9,B8=B9,J8+SUM(P8:CF8)&lt;J9+SUM(P9:CF9)),"",IF(I9&gt;1,VLOOKUP(B9,PROGRAMACION1,77,0),IF(AND(H8=H9,N8&gt;SUM(P8:CF8),CG8&gt;(O8/7)),"",IF(AND(CG8&lt;&gt;0,B8=B9,O9&gt;(SUM(P8:CF8))),"",(IF(N9&gt;O9+(SUM(P9:CF9)),O9,N9-(SUM(P9:CF9))))))))</f>
        <v/>
      </c>
      <c r="CH9" s="3" t="str">
        <f t="shared" ref="CH9:CH45" si="76">IF(AND(N9&gt;O9,B8=B9,J8+SUM(P8:CG8)&lt;J9+SUM(P9:CG9)),"",IF(I9&gt;1,VLOOKUP(B9,PROGRAMACION1,78,0),IF(AND(H8=H9,N8&gt;SUM(P8:CG8),CH8&gt;(O8/7)),"",IF(AND(CH8&lt;&gt;0,B8=B9,O9&gt;(SUM(P8:CG8))),"",(IF(N9&gt;O9+(SUM(P9:CG9)),O9,N9-(SUM(P9:CG9))))))))</f>
        <v/>
      </c>
      <c r="CI9" s="3" t="str">
        <f t="shared" ref="CI9:CI45" si="77">IF(AND(N9&gt;O9,B8=B9,J8+SUM(P8:CH8)&lt;J9+SUM(P9:CH9)),"",IF(I9&gt;1,VLOOKUP(B9,PROGRAMACION1,79,0),IF(AND(H8=H9,N8&gt;SUM(P8:CH8),CI8&gt;(O8/7)),"",IF(AND(CI8&lt;&gt;0,B8=B9,O9&gt;(SUM(P8:CH8))),"",(IF(N9&gt;O9+(SUM(P9:CH9)),O9,N9-(SUM(P9:CH9))))))))</f>
        <v/>
      </c>
      <c r="CJ9" s="3" t="str">
        <f t="shared" ref="CJ9:CJ45" si="78">IF(AND(N9&gt;O9,B8=B9,J8+SUM(P8:CI8)&lt;J9+SUM(P9:CI9)),"",IF(I9&gt;1,VLOOKUP(B9,PROGRAMACION1,80,0),IF(AND(H8=H9,N8&gt;SUM(P8:CI8),CJ8&gt;(O8/7)),"",IF(AND(CJ8&lt;&gt;0,B8=B9,O9&gt;(SUM(P8:CI8))),"",(IF(N9&gt;O9+(SUM(P9:CI9)),O9,N9-(SUM(P9:CI9))))))))</f>
        <v/>
      </c>
      <c r="CK9" s="3">
        <f>IF(AND($B$8=$B$9,$K$8+SUM($P$8:CJ8)&lt;$K$9+SUM($P$9:CJ9)),"",IF($I$9&gt;1,VLOOKUP($B$9,PROGRAMACION1,71,0),IF(AND($H$8=$H$9,$N$8&gt;SUM($P$8:CJ8),CK8&gt;($O$8/7)),"",IF(AND($BW$8&lt;&gt;0,$B$8=$B$9,$O$9&gt;(SUM($P$8:CJ8))),"",(IF($N$9&gt;$O$9+(SUM($P$9:CJ9)),$O$9,$N$9-(SUM($P$9:CJ9))))))))</f>
        <v>0</v>
      </c>
      <c r="CL9" s="3">
        <f>IF(AND($B$8=$B$9,$K$8+SUM($P$8:CK8)&lt;$K$9+SUM($P$9:CK9)),"",IF($I$9&gt;1,VLOOKUP($B$9,PROGRAMACION1,71,0),IF(AND($H$8=$H$9,$N$8&gt;SUM($P$8:CK8),CL8&gt;($O$8/7)),"",IF(AND($BW$8&lt;&gt;0,$B$8=$B$9,$O$9&gt;(SUM($P$8:CK8))),"",(IF($N$9&gt;$O$9+(SUM($P$9:CK9)),$O$9,$N$9-(SUM($P$9:CK9))))))))</f>
        <v>0</v>
      </c>
      <c r="CM9" s="3">
        <f>IF(AND($B$8=$B$9,$K$8+SUM($P$8:CL8)&lt;$K$9+SUM($P$9:CL9)),"",IF($I$9&gt;1,VLOOKUP($B$9,PROGRAMACION1,71,0),IF(AND($H$8=$H$9,$N$8&gt;SUM($P$8:CL8),CM8&gt;($O$8/7)),"",IF(AND($BW$8&lt;&gt;0,$B$8=$B$9,$O$9&gt;(SUM($P$8:CL8))),"",(IF($N$9&gt;$O$9+(SUM($P$9:CL9)),$O$9,$N$9-(SUM($P$9:CL9))))))))</f>
        <v>0</v>
      </c>
      <c r="CN9" s="3">
        <f>IF(AND($B$8=$B$9,$K$8+SUM($P$8:CM8)&lt;$K$9+SUM($P$9:CM9)),"",IF($I$9&gt;1,VLOOKUP($B$9,PROGRAMACION1,71,0),IF(AND($H$8=$H$9,$N$8&gt;SUM($P$8:CM8),CN8&gt;($O$8/7)),"",IF(AND($BW$8&lt;&gt;0,$B$8=$B$9,$O$9&gt;(SUM($P$8:CM8))),"",(IF($N$9&gt;$O$9+(SUM($P$9:CM9)),$O$9,$N$9-(SUM($P$9:CM9))))))))</f>
        <v>0</v>
      </c>
      <c r="CO9" s="3">
        <f>IF(AND($B$8=$B$9,$K$8+SUM($P$8:CN8)&lt;$K$9+SUM($P$9:CN9)),"",IF($I$9&gt;1,VLOOKUP($B$9,PROGRAMACION1,71,0),IF(AND($H$8=$H$9,$N$8&gt;SUM($P$8:CN8),CO8&gt;($O$8/7)),"",IF(AND($BW$8&lt;&gt;0,$B$8=$B$9,$O$9&gt;(SUM($P$8:CN8))),"",(IF($N$9&gt;$O$9+(SUM($P$9:CN9)),$O$9,$N$9-(SUM($P$9:CN9))))))))</f>
        <v>0</v>
      </c>
      <c r="CP9" s="3">
        <f>IF(AND($B$8=$B$9,$K$8+SUM($P$8:CO8)&lt;$K$9+SUM($P$9:CO9)),"",IF($I$9&gt;1,VLOOKUP($B$9,PROGRAMACION1,71,0),IF(AND($H$8=$H$9,$N$8&gt;SUM($P$8:CO8),CP8&gt;($O$8/7)),"",IF(AND($BW$8&lt;&gt;0,$B$8=$B$9,$O$9&gt;(SUM($P$8:CO8))),"",(IF($N$9&gt;$O$9+(SUM($P$9:CO9)),$O$9,$N$9-(SUM($P$9:CO9))))))))</f>
        <v>0</v>
      </c>
      <c r="CQ9" s="3">
        <f>IF(AND($B$8=$B$9,$K$8+SUM($P$8:CP8)&lt;$K$9+SUM($P$9:CP9)),"",IF($I$9&gt;1,VLOOKUP($B$9,PROGRAMACION1,71,0),IF(AND($H$8=$H$9,$N$8&gt;SUM($P$8:CP8),CQ8&gt;($O$8/7)),"",IF(AND($BW$8&lt;&gt;0,$B$8=$B$9,$O$9&gt;(SUM($P$8:CP8))),"",(IF($N$9&gt;$O$9+(SUM($P$9:CP9)),$O$9,$N$9-(SUM($P$9:CP9))))))))</f>
        <v>0</v>
      </c>
      <c r="CR9" s="3">
        <f>IF(AND($B$8=$B$9,$K$8+SUM($P$8:CQ8)&lt;$K$9+SUM($P$9:CQ9)),"",IF($I$9&gt;1,VLOOKUP($B$9,PROGRAMACION1,71,0),IF(AND($H$8=$H$9,$N$8&gt;SUM($P$8:CQ8),CR8&gt;($O$8/7)),"",IF(AND($BW$8&lt;&gt;0,$B$8=$B$9,$O$9&gt;(SUM($P$8:CQ8))),"",(IF($N$9&gt;$O$9+(SUM($P$9:CQ9)),$O$9,$N$9-(SUM($P$9:CQ9))))))))</f>
        <v>0</v>
      </c>
      <c r="CS9" s="3">
        <f>IF(AND($B$8=$B$9,$K$8+SUM($P$8:CR8)&lt;$K$9+SUM($P$9:CR9)),"",IF($I$9&gt;1,VLOOKUP($B$9,PROGRAMACION1,71,0),IF(AND($H$8=$H$9,$N$8&gt;SUM($P$8:CR8),CS8&gt;($O$8/7)),"",IF(AND($BW$8&lt;&gt;0,$B$8=$B$9,$O$9&gt;(SUM($P$8:CR8))),"",(IF($N$9&gt;$O$9+(SUM($P$9:CR9)),$O$9,$N$9-(SUM($P$9:CR9))))))))</f>
        <v>0</v>
      </c>
      <c r="CT9" s="3">
        <f>IF(AND($B$8=$B$9,$K$8+SUM($P$8:CS8)&lt;$K$9+SUM($P$9:CS9)),"",IF($I$9&gt;1,VLOOKUP($B$9,PROGRAMACION1,71,0),IF(AND($H$8=$H$9,$N$8&gt;SUM($P$8:CS8),CT8&gt;($O$8/7)),"",IF(AND($BW$8&lt;&gt;0,$B$8=$B$9,$O$9&gt;(SUM($P$8:CS8))),"",(IF($N$9&gt;$O$9+(SUM($P$9:CS9)),$O$9,$N$9-(SUM($P$9:CS9))))))))</f>
        <v>0</v>
      </c>
      <c r="CU9" s="3">
        <f>IF(AND($B$8=$B$9,$K$8+SUM($P$8:CT8)&lt;$K$9+SUM($P$9:CT9)),"",IF($I$9&gt;1,VLOOKUP($B$9,PROGRAMACION1,71,0),IF(AND($H$8=$H$9,$N$8&gt;SUM($P$8:CT8),CU8&gt;($O$8/7)),"",IF(AND($BW$8&lt;&gt;0,$B$8=$B$9,$O$9&gt;(SUM($P$8:CT8))),"",(IF($N$9&gt;$O$9+(SUM($P$9:CT9)),$O$9,$N$9-(SUM($P$9:CT9))))))))</f>
        <v>0</v>
      </c>
      <c r="CV9" s="3">
        <f>IF(AND($B$8=$B$9,$K$8+SUM($P$8:CU8)&lt;$K$9+SUM($P$9:CU9)),"",IF($I$9&gt;1,VLOOKUP($B$9,PROGRAMACION1,71,0),IF(AND($H$8=$H$9,$N$8&gt;SUM($P$8:CU8),CV8&gt;($O$8/7)),"",IF(AND($BW$8&lt;&gt;0,$B$8=$B$9,$O$9&gt;(SUM($P$8:CU8))),"",(IF($N$9&gt;$O$9+(SUM($P$9:CU9)),$O$9,$N$9-(SUM($P$9:CU9))))))))</f>
        <v>0</v>
      </c>
      <c r="CW9" s="3">
        <f>IF(AND($B$8=$B$9,$K$8+SUM($P$8:CV8)&lt;$K$9+SUM($P$9:CV9)),"",IF($I$9&gt;1,VLOOKUP($B$9,PROGRAMACION1,71,0),IF(AND($H$8=$H$9,$N$8&gt;SUM($P$8:CV8),CW8&gt;($O$8/7)),"",IF(AND($BW$8&lt;&gt;0,$B$8=$B$9,$O$9&gt;(SUM($P$8:CV8))),"",(IF($N$9&gt;$O$9+(SUM($P$9:CV9)),$O$9,$N$9-(SUM($P$9:CV9))))))))</f>
        <v>0</v>
      </c>
      <c r="CX9" s="3">
        <f>IF(AND($B$8=$B$9,$K$8+SUM($P$8:CW8)&lt;$K$9+SUM($P$9:CW9)),"",IF($I$9&gt;1,VLOOKUP($B$9,PROGRAMACION1,71,0),IF(AND($H$8=$H$9,$N$8&gt;SUM($P$8:CW8),CX8&gt;($O$8/7)),"",IF(AND($BW$8&lt;&gt;0,$B$8=$B$9,$O$9&gt;(SUM($P$8:CW8))),"",(IF($N$9&gt;$O$9+(SUM($P$9:CW9)),$O$9,$N$9-(SUM($P$9:CW9))))))))</f>
        <v>0</v>
      </c>
      <c r="CY9" s="3">
        <f>IF(AND($B$8=$B$9,$K$8+SUM($P$8:CX8)&lt;$K$9+SUM($P$9:CX9)),"",IF($I$9&gt;1,VLOOKUP($B$9,PROGRAMACION1,71,0),IF(AND($H$8=$H$9,$N$8&gt;SUM($P$8:CX8),CY8&gt;($O$8/7)),"",IF(AND($BW$8&lt;&gt;0,$B$8=$B$9,$O$9&gt;(SUM($P$8:CX8))),"",(IF($N$9&gt;$O$9+(SUM($P$9:CX9)),$O$9,$N$9-(SUM($P$9:CX9))))))))</f>
        <v>0</v>
      </c>
      <c r="CZ9" s="3">
        <f>IF(AND($B$8=$B$9,$K$8+SUM($P$8:CY8)&lt;$K$9+SUM($P$9:CY9)),"",IF($I$9&gt;1,VLOOKUP($B$9,PROGRAMACION1,71,0),IF(AND($H$8=$H$9,$N$8&gt;SUM($P$8:CY8),CZ8&gt;($O$8/7)),"",IF(AND($BW$8&lt;&gt;0,$B$8=$B$9,$O$9&gt;(SUM($P$8:CY8))),"",(IF($N$9&gt;$O$9+(SUM($P$9:CY9)),$O$9,$N$9-(SUM($P$9:CY9))))))))</f>
        <v>0</v>
      </c>
      <c r="DA9" s="3">
        <f>IF(AND($B$8=$B$9,$K$8+SUM($P$8:CZ8)&lt;$K$9+SUM($P$9:CZ9)),"",IF($I$9&gt;1,VLOOKUP($B$9,PROGRAMACION1,71,0),IF(AND($H$8=$H$9,$N$8&gt;SUM($P$8:CZ8),DA8&gt;($O$8/7)),"",IF(AND($BW$8&lt;&gt;0,$B$8=$B$9,$O$9&gt;(SUM($P$8:CZ8))),"",(IF($N$9&gt;$O$9+(SUM($P$9:CZ9)),$O$9,$N$9-(SUM($P$9:CZ9))))))))</f>
        <v>0</v>
      </c>
      <c r="DB9" s="3">
        <f>IF(AND($B$8=$B$9,$K$8+SUM($P$8:DA8)&lt;$K$9+SUM($P$9:DA9)),"",IF($I$9&gt;1,VLOOKUP($B$9,PROGRAMACION1,71,0),IF(AND($H$8=$H$9,$N$8&gt;SUM($P$8:DA8),DB8&gt;($O$8/7)),"",IF(AND($BW$8&lt;&gt;0,$B$8=$B$9,$O$9&gt;(SUM($P$8:DA8))),"",(IF($N$9&gt;$O$9+(SUM($P$9:DA9)),$O$9,$N$9-(SUM($P$9:DA9))))))))</f>
        <v>0</v>
      </c>
      <c r="DC9" s="3">
        <f>IF(AND($B$8=$B$9,$K$8+SUM($P$8:DB8)&lt;$K$9+SUM($P$9:DB9)),"",IF($I$9&gt;1,VLOOKUP($B$9,PROGRAMACION1,71,0),IF(AND($H$8=$H$9,$N$8&gt;SUM($P$8:DB8),DC8&gt;($O$8/7)),"",IF(AND($BW$8&lt;&gt;0,$B$8=$B$9,$O$9&gt;(SUM($P$8:DB8))),"",(IF($N$9&gt;$O$9+(SUM($P$9:DB9)),$O$9,$N$9-(SUM($P$9:DB9))))))))</f>
        <v>0</v>
      </c>
      <c r="DD9" s="3">
        <f>IF(AND($B$8=$B$9,$K$8+SUM($P$8:DC8)&lt;$K$9+SUM($P$9:DC9)),"",IF($I$9&gt;1,VLOOKUP($B$9,PROGRAMACION1,71,0),IF(AND($H$8=$H$9,$N$8&gt;SUM($P$8:DC8),DD8&gt;($O$8/7)),"",IF(AND($BW$8&lt;&gt;0,$B$8=$B$9,$O$9&gt;(SUM($P$8:DC8))),"",(IF($N$9&gt;$O$9+(SUM($P$9:DC9)),$O$9,$N$9-(SUM($P$9:DC9))))))))</f>
        <v>0</v>
      </c>
      <c r="DE9" s="3">
        <f>IF(AND($B$8=$B$9,$K$8+SUM($P$8:DD8)&lt;$K$9+SUM($P$9:DD9)),"",IF($I$9&gt;1,VLOOKUP($B$9,PROGRAMACION1,71,0),IF(AND($H$8=$H$9,$N$8&gt;SUM($P$8:DD8),DE8&gt;($O$8/7)),"",IF(AND($BW$8&lt;&gt;0,$B$8=$B$9,$O$9&gt;(SUM($P$8:DD8))),"",(IF($N$9&gt;$O$9+(SUM($P$9:DD9)),$O$9,$N$9-(SUM($P$9:DD9))))))))</f>
        <v>0</v>
      </c>
      <c r="DF9" s="3">
        <f>IF(AND($B$8=$B$9,$K$8+SUM($P$8:DE8)&lt;$K$9+SUM($P$9:DE9)),"",IF($I$9&gt;1,VLOOKUP($B$9,PROGRAMACION1,71,0),IF(AND($H$8=$H$9,$N$8&gt;SUM($P$8:DE8),DF8&gt;($O$8/7)),"",IF(AND($BW$8&lt;&gt;0,$B$8=$B$9,$O$9&gt;(SUM($P$8:DE8))),"",(IF($N$9&gt;$O$9+(SUM($P$9:DE9)),$O$9,$N$9-(SUM($P$9:DE9))))))))</f>
        <v>0</v>
      </c>
      <c r="DG9" s="3">
        <f>IF(AND($B$8=$B$9,$K$8+SUM($P$8:DF8)&lt;$K$9+SUM($P$9:DF9)),"",IF($I$9&gt;1,VLOOKUP($B$9,PROGRAMACION1,71,0),IF(AND($H$8=$H$9,$N$8&gt;SUM($P$8:DF8),DG8&gt;($O$8/7)),"",IF(AND($BW$8&lt;&gt;0,$B$8=$B$9,$O$9&gt;(SUM($P$8:DF8))),"",(IF($N$9&gt;$O$9+(SUM($P$9:DF9)),$O$9,$N$9-(SUM($P$9:DF9))))))))</f>
        <v>0</v>
      </c>
      <c r="DH9" s="3">
        <f>IF(AND($B$8=$B$9,$K$8+SUM($P$8:DG8)&lt;$K$9+SUM($P$9:DG9)),"",IF($I$9&gt;1,VLOOKUP($B$9,PROGRAMACION1,71,0),IF(AND($H$8=$H$9,$N$8&gt;SUM($P$8:DG8),DH8&gt;($O$8/7)),"",IF(AND($BW$8&lt;&gt;0,$B$8=$B$9,$O$9&gt;(SUM($P$8:DG8))),"",(IF($N$9&gt;$O$9+(SUM($P$9:DG9)),$O$9,$N$9-(SUM($P$9:DG9))))))))</f>
        <v>0</v>
      </c>
      <c r="DI9" s="3">
        <f>IF(AND($B$8=$B$9,$K$8+SUM($P$8:DH8)&lt;$K$9+SUM($P$9:DH9)),"",IF($I$9&gt;1,VLOOKUP($B$9,PROGRAMACION1,71,0),IF(AND($H$8=$H$9,$N$8&gt;SUM($P$8:DH8),DI8&gt;($O$8/7)),"",IF(AND($BW$8&lt;&gt;0,$B$8=$B$9,$O$9&gt;(SUM($P$8:DH8))),"",(IF($N$9&gt;$O$9+(SUM($P$9:DH9)),$O$9,$N$9-(SUM($P$9:DH9))))))))</f>
        <v>0</v>
      </c>
      <c r="DJ9" s="3">
        <f>IF(AND($B$8=$B$9,$K$8+SUM($P$8:DI8)&lt;$K$9+SUM($P$9:DI9)),"",IF($I$9&gt;1,VLOOKUP($B$9,PROGRAMACION1,71,0),IF(AND($H$8=$H$9,$N$8&gt;SUM($P$8:DI8),DJ8&gt;($O$8/7)),"",IF(AND($BW$8&lt;&gt;0,$B$8=$B$9,$O$9&gt;(SUM($P$8:DI8))),"",(IF($N$9&gt;$O$9+(SUM($P$9:DI9)),$O$9,$N$9-(SUM($P$9:DI9))))))))</f>
        <v>0</v>
      </c>
      <c r="DK9" s="3">
        <f>IF(AND($B$8=$B$9,$K$8+SUM($P$8:DJ8)&lt;$K$9+SUM($P$9:DJ9)),"",IF($I$9&gt;1,VLOOKUP($B$9,PROGRAMACION1,71,0),IF(AND($H$8=$H$9,$N$8&gt;SUM($P$8:DJ8),DK8&gt;($O$8/7)),"",IF(AND($BW$8&lt;&gt;0,$B$8=$B$9,$O$9&gt;(SUM($P$8:DJ8))),"",(IF($N$9&gt;$O$9+(SUM($P$9:DJ9)),$O$9,$N$9-(SUM($P$9:DJ9))))))))</f>
        <v>0</v>
      </c>
      <c r="DL9" s="3">
        <f>IF(AND($B$8=$B$9,$K$8+SUM($P$8:DK8)&lt;$K$9+SUM($P$9:DK9)),"",IF($I$9&gt;1,VLOOKUP($B$9,PROGRAMACION1,71,0),IF(AND($H$8=$H$9,$N$8&gt;SUM($P$8:DK8),DL8&gt;($O$8/7)),"",IF(AND($BW$8&lt;&gt;0,$B$8=$B$9,$O$9&gt;(SUM($P$8:DK8))),"",(IF($N$9&gt;$O$9+(SUM($P$9:DK9)),$O$9,$N$9-(SUM($P$9:DK9))))))))</f>
        <v>0</v>
      </c>
      <c r="DM9" s="3">
        <f>IF(AND($B$8=$B$9,$K$8+SUM($P$8:DL8)&lt;$K$9+SUM($P$9:DL9)),"",IF($I$9&gt;1,VLOOKUP($B$9,PROGRAMACION1,71,0),IF(AND($H$8=$H$9,$N$8&gt;SUM($P$8:DL8),DM8&gt;($O$8/7)),"",IF(AND($BW$8&lt;&gt;0,$B$8=$B$9,$O$9&gt;(SUM($P$8:DL8))),"",(IF($N$9&gt;$O$9+(SUM($P$9:DL9)),$O$9,$N$9-(SUM($P$9:DL9))))))))</f>
        <v>0</v>
      </c>
      <c r="DN9" s="3">
        <f>IF(AND($B$8=$B$9,$K$8+SUM($P$8:DM8)&lt;$K$9+SUM($P$9:DM9)),"",IF($I$9&gt;1,VLOOKUP($B$9,PROGRAMACION1,71,0),IF(AND($H$8=$H$9,$N$8&gt;SUM($P$8:DM8),DN8&gt;($O$8/7)),"",IF(AND($BW$8&lt;&gt;0,$B$8=$B$9,$O$9&gt;(SUM($P$8:DM8))),"",(IF($N$9&gt;$O$9+(SUM($P$9:DM9)),$O$9,$N$9-(SUM($P$9:DM9))))))))</f>
        <v>0</v>
      </c>
      <c r="DO9" s="3">
        <f>IF(AND($B$8=$B$9,$K$8+SUM($P$8:DN8)&lt;$K$9+SUM($P$9:DN9)),"",IF($I$9&gt;1,VLOOKUP($B$9,PROGRAMACION1,71,0),IF(AND($H$8=$H$9,$N$8&gt;SUM($P$8:DN8),DO8&gt;($O$8/7)),"",IF(AND($BW$8&lt;&gt;0,$B$8=$B$9,$O$9&gt;(SUM($P$8:DN8))),"",(IF($N$9&gt;$O$9+(SUM($P$9:DN9)),$O$9,$N$9-(SUM($P$9:DN9))))))))</f>
        <v>0</v>
      </c>
      <c r="DP9" s="3">
        <f>IF(AND($B$8=$B$9,$K$8+SUM($P$8:DO8)&lt;$K$9+SUM($P$9:DO9)),"",IF($I$9&gt;1,VLOOKUP($B$9,PROGRAMACION1,71,0),IF(AND($H$8=$H$9,$N$8&gt;SUM($P$8:DO8),DP8&gt;($O$8/7)),"",IF(AND($BW$8&lt;&gt;0,$B$8=$B$9,$O$9&gt;(SUM($P$8:DO8))),"",(IF($N$9&gt;$O$9+(SUM($P$9:DO9)),$O$9,$N$9-(SUM($P$9:DO9))))))))</f>
        <v>0</v>
      </c>
      <c r="DQ9" s="3">
        <f>IF(AND($B$8=$B$9,$K$8+SUM($P$8:DP8)&lt;$K$9+SUM($P$9:DP9)),"",IF($I$9&gt;1,VLOOKUP($B$9,PROGRAMACION1,71,0),IF(AND($H$8=$H$9,$N$8&gt;SUM($P$8:DP8),DQ8&gt;($O$8/7)),"",IF(AND($BW$8&lt;&gt;0,$B$8=$B$9,$O$9&gt;(SUM($P$8:DP8))),"",(IF($N$9&gt;$O$9+(SUM($P$9:DP9)),$O$9,$N$9-(SUM($P$9:DP9))))))))</f>
        <v>0</v>
      </c>
      <c r="DR9" s="3">
        <f>IF(AND($B$8=$B$9,$K$8+SUM($P$8:DQ8)&lt;$K$9+SUM($P$9:DQ9)),"",IF($I$9&gt;1,VLOOKUP($B$9,PROGRAMACION1,71,0),IF(AND($H$8=$H$9,$N$8&gt;SUM($P$8:DQ8),DR8&gt;($O$8/7)),"",IF(AND($BW$8&lt;&gt;0,$B$8=$B$9,$O$9&gt;(SUM($P$8:DQ8))),"",(IF($N$9&gt;$O$9+(SUM($P$9:DQ9)),$O$9,$N$9-(SUM($P$9:DQ9))))))))</f>
        <v>0</v>
      </c>
      <c r="DS9" s="3">
        <f>IF(AND($B$8=$B$9,$K$8+SUM($P$8:DR8)&lt;$K$9+SUM($P$9:DR9)),"",IF($I$9&gt;1,VLOOKUP($B$9,PROGRAMACION1,71,0),IF(AND($H$8=$H$9,$N$8&gt;SUM($P$8:DR8),DS8&gt;($O$8/7)),"",IF(AND($BW$8&lt;&gt;0,$B$8=$B$9,$O$9&gt;(SUM($P$8:DR8))),"",(IF($N$9&gt;$O$9+(SUM($P$9:DR9)),$O$9,$N$9-(SUM($P$9:DR9))))))))</f>
        <v>0</v>
      </c>
      <c r="DT9" s="3">
        <f>IF(AND($B$8=$B$9,$K$8+SUM($P$8:DS8)&lt;$K$9+SUM($P$9:DS9)),"",IF($I$9&gt;1,VLOOKUP($B$9,PROGRAMACION1,71,0),IF(AND($H$8=$H$9,$N$8&gt;SUM($P$8:DS8),DT8&gt;($O$8/7)),"",IF(AND($BW$8&lt;&gt;0,$B$8=$B$9,$O$9&gt;(SUM($P$8:DS8))),"",(IF($N$9&gt;$O$9+(SUM($P$9:DS9)),$O$9,$N$9-(SUM($P$9:DS9))))))))</f>
        <v>0</v>
      </c>
      <c r="DU9" s="3">
        <f>IF(AND($B$8=$B$9,$K$8+SUM($P$8:DT8)&lt;$K$9+SUM($P$9:DT9)),"",IF($I$9&gt;1,VLOOKUP($B$9,PROGRAMACION1,71,0),IF(AND($H$8=$H$9,$N$8&gt;SUM($P$8:DT8),DU8&gt;($O$8/7)),"",IF(AND($BW$8&lt;&gt;0,$B$8=$B$9,$O$9&gt;(SUM($P$8:DT8))),"",(IF($N$9&gt;$O$9+(SUM($P$9:DT9)),$O$9,$N$9-(SUM($P$9:DT9))))))))</f>
        <v>0</v>
      </c>
      <c r="DV9" s="3">
        <f>IF(AND($B$8=$B$9,$K$8+SUM($P$8:DU8)&lt;$K$9+SUM($P$9:DU9)),"",IF($I$9&gt;1,VLOOKUP($B$9,PROGRAMACION1,71,0),IF(AND($H$8=$H$9,$N$8&gt;SUM($P$8:DU8),DV8&gt;($O$8/7)),"",IF(AND($BW$8&lt;&gt;0,$B$8=$B$9,$O$9&gt;(SUM($P$8:DU8))),"",(IF($N$9&gt;$O$9+(SUM($P$9:DU9)),$O$9,$N$9-(SUM($P$9:DU9))))))))</f>
        <v>0</v>
      </c>
      <c r="DW9" s="3">
        <f>IF(AND($B$8=$B$9,$K$8+SUM($P$8:DV8)&lt;$K$9+SUM($P$9:DV9)),"",IF($I$9&gt;1,VLOOKUP($B$9,PROGRAMACION1,71,0),IF(AND($H$8=$H$9,$N$8&gt;SUM($P$8:DV8),DW8&gt;($O$8/7)),"",IF(AND($BW$8&lt;&gt;0,$B$8=$B$9,$O$9&gt;(SUM($P$8:DV8))),"",(IF($N$9&gt;$O$9+(SUM($P$9:DV9)),$O$9,$N$9-(SUM($P$9:DV9))))))))</f>
        <v>0</v>
      </c>
      <c r="DX9" s="3">
        <f>IF(AND($B$8=$B$9,$K$8+SUM($P$8:DW8)&lt;$K$9+SUM($P$9:DW9)),"",IF($I$9&gt;1,VLOOKUP($B$9,PROGRAMACION1,71,0),IF(AND($H$8=$H$9,$N$8&gt;SUM($P$8:DW8),DX8&gt;($O$8/7)),"",IF(AND($BW$8&lt;&gt;0,$B$8=$B$9,$O$9&gt;(SUM($P$8:DW8))),"",(IF($N$9&gt;$O$9+(SUM($P$9:DW9)),$O$9,$N$9-(SUM($P$9:DW9))))))))</f>
        <v>0</v>
      </c>
      <c r="DY9" s="3">
        <f>IF(AND($B$8=$B$9,$K$8+SUM($P$8:DX8)&lt;$K$9+SUM($P$9:DX9)),"",IF($I$9&gt;1,VLOOKUP($B$9,PROGRAMACION1,71,0),IF(AND($H$8=$H$9,$N$8&gt;SUM($P$8:DX8),DY8&gt;($O$8/7)),"",IF(AND($BW$8&lt;&gt;0,$B$8=$B$9,$O$9&gt;(SUM($P$8:DX8))),"",(IF($N$9&gt;$O$9+(SUM($P$9:DX9)),$O$9,$N$9-(SUM($P$9:DX9))))))))</f>
        <v>0</v>
      </c>
      <c r="DZ9" s="3">
        <f>IF(AND($B$8=$B$9,$K$8+SUM($P$8:DY8)&lt;$K$9+SUM($P$9:DY9)),"",IF($I$9&gt;1,VLOOKUP($B$9,PROGRAMACION1,71,0),IF(AND($H$8=$H$9,$N$8&gt;SUM($P$8:DY8),DZ8&gt;($O$8/7)),"",IF(AND($BW$8&lt;&gt;0,$B$8=$B$9,$O$9&gt;(SUM($P$8:DY8))),"",(IF($N$9&gt;$O$9+(SUM($P$9:DY9)),$O$9,$N$9-(SUM($P$9:DY9))))))))</f>
        <v>0</v>
      </c>
      <c r="EA9" s="3">
        <f>IF(AND($B$8=$B$9,$K$8+SUM($P$8:DZ8)&lt;$K$9+SUM($P$9:DZ9)),"",IF($I$9&gt;1,VLOOKUP($B$9,PROGRAMACION1,71,0),IF(AND($H$8=$H$9,$N$8&gt;SUM($P$8:DZ8),EA8&gt;($O$8/7)),"",IF(AND($BW$8&lt;&gt;0,$B$8=$B$9,$O$9&gt;(SUM($P$8:DZ8))),"",(IF($N$9&gt;$O$9+(SUM($P$9:DZ9)),$O$9,$N$9-(SUM($P$9:DZ9)))))))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</row>
    <row r="10" spans="1:253" x14ac:dyDescent="0.25">
      <c r="A10" s="81">
        <v>3</v>
      </c>
      <c r="B10">
        <f>IF(A10&gt;0,FABRICAR!F4,NA())</f>
        <v>39223</v>
      </c>
      <c r="C10" t="str">
        <f>IF(A10&gt;0,FABRICAR!G4,NA())</f>
        <v>Barra Ojo 5/8x2,40mtrs</v>
      </c>
      <c r="D10" s="1" t="str">
        <f t="shared" si="6"/>
        <v>392230</v>
      </c>
      <c r="E10">
        <f>IF(A10&gt;0,FABRICAR!P4,"")</f>
        <v>0</v>
      </c>
      <c r="F10" t="str">
        <f t="shared" si="7"/>
        <v/>
      </c>
      <c r="G10">
        <v>442</v>
      </c>
      <c r="H10" t="str">
        <f>IF(B10=0,B10,IF(A10&gt;0,FABRICAR!H4,NA()))</f>
        <v>PRENSA FR - 03</v>
      </c>
      <c r="I10">
        <f>IF(B10=0,B10,IF(A10&gt;0,FABRICAR!B4,NA()))</f>
        <v>0</v>
      </c>
      <c r="J10" s="75">
        <f>IF(B10=0,B10,'PROGRAM SALDO '!J6)</f>
        <v>375</v>
      </c>
      <c r="K10" s="82">
        <v>606</v>
      </c>
      <c r="L10" t="str">
        <f>IF(A10&gt;0,FABRICAR!J4,NA())</f>
        <v>REBABAR INT</v>
      </c>
      <c r="M10" s="9">
        <f t="shared" si="8"/>
        <v>4.0423999999999998</v>
      </c>
      <c r="N10">
        <f>IF(A10&gt;0,FABRICAR!L4,NA())</f>
        <v>15000</v>
      </c>
      <c r="O10">
        <f>IF(B10=0,B10,IF(A10&gt;0,FABRICAR!M4,"")*9)</f>
        <v>1125</v>
      </c>
      <c r="P10" t="str">
        <f t="shared" si="9"/>
        <v/>
      </c>
      <c r="Q10" s="3" t="str">
        <f t="shared" si="10"/>
        <v/>
      </c>
      <c r="R10" s="3" t="str">
        <f t="shared" ref="R10:R45" si="79">IF(AND(N10&gt;O10,B9=B10,J9+SUM(P9:Q9)&lt;J10+SUM(P10:Q10)),"",IF(I10&gt;1,VLOOKUP(B10,PROGRAMACION1,10,0),IF(AND(H9=H10,N9&gt;SUM(P9:Q9),R9&gt;(O9/7)),"",IF(AND(R9&lt;&gt;0,B9=B10,O10&gt;(SUM(P9:Q9))),"",(IF(N10&gt;O10+(SUM(P10:Q10)),O10,N10-(SUM(P10:Q10))))))))</f>
        <v/>
      </c>
      <c r="S10" s="3" t="str">
        <f t="shared" ref="S10:S45" si="80">IF(AND(N10&gt;O10,B9=B10,J9+SUM(P9:R9)&lt;J10+SUM(P10:R10)),"",IF(I10&gt;1,VLOOKUP(B10,PROGRAMACION1,11,0),IF(AND(H9=H10,N9&gt;SUM(P9:R9),S9&gt;(O9/7)),"",IF(AND(S9&lt;&gt;0,B9=B10,O10&gt;(SUM(P9:R9))),"",(IF(N10&gt;O10+(SUM(P10:R10)),O10,N10-(SUM(P10:R10))))))))</f>
        <v/>
      </c>
      <c r="T10" s="3">
        <f t="shared" ref="T10:T45" si="81">IF(AND(N10&gt;O10,B9=B10,J9+SUM(P9:S9)&lt;J10+SUM(P10:S10)),"",IF(I10&gt;1,VLOOKUP(B10,PROGRAMACION1,12,0),IF(AND(H9=H10,N9&gt;SUM(P9:S9),T9&gt;(O9/7)),"",IF(AND(T9&lt;&gt;0,B9=B10,O10&gt;(SUM(P9:S9))),"",(IF(N10&gt;O10+(SUM(P10:S10)),O10,N10-(SUM(P10:S10))))))))</f>
        <v>1125</v>
      </c>
      <c r="U10" s="3">
        <f t="shared" ref="U10:U45" si="82">IF(AND(N10&gt;O10,B9=B10,J9+SUM(P9:T9)&lt;J10+SUM(P10:T10)),"",IF(I10&gt;1,VLOOKUP(B10,PROGRAMACION1,13,0),IF(AND(H9=H10,N9&gt;SUM(P9:T9),U9&gt;(O9/7)),"",IF(AND(U9&lt;&gt;0,B9=B10,O10&gt;(SUM(P9:T9))),"",(IF(N10&gt;O10+(SUM(P10:T10)),O10,N10-(SUM(P10:T10))))))))</f>
        <v>1125</v>
      </c>
      <c r="V10" s="3">
        <f t="shared" ref="V10:V45" si="83">IF(AND(N10&gt;O10,B9=B10,J9+SUM(P9:U9)&lt;J10+SUM(P10:U10)),"",IF(I10&gt;1,VLOOKUP(B10,PROGRAMACION1,14,0),IF(AND(H9=H10,N9&gt;SUM(P9:U9),V9&gt;(O9/7)),"",IF(AND(V9&lt;&gt;0,B9=B10,O10&gt;(SUM(P9:U9))),"",(IF(N10&gt;O10+(SUM(P10:U10)),O10,N10-(SUM(P10:U10))))))))</f>
        <v>1125</v>
      </c>
      <c r="W10" s="3">
        <f t="shared" ref="W10:W45" si="84">IF(AND(N10&gt;O10,B9=B10,J9+SUM(P9:V9)&lt;J10+SUM(P10:V10)),"",IF(I10&gt;1,VLOOKUP(B10,PROGRAMACION1,15,0),IF(AND(H9=H10,N9&gt;SUM(P9:V9),W9&gt;(O9/7)),"",IF(AND(W9&lt;&gt;0,B9=B10,O10&gt;(SUM(P9:V9))),"",(IF(N10&gt;O10+(SUM(P10:V10)),O10,N10-(SUM(P10:V10))))))))</f>
        <v>1125</v>
      </c>
      <c r="X10" s="3" t="str">
        <f t="shared" ref="X10:X45" si="85">IF(AND(N10&gt;O10,B9=B10,J9+SUM(P9:W9)&lt;J10+SUM(P10:W10)),"",IF(I10&gt;1,VLOOKUP(B10,PROGRAMACION1,16,0),IF(AND(H9=H10,N9&gt;SUM(P9:W9),X9&gt;(O9/7)),"",IF(AND(X9&lt;&gt;0,B9=B10,O10&gt;(SUM(P9:W9))),"",(IF(N10&gt;O10+(SUM(P10:W10)),O10,N10-(SUM(P10:W10))))))))</f>
        <v/>
      </c>
      <c r="Y10" s="3" t="str">
        <f t="shared" ref="Y10:Y45" si="86">IF(AND(N10&gt;O10,B9=B10,J9+SUM(P9:X9)&lt;J10+SUM(P10:X10)),"",IF(I10&gt;1,VLOOKUP(B10,PROGRAMACION1,17,0),IF(AND(H9=H10,N9&gt;SUM(P9:X9),Y9&gt;(O9/7)),"",IF(AND(Y9&lt;&gt;0,B9=B10,O10&gt;(SUM(P9:X9))),"",(IF(N10&gt;O10+(SUM(P10:X10)),O10,N10-(SUM(P10:X10))))))))</f>
        <v/>
      </c>
      <c r="Z10" s="3">
        <f t="shared" ref="Z10:Z45" si="87">IF(AND(N10&gt;O10,B9=B10,J9+SUM(P9:Y9)&lt;J10+SUM(P10:Y10)),"",IF(I10&gt;1,VLOOKUP(B10,PROGRAMACION1,18,0),IF(AND(H9=H10,N9&gt;SUM(P9:Y9),Z9&gt;(O9/7)),"",IF(AND(Z9&lt;&gt;0,B9=B10,O10&gt;(SUM(P9:Y9))),"",(IF(N10&gt;O10+(SUM(P10:Y10)),O10,N10-(SUM(P10:Y10))))))))</f>
        <v>1125</v>
      </c>
      <c r="AA10" s="3" t="str">
        <f t="shared" ref="AA10:AA45" si="88">IF(AND(N10&gt;O10,B9=B10,J9+SUM(P9:Z9)&lt;J10+SUM(P10:Z10)),"",IF(I10&gt;1,VLOOKUP(B10,PROGRAMACION1,19,0),IF(AND(H9=H10,N9&gt;SUM(P9:Z9),AA9&gt;(O9/7)),"",IF(AND(AA9&lt;&gt;0,B9=B10,O10&gt;(SUM(P9:Z9))),"",(IF(N10&gt;O10+(SUM(P10:Z10)),O10,N10-(SUM(P10:Z10))))))))</f>
        <v/>
      </c>
      <c r="AB10" s="3" t="str">
        <f t="shared" ref="AB10:AB45" si="89">IF(AND(N10&gt;O10,B9=B10,J9+SUM(P9:AA9)&lt;J10+SUM(P10:AA10)),"",IF(I10&gt;1,VLOOKUP(B10,PROGRAMACION1,20,0),IF(AND(H9=H10,N9&gt;SUM(P9:AA9),AB9&gt;(O9/7)),"",IF(AND(AB9&lt;&gt;0,B9=B10,O10&gt;(SUM(P9:AA9))),"",(IF(N10&gt;O10+(SUM(P10:AA10)),O10,N10-(SUM(P10:AA10))))))))</f>
        <v/>
      </c>
      <c r="AC10" s="3">
        <f t="shared" ref="AC10:AC45" si="90">IF(AND(N10&gt;O10,B9=B10,J9+SUM(P9:AB9)&lt;J10+SUM(P10:AB10)),"",IF(I10&gt;1,VLOOKUP(B10,PROGRAMACION1,21,0),IF(AND(H9=H10,N9&gt;SUM(P9:AB9),AC9&gt;(O9/7)),"",IF(AND(AC9&lt;&gt;0,B9=B10,O10&gt;(SUM(P9:AB9))),"",(IF(N10&gt;O10+(SUM(P10:AB10)),O10,N10-(SUM(P10:AB10))))))))</f>
        <v>1125</v>
      </c>
      <c r="AD10" s="3" t="str">
        <f t="shared" si="22"/>
        <v/>
      </c>
      <c r="AE10" s="3" t="str">
        <f t="shared" si="23"/>
        <v/>
      </c>
      <c r="AF10" s="3">
        <f t="shared" si="24"/>
        <v>1125</v>
      </c>
      <c r="AG10" s="3" t="str">
        <f t="shared" si="25"/>
        <v/>
      </c>
      <c r="AH10" s="3" t="str">
        <f t="shared" si="26"/>
        <v/>
      </c>
      <c r="AI10" s="3">
        <f t="shared" si="27"/>
        <v>1125</v>
      </c>
      <c r="AJ10" s="3" t="str">
        <f t="shared" si="28"/>
        <v/>
      </c>
      <c r="AK10" s="3">
        <f t="shared" si="29"/>
        <v>1125</v>
      </c>
      <c r="AL10" s="3" t="str">
        <f t="shared" si="30"/>
        <v/>
      </c>
      <c r="AM10" s="3" t="str">
        <f t="shared" si="31"/>
        <v/>
      </c>
      <c r="AN10" s="3">
        <f t="shared" si="32"/>
        <v>1125</v>
      </c>
      <c r="AO10" s="3" t="str">
        <f t="shared" si="33"/>
        <v/>
      </c>
      <c r="AP10" s="3" t="str">
        <f t="shared" si="34"/>
        <v/>
      </c>
      <c r="AQ10" s="3">
        <f t="shared" si="35"/>
        <v>1125</v>
      </c>
      <c r="AR10" s="3" t="str">
        <f t="shared" si="36"/>
        <v/>
      </c>
      <c r="AS10" s="3" t="str">
        <f t="shared" si="37"/>
        <v/>
      </c>
      <c r="AT10" s="3">
        <f t="shared" si="38"/>
        <v>1125</v>
      </c>
      <c r="AU10" s="3" t="str">
        <f t="shared" si="39"/>
        <v/>
      </c>
      <c r="AV10" s="3" t="str">
        <f t="shared" si="40"/>
        <v/>
      </c>
      <c r="AW10" s="3">
        <f t="shared" si="41"/>
        <v>1125</v>
      </c>
      <c r="AX10" s="3" t="str">
        <f t="shared" si="42"/>
        <v/>
      </c>
      <c r="AY10" s="3" t="str">
        <f t="shared" si="43"/>
        <v/>
      </c>
      <c r="AZ10" s="3">
        <f t="shared" si="44"/>
        <v>375</v>
      </c>
      <c r="BA10" s="3" t="str">
        <f t="shared" si="45"/>
        <v/>
      </c>
      <c r="BB10" s="3">
        <f t="shared" si="46"/>
        <v>0</v>
      </c>
      <c r="BC10" s="3">
        <f t="shared" si="47"/>
        <v>0</v>
      </c>
      <c r="BD10" s="3">
        <f>IF(AND(N10&gt;O10,B9=B10,J9+SUM(P9:BC9)&lt;J10+SUM(P10:BC10)),"",IF(I10&gt;1,VLOOKUP(B10,PROGRAMACION1,48,0),IF(AND(H9=H10,N9&gt;SUM(P9:BC9),BD9&gt;(O9/7)),"",IF(AND(BD9&lt;&gt;0,B9=B10,O10&gt;(SUM(P9:BC9))),"",(IF(N10&gt;O10+(SUM(P10:BC10)),O10,N10-(SUM($P10:BC10))))))))</f>
        <v>0</v>
      </c>
      <c r="BE10" s="3">
        <f t="shared" si="48"/>
        <v>0</v>
      </c>
      <c r="BF10" s="3">
        <f t="shared" si="49"/>
        <v>0</v>
      </c>
      <c r="BG10" s="3">
        <f t="shared" si="50"/>
        <v>0</v>
      </c>
      <c r="BH10" s="3">
        <f t="shared" si="51"/>
        <v>0</v>
      </c>
      <c r="BI10" s="3">
        <f t="shared" si="52"/>
        <v>0</v>
      </c>
      <c r="BJ10" s="3">
        <f t="shared" si="53"/>
        <v>0</v>
      </c>
      <c r="BK10" s="3">
        <f t="shared" si="54"/>
        <v>0</v>
      </c>
      <c r="BL10" s="3">
        <f t="shared" si="55"/>
        <v>0</v>
      </c>
      <c r="BM10" s="3">
        <f t="shared" si="56"/>
        <v>0</v>
      </c>
      <c r="BN10" s="3">
        <f t="shared" si="57"/>
        <v>0</v>
      </c>
      <c r="BO10" s="3">
        <f t="shared" si="58"/>
        <v>0</v>
      </c>
      <c r="BP10" s="3">
        <f t="shared" si="59"/>
        <v>0</v>
      </c>
      <c r="BQ10" s="3">
        <f t="shared" si="60"/>
        <v>0</v>
      </c>
      <c r="BR10" s="3">
        <f t="shared" si="61"/>
        <v>0</v>
      </c>
      <c r="BS10" s="3">
        <f t="shared" si="62"/>
        <v>0</v>
      </c>
      <c r="BT10" s="3">
        <f t="shared" si="63"/>
        <v>0</v>
      </c>
      <c r="BU10" s="3">
        <f t="shared" si="64"/>
        <v>0</v>
      </c>
      <c r="BV10" s="3">
        <f t="shared" si="65"/>
        <v>0</v>
      </c>
      <c r="BW10" s="3">
        <f t="shared" si="66"/>
        <v>0</v>
      </c>
      <c r="BX10" s="3">
        <f t="shared" si="67"/>
        <v>0</v>
      </c>
      <c r="BY10" s="3">
        <f t="shared" si="68"/>
        <v>0</v>
      </c>
      <c r="BZ10" s="3">
        <f t="shared" si="69"/>
        <v>0</v>
      </c>
      <c r="CA10" s="3">
        <f>IF(AND(N10&gt;O10,B9=B10,J9+SUM($P9:BZ9)&lt;J10+SUM(P10:BZ10)),"",IF(I10&gt;1,VLOOKUP(B10,PROGRAMACION1,71,0),IF(AND(H9=H10,N9&gt;SUM(P9:BZ9),CA9&gt;(O9/7)),"",IF(AND(CA9&lt;&gt;0,B9=B10,O10&gt;(SUM(P9:BZ9))),"",(IF(N10&gt;O10+(SUM(P10:BZ10)),O10,N10-(SUM(P10:BZ10))))))))</f>
        <v>0</v>
      </c>
      <c r="CB10" s="3">
        <f t="shared" si="70"/>
        <v>0</v>
      </c>
      <c r="CC10" s="3">
        <f t="shared" si="71"/>
        <v>0</v>
      </c>
      <c r="CD10" s="3">
        <f t="shared" si="72"/>
        <v>0</v>
      </c>
      <c r="CE10" s="3">
        <f t="shared" si="73"/>
        <v>0</v>
      </c>
      <c r="CF10" s="3">
        <f t="shared" si="74"/>
        <v>0</v>
      </c>
      <c r="CG10" s="3">
        <f t="shared" si="75"/>
        <v>0</v>
      </c>
      <c r="CH10" s="3">
        <f t="shared" si="76"/>
        <v>0</v>
      </c>
      <c r="CI10" s="3">
        <f t="shared" si="77"/>
        <v>0</v>
      </c>
      <c r="CJ10" s="3">
        <f t="shared" si="78"/>
        <v>0</v>
      </c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</row>
    <row r="11" spans="1:253" x14ac:dyDescent="0.25">
      <c r="A11" s="81">
        <v>4</v>
      </c>
      <c r="B11">
        <f>IF(A11&gt;0,FABRICAR!F5,NA())</f>
        <v>39223</v>
      </c>
      <c r="C11" t="str">
        <f>IF(A11&gt;0,FABRICAR!G5,NA())</f>
        <v>Barra Ojo 5/8x2,40mtrs</v>
      </c>
      <c r="D11" s="1" t="str">
        <f t="shared" si="6"/>
        <v>392230</v>
      </c>
      <c r="E11">
        <f>IF(A11&gt;0,FABRICAR!P5,"")</f>
        <v>0</v>
      </c>
      <c r="F11" t="str">
        <f t="shared" si="7"/>
        <v/>
      </c>
      <c r="G11">
        <v>443</v>
      </c>
      <c r="H11" t="str">
        <f>IF(B11=0,B11,IF(A11&gt;0,FABRICAR!H5,NA()))</f>
        <v>PUNT PER</v>
      </c>
      <c r="I11">
        <f>IF(B11=0,B11,IF(A11&gt;0,FABRICAR!B5,NA()))</f>
        <v>0</v>
      </c>
      <c r="J11" s="75">
        <f>IF(B11=0,B11,'PROGRAM SALDO '!J7)</f>
        <v>240</v>
      </c>
      <c r="K11" s="82">
        <v>606</v>
      </c>
      <c r="L11" t="str">
        <f>IF(A11&gt;0,FABRICAR!J5,NA())</f>
        <v>PUNTEAR</v>
      </c>
      <c r="M11" s="9">
        <f t="shared" si="8"/>
        <v>4.0423999999999998</v>
      </c>
      <c r="N11">
        <f>IF(A11&gt;0,FABRICAR!L5,NA())</f>
        <v>15000</v>
      </c>
      <c r="O11">
        <f>IF(B11=0,B11,IF(A11&gt;0,FABRICAR!M5,"")*9)</f>
        <v>1845</v>
      </c>
      <c r="P11" t="str">
        <f t="shared" si="9"/>
        <v/>
      </c>
      <c r="Q11" s="3" t="str">
        <f t="shared" si="10"/>
        <v/>
      </c>
      <c r="R11" s="3" t="str">
        <f t="shared" si="79"/>
        <v/>
      </c>
      <c r="S11" s="3" t="str">
        <f t="shared" si="80"/>
        <v/>
      </c>
      <c r="T11" s="3" t="str">
        <f t="shared" si="81"/>
        <v/>
      </c>
      <c r="U11" s="3" t="str">
        <f t="shared" si="82"/>
        <v/>
      </c>
      <c r="V11" s="3">
        <f t="shared" si="83"/>
        <v>1845</v>
      </c>
      <c r="W11" s="3">
        <f t="shared" si="84"/>
        <v>1845</v>
      </c>
      <c r="X11" s="3">
        <f t="shared" si="85"/>
        <v>1845</v>
      </c>
      <c r="Y11" s="3" t="str">
        <f t="shared" si="86"/>
        <v/>
      </c>
      <c r="Z11" s="3" t="str">
        <f t="shared" si="87"/>
        <v/>
      </c>
      <c r="AA11" s="3">
        <f t="shared" si="88"/>
        <v>1845</v>
      </c>
      <c r="AB11" s="3" t="str">
        <f t="shared" si="89"/>
        <v/>
      </c>
      <c r="AC11" s="3" t="str">
        <f t="shared" si="90"/>
        <v/>
      </c>
      <c r="AD11" s="3" t="str">
        <f t="shared" si="22"/>
        <v/>
      </c>
      <c r="AE11" s="3" t="str">
        <f t="shared" si="23"/>
        <v/>
      </c>
      <c r="AF11" s="3" t="str">
        <f t="shared" si="24"/>
        <v/>
      </c>
      <c r="AG11" s="3">
        <f t="shared" si="25"/>
        <v>1845</v>
      </c>
      <c r="AH11" s="3" t="str">
        <f t="shared" si="26"/>
        <v/>
      </c>
      <c r="AI11" s="3" t="str">
        <f t="shared" si="27"/>
        <v/>
      </c>
      <c r="AJ11" s="3" t="str">
        <f t="shared" si="28"/>
        <v/>
      </c>
      <c r="AK11" s="3" t="str">
        <f t="shared" si="29"/>
        <v/>
      </c>
      <c r="AL11" s="3">
        <f t="shared" si="30"/>
        <v>1845</v>
      </c>
      <c r="AM11" s="3" t="str">
        <f t="shared" si="31"/>
        <v/>
      </c>
      <c r="AN11" s="3" t="str">
        <f t="shared" si="32"/>
        <v/>
      </c>
      <c r="AO11" s="3">
        <f t="shared" si="33"/>
        <v>1845</v>
      </c>
      <c r="AP11" s="3" t="str">
        <f t="shared" si="34"/>
        <v/>
      </c>
      <c r="AQ11" s="3" t="str">
        <f t="shared" si="35"/>
        <v/>
      </c>
      <c r="AR11" s="3" t="str">
        <f t="shared" si="36"/>
        <v/>
      </c>
      <c r="AS11" s="3" t="str">
        <f t="shared" si="37"/>
        <v/>
      </c>
      <c r="AT11" s="3" t="str">
        <f t="shared" si="38"/>
        <v/>
      </c>
      <c r="AU11" s="3">
        <f t="shared" si="39"/>
        <v>1845</v>
      </c>
      <c r="AV11" s="3" t="str">
        <f t="shared" si="40"/>
        <v/>
      </c>
      <c r="AW11" s="3" t="str">
        <f t="shared" si="41"/>
        <v/>
      </c>
      <c r="AX11" s="3">
        <f t="shared" si="42"/>
        <v>240</v>
      </c>
      <c r="AY11" s="3" t="str">
        <f t="shared" si="43"/>
        <v/>
      </c>
      <c r="AZ11" s="3" t="str">
        <f t="shared" si="44"/>
        <v/>
      </c>
      <c r="BA11" s="3">
        <f t="shared" si="45"/>
        <v>0</v>
      </c>
      <c r="BB11" s="3">
        <f t="shared" si="46"/>
        <v>0</v>
      </c>
      <c r="BC11" s="3">
        <f t="shared" si="47"/>
        <v>0</v>
      </c>
      <c r="BD11" s="3">
        <f>IF(AND(N11&gt;O11,B10=B11,J10+SUM(P10:BC10)&lt;J11+SUM(P11:BC11)),"",IF(I11&gt;1,VLOOKUP(B11,PROGRAMACION1,48,0),IF(AND(H10=H11,N10&gt;SUM(P10:BC10),BD10&gt;(O10/7)),"",IF(AND(BD10&lt;&gt;0,B10=B11,O11&gt;(SUM(P10:BC10))),"",(IF(N11&gt;O11+(SUM(P11:BC11)),O11,N11-(SUM($P11:BC11))))))))</f>
        <v>0</v>
      </c>
      <c r="BE11" s="3">
        <f t="shared" si="48"/>
        <v>0</v>
      </c>
      <c r="BF11" s="3">
        <f t="shared" si="49"/>
        <v>0</v>
      </c>
      <c r="BG11" s="3">
        <f t="shared" si="50"/>
        <v>0</v>
      </c>
      <c r="BH11" s="3">
        <f t="shared" si="51"/>
        <v>0</v>
      </c>
      <c r="BI11" s="3">
        <f t="shared" si="52"/>
        <v>0</v>
      </c>
      <c r="BJ11" s="3">
        <f t="shared" si="53"/>
        <v>0</v>
      </c>
      <c r="BK11" s="3">
        <f t="shared" si="54"/>
        <v>0</v>
      </c>
      <c r="BL11" s="3">
        <f t="shared" si="55"/>
        <v>0</v>
      </c>
      <c r="BM11" s="3">
        <f t="shared" si="56"/>
        <v>0</v>
      </c>
      <c r="BN11" s="3">
        <f t="shared" si="57"/>
        <v>0</v>
      </c>
      <c r="BO11" s="3">
        <f t="shared" si="58"/>
        <v>0</v>
      </c>
      <c r="BP11" s="3">
        <f t="shared" si="59"/>
        <v>0</v>
      </c>
      <c r="BQ11" s="3">
        <f t="shared" si="60"/>
        <v>0</v>
      </c>
      <c r="BR11" s="3">
        <f t="shared" si="61"/>
        <v>0</v>
      </c>
      <c r="BS11" s="3">
        <f t="shared" si="62"/>
        <v>0</v>
      </c>
      <c r="BT11" s="3">
        <f t="shared" si="63"/>
        <v>0</v>
      </c>
      <c r="BU11" s="3">
        <f t="shared" si="64"/>
        <v>0</v>
      </c>
      <c r="BV11" s="3">
        <f t="shared" si="65"/>
        <v>0</v>
      </c>
      <c r="BW11" s="3">
        <f t="shared" si="66"/>
        <v>0</v>
      </c>
      <c r="BX11" s="3">
        <f t="shared" si="67"/>
        <v>0</v>
      </c>
      <c r="BY11" s="3">
        <f t="shared" si="68"/>
        <v>0</v>
      </c>
      <c r="BZ11" s="3">
        <f t="shared" si="69"/>
        <v>0</v>
      </c>
      <c r="CA11" s="3">
        <f>IF(AND(N11&gt;O11,B10=B11,J10+SUM($P10:BZ10)&lt;J11+SUM(P11:BZ11)),"",IF(I11&gt;1,VLOOKUP(B11,PROGRAMACION1,71,0),IF(AND(H10=H11,N10&gt;SUM(P10:BZ10),CA10&gt;(O10/7)),"",IF(AND(CA10&lt;&gt;0,B10=B11,O11&gt;(SUM(P10:BZ10))),"",(IF(N11&gt;O11+(SUM(P11:BZ11)),O11,N11-(SUM(P11:BZ11))))))))</f>
        <v>0</v>
      </c>
      <c r="CB11" s="3">
        <f t="shared" si="70"/>
        <v>0</v>
      </c>
      <c r="CC11" s="3">
        <f t="shared" si="71"/>
        <v>0</v>
      </c>
      <c r="CD11" s="3">
        <f t="shared" si="72"/>
        <v>0</v>
      </c>
      <c r="CE11" s="3">
        <f t="shared" si="73"/>
        <v>0</v>
      </c>
      <c r="CF11" s="3">
        <f t="shared" si="74"/>
        <v>0</v>
      </c>
      <c r="CG11" s="3">
        <f t="shared" si="75"/>
        <v>0</v>
      </c>
      <c r="CH11" s="3">
        <f t="shared" si="76"/>
        <v>0</v>
      </c>
      <c r="CI11" s="3">
        <f t="shared" si="77"/>
        <v>0</v>
      </c>
      <c r="CJ11" s="3">
        <f t="shared" si="78"/>
        <v>0</v>
      </c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</row>
    <row r="12" spans="1:253" x14ac:dyDescent="0.25">
      <c r="A12" s="81">
        <v>5</v>
      </c>
      <c r="B12">
        <f>IF(A12&gt;0,FABRICAR!F6,NA())</f>
        <v>39223</v>
      </c>
      <c r="C12" t="str">
        <f>IF(A12&gt;0,FABRICAR!G6,NA())</f>
        <v>Barra Ojo 5/8x2,40mtrs</v>
      </c>
      <c r="D12" s="1" t="str">
        <f t="shared" si="6"/>
        <v>392230</v>
      </c>
      <c r="E12">
        <f>IF(A12&gt;0,FABRICAR!P6,"")</f>
        <v>0</v>
      </c>
      <c r="F12" t="str">
        <f t="shared" si="7"/>
        <v/>
      </c>
      <c r="G12">
        <v>444</v>
      </c>
      <c r="H12" t="str">
        <f>IF(B12=0,B12,IF(A12&gt;0,FABRICAR!H6,NA()))</f>
        <v>TERR PER - 03</v>
      </c>
      <c r="I12">
        <f>IF(B12=0,B12,IF(A12&gt;0,FABRICAR!B6,NA()))</f>
        <v>0</v>
      </c>
      <c r="J12" s="75">
        <f>IF(B12=0,B12,'PROGRAM SALDO '!J8)</f>
        <v>69</v>
      </c>
      <c r="K12" s="82">
        <v>606</v>
      </c>
      <c r="L12" t="str">
        <f>IF(A12&gt;0,FABRICAR!J6,NA())</f>
        <v>TERRAJAR</v>
      </c>
      <c r="M12" s="9">
        <f t="shared" si="8"/>
        <v>4.0423999999999998</v>
      </c>
      <c r="N12">
        <f>IF(A12&gt;0,FABRICAR!L6,NA())</f>
        <v>15000</v>
      </c>
      <c r="O12">
        <f>IF(B12=0,B12,IF(A12&gt;0,FABRICAR!M6,"")*9)</f>
        <v>711</v>
      </c>
      <c r="P12" t="str">
        <f t="shared" si="9"/>
        <v/>
      </c>
      <c r="Q12" s="3" t="str">
        <f t="shared" si="10"/>
        <v/>
      </c>
      <c r="R12" s="3" t="str">
        <f t="shared" si="79"/>
        <v/>
      </c>
      <c r="S12" s="3" t="str">
        <f t="shared" si="80"/>
        <v/>
      </c>
      <c r="T12" s="3" t="str">
        <f t="shared" si="81"/>
        <v/>
      </c>
      <c r="U12" s="3" t="str">
        <f t="shared" si="82"/>
        <v/>
      </c>
      <c r="V12" s="3" t="str">
        <f t="shared" si="83"/>
        <v/>
      </c>
      <c r="W12" s="3">
        <f t="shared" si="84"/>
        <v>711</v>
      </c>
      <c r="X12" s="3">
        <f t="shared" si="85"/>
        <v>711</v>
      </c>
      <c r="Y12" s="3">
        <f t="shared" si="86"/>
        <v>711</v>
      </c>
      <c r="Z12" s="3">
        <f t="shared" si="87"/>
        <v>711</v>
      </c>
      <c r="AA12" s="3">
        <f t="shared" si="88"/>
        <v>711</v>
      </c>
      <c r="AB12" s="3">
        <f t="shared" si="89"/>
        <v>711</v>
      </c>
      <c r="AC12" s="3">
        <f t="shared" si="90"/>
        <v>711</v>
      </c>
      <c r="AD12" s="3">
        <f t="shared" si="22"/>
        <v>711</v>
      </c>
      <c r="AE12" s="3">
        <f t="shared" si="23"/>
        <v>711</v>
      </c>
      <c r="AF12" s="3">
        <f t="shared" si="24"/>
        <v>711</v>
      </c>
      <c r="AG12" s="3">
        <f t="shared" si="25"/>
        <v>711</v>
      </c>
      <c r="AH12" s="3">
        <f t="shared" si="26"/>
        <v>711</v>
      </c>
      <c r="AI12" s="3">
        <f t="shared" si="27"/>
        <v>711</v>
      </c>
      <c r="AJ12" s="3">
        <f t="shared" si="28"/>
        <v>711</v>
      </c>
      <c r="AK12" s="3" t="str">
        <f t="shared" si="29"/>
        <v/>
      </c>
      <c r="AL12" s="3" t="str">
        <f t="shared" si="30"/>
        <v/>
      </c>
      <c r="AM12" s="3">
        <f t="shared" si="31"/>
        <v>711</v>
      </c>
      <c r="AN12" s="3">
        <f t="shared" si="32"/>
        <v>711</v>
      </c>
      <c r="AO12" s="3" t="str">
        <f t="shared" si="33"/>
        <v/>
      </c>
      <c r="AP12" s="3">
        <f t="shared" si="34"/>
        <v>711</v>
      </c>
      <c r="AQ12" s="3">
        <f t="shared" si="35"/>
        <v>711</v>
      </c>
      <c r="AR12" s="3">
        <f t="shared" si="36"/>
        <v>711</v>
      </c>
      <c r="AS12" s="3" t="str">
        <f t="shared" si="37"/>
        <v/>
      </c>
      <c r="AT12" s="3" t="str">
        <f t="shared" si="38"/>
        <v/>
      </c>
      <c r="AU12" s="3" t="str">
        <f t="shared" si="39"/>
        <v/>
      </c>
      <c r="AV12" s="3">
        <f t="shared" si="40"/>
        <v>711</v>
      </c>
      <c r="AW12" s="3">
        <f t="shared" si="41"/>
        <v>711</v>
      </c>
      <c r="AX12" s="3">
        <f t="shared" si="42"/>
        <v>69</v>
      </c>
      <c r="AY12" s="3">
        <f t="shared" si="43"/>
        <v>0</v>
      </c>
      <c r="AZ12" s="3">
        <f t="shared" si="44"/>
        <v>0</v>
      </c>
      <c r="BA12" s="3">
        <f t="shared" si="45"/>
        <v>0</v>
      </c>
      <c r="BB12" s="3">
        <f t="shared" si="46"/>
        <v>0</v>
      </c>
      <c r="BC12" s="3">
        <f t="shared" si="47"/>
        <v>0</v>
      </c>
      <c r="BD12" s="3">
        <f>IF(AND(N12&gt;O12,B11=B12,J11+SUM(P11:BC11)&lt;J12+SUM(P12:BC12)),"",IF(I12&gt;1,VLOOKUP(B12,PROGRAMACION1,48,0),IF(AND(H11=H12,N11&gt;SUM(P11:BC11),BD11&gt;(O11/7)),"",IF(AND(BD11&lt;&gt;0,B11=B12,O12&gt;(SUM(P11:BC11))),"",(IF(N12&gt;O12+(SUM(P12:BC12)),O12,N12-(SUM($P12:BC12))))))))</f>
        <v>0</v>
      </c>
      <c r="BE12" s="3">
        <f t="shared" si="48"/>
        <v>0</v>
      </c>
      <c r="BF12" s="3">
        <f t="shared" si="49"/>
        <v>0</v>
      </c>
      <c r="BG12" s="3">
        <f t="shared" si="50"/>
        <v>0</v>
      </c>
      <c r="BH12" s="3">
        <f t="shared" si="51"/>
        <v>0</v>
      </c>
      <c r="BI12" s="3">
        <f t="shared" si="52"/>
        <v>0</v>
      </c>
      <c r="BJ12" s="3">
        <f t="shared" si="53"/>
        <v>0</v>
      </c>
      <c r="BK12" s="3">
        <f t="shared" si="54"/>
        <v>0</v>
      </c>
      <c r="BL12" s="3">
        <f t="shared" si="55"/>
        <v>0</v>
      </c>
      <c r="BM12" s="3">
        <f t="shared" si="56"/>
        <v>0</v>
      </c>
      <c r="BN12" s="3">
        <f t="shared" si="57"/>
        <v>0</v>
      </c>
      <c r="BO12" s="3">
        <f t="shared" si="58"/>
        <v>0</v>
      </c>
      <c r="BP12" s="3">
        <f t="shared" si="59"/>
        <v>0</v>
      </c>
      <c r="BQ12" s="3">
        <f t="shared" si="60"/>
        <v>0</v>
      </c>
      <c r="BR12" s="3">
        <f t="shared" si="61"/>
        <v>0</v>
      </c>
      <c r="BS12" s="3">
        <f t="shared" si="62"/>
        <v>0</v>
      </c>
      <c r="BT12" s="3">
        <f t="shared" si="63"/>
        <v>0</v>
      </c>
      <c r="BU12" s="3">
        <f t="shared" si="64"/>
        <v>0</v>
      </c>
      <c r="BV12" s="3">
        <f t="shared" si="65"/>
        <v>0</v>
      </c>
      <c r="BW12" s="3">
        <f t="shared" si="66"/>
        <v>0</v>
      </c>
      <c r="BX12" s="3">
        <f t="shared" si="67"/>
        <v>0</v>
      </c>
      <c r="BY12" s="3">
        <f t="shared" si="68"/>
        <v>0</v>
      </c>
      <c r="BZ12" s="3">
        <f t="shared" si="69"/>
        <v>0</v>
      </c>
      <c r="CA12" s="3">
        <f>IF(AND(N12&gt;O12,B11=B12,J11+SUM($P11:BZ11)&lt;J12+SUM(P12:BZ12)),"",IF(I12&gt;1,VLOOKUP(B12,PROGRAMACION1,71,0),IF(AND(H11=H12,N11&gt;SUM(P11:BZ11),CA11&gt;(O11/7)),"",IF(AND(CA11&lt;&gt;0,B11=B12,O12&gt;(SUM(P11:BZ11))),"",(IF(N12&gt;O12+(SUM(P12:BZ12)),O12,N12-(SUM(P12:BZ12))))))))</f>
        <v>0</v>
      </c>
      <c r="CB12" s="3">
        <f t="shared" si="70"/>
        <v>0</v>
      </c>
      <c r="CC12" s="3">
        <f t="shared" si="71"/>
        <v>0</v>
      </c>
      <c r="CD12" s="3">
        <f t="shared" si="72"/>
        <v>0</v>
      </c>
      <c r="CE12" s="3">
        <f t="shared" si="73"/>
        <v>0</v>
      </c>
      <c r="CF12" s="3">
        <f t="shared" si="74"/>
        <v>0</v>
      </c>
      <c r="CG12" s="3">
        <f t="shared" si="75"/>
        <v>0</v>
      </c>
      <c r="CH12" s="3">
        <f t="shared" si="76"/>
        <v>0</v>
      </c>
      <c r="CI12" s="3">
        <f t="shared" si="77"/>
        <v>0</v>
      </c>
      <c r="CJ12" s="3">
        <f t="shared" si="78"/>
        <v>0</v>
      </c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</row>
    <row r="13" spans="1:253" x14ac:dyDescent="0.25">
      <c r="A13" s="81">
        <v>6</v>
      </c>
      <c r="B13">
        <f>IF(A13&gt;0,FABRICAR!F7,NA())</f>
        <v>36542</v>
      </c>
      <c r="C13" t="str">
        <f>IF(A13&gt;0,FABRICAR!G7,NA())</f>
        <v>Perno Ojo 5/8x9x5H</v>
      </c>
      <c r="D13" s="1" t="str">
        <f t="shared" si="6"/>
        <v>365420</v>
      </c>
      <c r="E13">
        <f>IF(A13&gt;0,FABRICAR!P7,"")</f>
        <v>0</v>
      </c>
      <c r="F13" t="str">
        <f t="shared" si="7"/>
        <v/>
      </c>
      <c r="G13">
        <v>445</v>
      </c>
      <c r="H13" t="str">
        <f>IF(B13=0,B13,IF(A13&gt;0,FABRICAR!H7,NA()))</f>
        <v>PRENSA FR - 01</v>
      </c>
      <c r="I13">
        <f>IF(B13=0,B13,IF(A13&gt;0,FABRICAR!B7,NA()))</f>
        <v>2</v>
      </c>
      <c r="J13" s="75">
        <f>IF(B13=0,B13,'PROGRAM SALDO '!J9)</f>
        <v>19</v>
      </c>
      <c r="K13" s="82">
        <v>606</v>
      </c>
      <c r="L13" t="str">
        <f>IF(A13&gt;0,FABRICAR!J7,NA())</f>
        <v>ESTAMPAR</v>
      </c>
      <c r="M13" s="9">
        <f t="shared" si="8"/>
        <v>0.58699999999999997</v>
      </c>
      <c r="N13">
        <f>IF(A13&gt;0,FABRICAR!L7,NA())</f>
        <v>5050</v>
      </c>
      <c r="O13">
        <f>IF(B13=0,B13,IF(A13&gt;0,FABRICAR!M7,"")*9)</f>
        <v>387</v>
      </c>
      <c r="P13" t="str">
        <f t="shared" si="9"/>
        <v/>
      </c>
      <c r="Q13" s="3" t="str">
        <f t="shared" si="10"/>
        <v/>
      </c>
      <c r="R13" s="3" t="str">
        <f t="shared" si="79"/>
        <v/>
      </c>
      <c r="S13" s="3" t="str">
        <f t="shared" si="80"/>
        <v/>
      </c>
      <c r="T13" s="3" t="str">
        <f t="shared" si="81"/>
        <v/>
      </c>
      <c r="U13" s="3" t="str">
        <f t="shared" si="82"/>
        <v/>
      </c>
      <c r="V13" s="3" t="str">
        <f t="shared" si="83"/>
        <v/>
      </c>
      <c r="W13" s="3" t="str">
        <f t="shared" si="84"/>
        <v/>
      </c>
      <c r="X13" s="3" t="str">
        <f t="shared" si="85"/>
        <v/>
      </c>
      <c r="Y13" s="3" t="str">
        <f t="shared" si="86"/>
        <v/>
      </c>
      <c r="Z13" s="3" t="str">
        <f t="shared" si="87"/>
        <v/>
      </c>
      <c r="AA13" s="3" t="str">
        <f t="shared" si="88"/>
        <v/>
      </c>
      <c r="AB13" s="3" t="str">
        <f t="shared" si="89"/>
        <v/>
      </c>
      <c r="AC13" s="3" t="str">
        <f t="shared" si="90"/>
        <v/>
      </c>
      <c r="AD13" s="3" t="str">
        <f t="shared" si="22"/>
        <v/>
      </c>
      <c r="AE13" s="3" t="str">
        <f t="shared" si="23"/>
        <v/>
      </c>
      <c r="AF13" s="3" t="str">
        <f t="shared" si="24"/>
        <v/>
      </c>
      <c r="AG13" s="3" t="str">
        <f t="shared" si="25"/>
        <v/>
      </c>
      <c r="AH13" s="3" t="str">
        <f t="shared" si="26"/>
        <v/>
      </c>
      <c r="AI13" s="3" t="str">
        <f t="shared" si="27"/>
        <v/>
      </c>
      <c r="AJ13" s="3" t="str">
        <f t="shared" si="28"/>
        <v/>
      </c>
      <c r="AK13" s="3" t="str">
        <f t="shared" si="29"/>
        <v/>
      </c>
      <c r="AL13" s="3" t="str">
        <f t="shared" si="30"/>
        <v/>
      </c>
      <c r="AM13" s="3" t="str">
        <f t="shared" si="31"/>
        <v/>
      </c>
      <c r="AN13" s="3" t="str">
        <f t="shared" si="32"/>
        <v/>
      </c>
      <c r="AO13" s="3" t="str">
        <f t="shared" si="33"/>
        <v/>
      </c>
      <c r="AP13" s="3" t="str">
        <f t="shared" si="34"/>
        <v/>
      </c>
      <c r="AQ13" s="3" t="str">
        <f t="shared" si="35"/>
        <v/>
      </c>
      <c r="AR13" s="3" t="str">
        <f t="shared" si="36"/>
        <v/>
      </c>
      <c r="AS13" s="3" t="str">
        <f t="shared" si="37"/>
        <v/>
      </c>
      <c r="AT13" s="3" t="str">
        <f t="shared" si="38"/>
        <v/>
      </c>
      <c r="AU13" s="3" t="str">
        <f t="shared" si="39"/>
        <v/>
      </c>
      <c r="AV13" s="3" t="str">
        <f t="shared" si="40"/>
        <v/>
      </c>
      <c r="AW13" s="3" t="str">
        <f t="shared" si="41"/>
        <v/>
      </c>
      <c r="AX13" s="3" t="str">
        <f t="shared" si="42"/>
        <v/>
      </c>
      <c r="AY13" s="3" t="str">
        <f t="shared" si="43"/>
        <v/>
      </c>
      <c r="AZ13" s="3" t="str">
        <f t="shared" si="44"/>
        <v/>
      </c>
      <c r="BA13" s="3" t="str">
        <f t="shared" si="45"/>
        <v/>
      </c>
      <c r="BB13" s="3">
        <f t="shared" si="46"/>
        <v>387</v>
      </c>
      <c r="BC13" s="3">
        <f t="shared" si="47"/>
        <v>387</v>
      </c>
      <c r="BD13" s="3">
        <f>IF(AND(N13&gt;O13,B12=B13,J12+SUM(P12:BC12)&lt;J13+SUM(P13:BC13)),"",IF(I13&gt;1,VLOOKUP(B13,PROGRAMACION1,48,0),IF(AND(H12=H13,N12&gt;SUM(P12:BC12),BD12&gt;(O12/7)),"",IF(AND(BD12&lt;&gt;0,B12=B13,O13&gt;(SUM(P12:BC12))),"",(IF(N13&gt;O13+(SUM(P13:BC13)),O13,N13-(SUM($P13:BC13))))))))</f>
        <v>387</v>
      </c>
      <c r="BE13" s="3">
        <f t="shared" si="48"/>
        <v>387</v>
      </c>
      <c r="BF13" s="3">
        <f t="shared" si="49"/>
        <v>387</v>
      </c>
      <c r="BG13" s="3">
        <f t="shared" si="50"/>
        <v>387</v>
      </c>
      <c r="BH13" s="3">
        <f t="shared" si="51"/>
        <v>387</v>
      </c>
      <c r="BI13" s="3">
        <f t="shared" si="52"/>
        <v>387</v>
      </c>
      <c r="BJ13" s="3">
        <f t="shared" si="53"/>
        <v>387</v>
      </c>
      <c r="BK13" s="3">
        <f t="shared" si="54"/>
        <v>387</v>
      </c>
      <c r="BL13" s="3">
        <f t="shared" si="55"/>
        <v>387</v>
      </c>
      <c r="BM13" s="3">
        <f t="shared" si="56"/>
        <v>387</v>
      </c>
      <c r="BN13" s="3">
        <f t="shared" si="57"/>
        <v>387</v>
      </c>
      <c r="BO13" s="3">
        <f t="shared" si="58"/>
        <v>19</v>
      </c>
      <c r="BP13" s="3">
        <f t="shared" si="59"/>
        <v>0</v>
      </c>
      <c r="BQ13" s="3">
        <f t="shared" si="60"/>
        <v>0</v>
      </c>
      <c r="BR13" s="3">
        <f t="shared" si="61"/>
        <v>0</v>
      </c>
      <c r="BS13" s="3">
        <f t="shared" si="62"/>
        <v>0</v>
      </c>
      <c r="BT13" s="3">
        <f t="shared" si="63"/>
        <v>0</v>
      </c>
      <c r="BU13" s="3">
        <f t="shared" si="64"/>
        <v>0</v>
      </c>
      <c r="BV13" s="3">
        <f t="shared" si="65"/>
        <v>0</v>
      </c>
      <c r="BW13" s="3">
        <f t="shared" si="66"/>
        <v>0</v>
      </c>
      <c r="BX13" s="3">
        <f t="shared" si="67"/>
        <v>0</v>
      </c>
      <c r="BY13" s="3">
        <f t="shared" si="68"/>
        <v>0</v>
      </c>
      <c r="BZ13" s="3">
        <f t="shared" si="69"/>
        <v>0</v>
      </c>
      <c r="CA13" s="3">
        <f>IF(AND(N13&gt;O13,B12=B13,J12+SUM($P12:BZ12)&lt;J13+SUM(P13:BZ13)),"",IF(I13&gt;1,VLOOKUP(B13,PROGRAMACION1,71,0),IF(AND(H12=H13,N12&gt;SUM(P12:BZ12),CA12&gt;(O12/7)),"",IF(AND(CA12&lt;&gt;0,B12=B13,O13&gt;(SUM(P12:BZ12))),"",(IF(N13&gt;O13+(SUM(P13:BZ13)),O13,N13-(SUM(P13:BZ13))))))))</f>
        <v>0</v>
      </c>
      <c r="CB13" s="3">
        <f t="shared" si="70"/>
        <v>0</v>
      </c>
      <c r="CC13" s="3">
        <f t="shared" si="71"/>
        <v>0</v>
      </c>
      <c r="CD13" s="3">
        <f t="shared" si="72"/>
        <v>0</v>
      </c>
      <c r="CE13" s="3">
        <f t="shared" si="73"/>
        <v>0</v>
      </c>
      <c r="CF13" s="3">
        <f t="shared" si="74"/>
        <v>0</v>
      </c>
      <c r="CG13" s="3">
        <f t="shared" si="75"/>
        <v>0</v>
      </c>
      <c r="CH13" s="3">
        <f t="shared" si="76"/>
        <v>0</v>
      </c>
      <c r="CI13" s="3">
        <f t="shared" si="77"/>
        <v>0</v>
      </c>
      <c r="CJ13" s="3">
        <f t="shared" si="78"/>
        <v>0</v>
      </c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</row>
    <row r="14" spans="1:253" x14ac:dyDescent="0.25">
      <c r="A14" s="81">
        <v>7</v>
      </c>
      <c r="B14">
        <f>IF(A14&gt;0,FABRICAR!F8,NA())</f>
        <v>36542</v>
      </c>
      <c r="C14" t="str">
        <f>IF(A14&gt;0,FABRICAR!G8,NA())</f>
        <v>Perno Ojo 5/8x9x5H</v>
      </c>
      <c r="D14" s="1" t="str">
        <f t="shared" si="6"/>
        <v>365420</v>
      </c>
      <c r="E14">
        <f>IF(A14&gt;0,FABRICAR!P8,"")</f>
        <v>0</v>
      </c>
      <c r="F14" t="str">
        <f t="shared" si="7"/>
        <v/>
      </c>
      <c r="G14">
        <v>446</v>
      </c>
      <c r="H14" t="str">
        <f>IF(B14=0,B14,IF(A14&gt;0,FABRICAR!H8,NA()))</f>
        <v>PRENSA EX - 15</v>
      </c>
      <c r="I14">
        <f>IF(B14=0,B14,IF(A14&gt;0,FABRICAR!B8,NA()))</f>
        <v>0</v>
      </c>
      <c r="J14" s="75">
        <f>IF(B14=0,B14,'PROGRAM SALDO '!J10)</f>
        <v>1450</v>
      </c>
      <c r="K14" s="82">
        <v>606</v>
      </c>
      <c r="L14" t="str">
        <f>IF(A14&gt;0,FABRICAR!J8,NA())</f>
        <v>REBABA EXT</v>
      </c>
      <c r="M14" s="9">
        <f t="shared" si="8"/>
        <v>0.58699999999999997</v>
      </c>
      <c r="N14">
        <f>IF(A14&gt;0,FABRICAR!L8,NA())</f>
        <v>5050</v>
      </c>
      <c r="O14">
        <f>IF(B14=0,B14,IF(A14&gt;0,FABRICAR!M8,"")*9)</f>
        <v>1800</v>
      </c>
      <c r="P14" t="str">
        <f t="shared" si="9"/>
        <v/>
      </c>
      <c r="Q14" s="3" t="str">
        <f t="shared" si="10"/>
        <v/>
      </c>
      <c r="R14" s="3" t="str">
        <f t="shared" si="79"/>
        <v/>
      </c>
      <c r="S14" s="3" t="str">
        <f t="shared" si="80"/>
        <v/>
      </c>
      <c r="T14" s="3" t="str">
        <f t="shared" si="81"/>
        <v/>
      </c>
      <c r="U14" s="3" t="str">
        <f t="shared" si="82"/>
        <v/>
      </c>
      <c r="V14" s="3" t="str">
        <f t="shared" si="83"/>
        <v/>
      </c>
      <c r="W14" s="3" t="str">
        <f t="shared" si="84"/>
        <v/>
      </c>
      <c r="X14" s="3" t="str">
        <f t="shared" si="85"/>
        <v/>
      </c>
      <c r="Y14" s="3" t="str">
        <f t="shared" si="86"/>
        <v/>
      </c>
      <c r="Z14" s="3" t="str">
        <f t="shared" si="87"/>
        <v/>
      </c>
      <c r="AA14" s="3" t="str">
        <f t="shared" si="88"/>
        <v/>
      </c>
      <c r="AB14" s="3" t="str">
        <f t="shared" si="89"/>
        <v/>
      </c>
      <c r="AC14" s="3" t="str">
        <f t="shared" si="90"/>
        <v/>
      </c>
      <c r="AD14" s="3" t="str">
        <f t="shared" si="22"/>
        <v/>
      </c>
      <c r="AE14" s="3" t="str">
        <f t="shared" si="23"/>
        <v/>
      </c>
      <c r="AF14" s="3" t="str">
        <f t="shared" si="24"/>
        <v/>
      </c>
      <c r="AG14" s="3" t="str">
        <f t="shared" si="25"/>
        <v/>
      </c>
      <c r="AH14" s="3" t="str">
        <f t="shared" si="26"/>
        <v/>
      </c>
      <c r="AI14" s="3" t="str">
        <f t="shared" si="27"/>
        <v/>
      </c>
      <c r="AJ14" s="3" t="str">
        <f t="shared" si="28"/>
        <v/>
      </c>
      <c r="AK14" s="3" t="str">
        <f t="shared" si="29"/>
        <v/>
      </c>
      <c r="AL14" s="3" t="str">
        <f t="shared" si="30"/>
        <v/>
      </c>
      <c r="AM14" s="3" t="str">
        <f t="shared" si="31"/>
        <v/>
      </c>
      <c r="AN14" s="3" t="str">
        <f t="shared" si="32"/>
        <v/>
      </c>
      <c r="AO14" s="3" t="str">
        <f t="shared" si="33"/>
        <v/>
      </c>
      <c r="AP14" s="3" t="str">
        <f t="shared" si="34"/>
        <v/>
      </c>
      <c r="AQ14" s="3" t="str">
        <f t="shared" si="35"/>
        <v/>
      </c>
      <c r="AR14" s="3" t="str">
        <f t="shared" si="36"/>
        <v/>
      </c>
      <c r="AS14" s="3" t="str">
        <f t="shared" si="37"/>
        <v/>
      </c>
      <c r="AT14" s="3" t="str">
        <f t="shared" si="38"/>
        <v/>
      </c>
      <c r="AU14" s="3" t="str">
        <f t="shared" si="39"/>
        <v/>
      </c>
      <c r="AV14" s="3" t="str">
        <f t="shared" si="40"/>
        <v/>
      </c>
      <c r="AW14" s="3" t="str">
        <f t="shared" si="41"/>
        <v/>
      </c>
      <c r="AX14" s="3" t="str">
        <f t="shared" si="42"/>
        <v/>
      </c>
      <c r="AY14" s="3" t="str">
        <f t="shared" si="43"/>
        <v/>
      </c>
      <c r="AZ14" s="3" t="str">
        <f t="shared" si="44"/>
        <v/>
      </c>
      <c r="BA14" s="3" t="str">
        <f t="shared" si="45"/>
        <v/>
      </c>
      <c r="BB14" s="3" t="str">
        <f t="shared" si="46"/>
        <v/>
      </c>
      <c r="BC14" s="3" t="str">
        <f t="shared" si="47"/>
        <v/>
      </c>
      <c r="BD14" s="3" t="str">
        <f>IF(AND(N14&gt;O14,B13=B14,J13+SUM(P13:BC13)&lt;J14+SUM(P14:BC14)),"",IF(I14&gt;1,VLOOKUP(B14,PROGRAMACION1,48,0),IF(AND(H13=H14,N13&gt;SUM(P13:BC13),BD13&gt;(O13/7)),"",IF(AND(BD13&lt;&gt;0,B13=B14,O14&gt;(SUM(P13:BC13))),"",(IF(N14&gt;O14+(SUM(P14:BC14)),O14,N14-(SUM($P14:BC14))))))))</f>
        <v/>
      </c>
      <c r="BE14" s="3" t="str">
        <f t="shared" si="48"/>
        <v/>
      </c>
      <c r="BF14" s="3" t="str">
        <f t="shared" si="49"/>
        <v/>
      </c>
      <c r="BG14" s="3">
        <f t="shared" si="50"/>
        <v>1800</v>
      </c>
      <c r="BH14" s="3" t="str">
        <f t="shared" si="51"/>
        <v/>
      </c>
      <c r="BI14" s="3" t="str">
        <f t="shared" si="52"/>
        <v/>
      </c>
      <c r="BJ14" s="3" t="str">
        <f t="shared" si="53"/>
        <v/>
      </c>
      <c r="BK14" s="3">
        <f t="shared" si="54"/>
        <v>1800</v>
      </c>
      <c r="BL14" s="3" t="str">
        <f t="shared" si="55"/>
        <v/>
      </c>
      <c r="BM14" s="3" t="str">
        <f t="shared" si="56"/>
        <v/>
      </c>
      <c r="BN14" s="3" t="str">
        <f t="shared" si="57"/>
        <v/>
      </c>
      <c r="BO14" s="3">
        <f t="shared" si="58"/>
        <v>1450</v>
      </c>
      <c r="BP14" s="3" t="str">
        <f t="shared" si="59"/>
        <v/>
      </c>
      <c r="BQ14" s="3" t="str">
        <f t="shared" si="60"/>
        <v/>
      </c>
      <c r="BR14" s="3" t="str">
        <f t="shared" si="61"/>
        <v/>
      </c>
      <c r="BS14" s="3" t="str">
        <f t="shared" si="62"/>
        <v/>
      </c>
      <c r="BT14" s="3" t="str">
        <f t="shared" si="63"/>
        <v/>
      </c>
      <c r="BU14" s="3" t="str">
        <f t="shared" si="64"/>
        <v/>
      </c>
      <c r="BV14" s="3" t="str">
        <f t="shared" si="65"/>
        <v/>
      </c>
      <c r="BW14" s="3" t="str">
        <f t="shared" si="66"/>
        <v/>
      </c>
      <c r="BX14" s="3" t="str">
        <f t="shared" si="67"/>
        <v/>
      </c>
      <c r="BY14" s="3" t="str">
        <f t="shared" si="68"/>
        <v/>
      </c>
      <c r="BZ14" s="3" t="str">
        <f t="shared" si="69"/>
        <v/>
      </c>
      <c r="CA14" s="3" t="str">
        <f>IF(AND(N14&gt;O14,B13=B14,J13+SUM($P13:BZ13)&lt;J14+SUM(P14:BZ14)),"",IF(I14&gt;1,VLOOKUP(B14,PROGRAMACION1,71,0),IF(AND(H13=H14,N13&gt;SUM(P13:BZ13),CA13&gt;(O13/7)),"",IF(AND(CA13&lt;&gt;0,B13=B14,O14&gt;(SUM(P13:BZ13))),"",(IF(N14&gt;O14+(SUM(P14:BZ14)),O14,N14-(SUM(P14:BZ14))))))))</f>
        <v/>
      </c>
      <c r="CB14" s="3" t="str">
        <f t="shared" si="70"/>
        <v/>
      </c>
      <c r="CC14" s="3" t="str">
        <f t="shared" si="71"/>
        <v/>
      </c>
      <c r="CD14" s="3" t="str">
        <f t="shared" si="72"/>
        <v/>
      </c>
      <c r="CE14" s="3" t="str">
        <f t="shared" si="73"/>
        <v/>
      </c>
      <c r="CF14" s="3" t="str">
        <f t="shared" si="74"/>
        <v/>
      </c>
      <c r="CG14" s="3" t="str">
        <f t="shared" si="75"/>
        <v/>
      </c>
      <c r="CH14" s="3" t="str">
        <f t="shared" si="76"/>
        <v/>
      </c>
      <c r="CI14" s="3" t="str">
        <f t="shared" si="77"/>
        <v/>
      </c>
      <c r="CJ14" s="3" t="str">
        <f t="shared" si="78"/>
        <v/>
      </c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</row>
    <row r="15" spans="1:253" x14ac:dyDescent="0.25">
      <c r="A15" s="81">
        <v>8</v>
      </c>
      <c r="B15">
        <f>IF(A15&gt;0,FABRICAR!F9,NA())</f>
        <v>36542</v>
      </c>
      <c r="C15" t="str">
        <f>IF(A15&gt;0,FABRICAR!G9,NA())</f>
        <v>Perno Ojo 5/8x9x5H</v>
      </c>
      <c r="D15" s="1" t="str">
        <f t="shared" si="6"/>
        <v>365420</v>
      </c>
      <c r="E15">
        <f>IF(A15&gt;0,FABRICAR!P9,"")</f>
        <v>0</v>
      </c>
      <c r="F15" t="str">
        <f t="shared" si="7"/>
        <v/>
      </c>
      <c r="G15">
        <v>447</v>
      </c>
      <c r="H15" t="str">
        <f>IF(B15=0,B15,IF(A15&gt;0,FABRICAR!H9,NA()))</f>
        <v>PRENSA EX - 15</v>
      </c>
      <c r="I15">
        <f>IF(B15=0,B15,IF(A15&gt;0,FABRICAR!B9,NA()))</f>
        <v>0</v>
      </c>
      <c r="J15" s="75">
        <f>IF(B15=0,B15,'PROGRAM SALDO '!J11)</f>
        <v>1450</v>
      </c>
      <c r="K15" s="82">
        <v>607</v>
      </c>
      <c r="L15" t="str">
        <f>IF(A15&gt;0,FABRICAR!J9,NA())</f>
        <v>REBABA INT</v>
      </c>
      <c r="M15" s="9">
        <f t="shared" si="8"/>
        <v>0.58699999999999997</v>
      </c>
      <c r="N15">
        <f>IF(A15&gt;0,FABRICAR!L9,NA())</f>
        <v>5050</v>
      </c>
      <c r="O15">
        <f>IF(B15=0,B15,IF(A15&gt;0,FABRICAR!M9,"")*9)</f>
        <v>1800</v>
      </c>
      <c r="P15" t="str">
        <f t="shared" si="9"/>
        <v/>
      </c>
      <c r="Q15" s="3" t="str">
        <f t="shared" si="10"/>
        <v/>
      </c>
      <c r="R15" s="3" t="str">
        <f t="shared" si="79"/>
        <v/>
      </c>
      <c r="S15" s="3" t="str">
        <f t="shared" si="80"/>
        <v/>
      </c>
      <c r="T15" s="3" t="str">
        <f t="shared" si="81"/>
        <v/>
      </c>
      <c r="U15" s="3" t="str">
        <f t="shared" si="82"/>
        <v/>
      </c>
      <c r="V15" s="3" t="str">
        <f t="shared" si="83"/>
        <v/>
      </c>
      <c r="W15" s="3" t="str">
        <f t="shared" si="84"/>
        <v/>
      </c>
      <c r="X15" s="3" t="str">
        <f t="shared" si="85"/>
        <v/>
      </c>
      <c r="Y15" s="3" t="str">
        <f t="shared" si="86"/>
        <v/>
      </c>
      <c r="Z15" s="3" t="str">
        <f t="shared" si="87"/>
        <v/>
      </c>
      <c r="AA15" s="3" t="str">
        <f t="shared" si="88"/>
        <v/>
      </c>
      <c r="AB15" s="3" t="str">
        <f t="shared" si="89"/>
        <v/>
      </c>
      <c r="AC15" s="3" t="str">
        <f t="shared" si="90"/>
        <v/>
      </c>
      <c r="AD15" s="3" t="str">
        <f t="shared" si="22"/>
        <v/>
      </c>
      <c r="AE15" s="3" t="str">
        <f t="shared" si="23"/>
        <v/>
      </c>
      <c r="AF15" s="3" t="str">
        <f t="shared" si="24"/>
        <v/>
      </c>
      <c r="AG15" s="3" t="str">
        <f t="shared" si="25"/>
        <v/>
      </c>
      <c r="AH15" s="3" t="str">
        <f t="shared" si="26"/>
        <v/>
      </c>
      <c r="AI15" s="3" t="str">
        <f t="shared" si="27"/>
        <v/>
      </c>
      <c r="AJ15" s="3" t="str">
        <f t="shared" si="28"/>
        <v/>
      </c>
      <c r="AK15" s="3" t="str">
        <f t="shared" si="29"/>
        <v/>
      </c>
      <c r="AL15" s="3" t="str">
        <f t="shared" si="30"/>
        <v/>
      </c>
      <c r="AM15" s="3" t="str">
        <f t="shared" si="31"/>
        <v/>
      </c>
      <c r="AN15" s="3" t="str">
        <f t="shared" si="32"/>
        <v/>
      </c>
      <c r="AO15" s="3" t="str">
        <f t="shared" si="33"/>
        <v/>
      </c>
      <c r="AP15" s="3" t="str">
        <f t="shared" si="34"/>
        <v/>
      </c>
      <c r="AQ15" s="3" t="str">
        <f t="shared" si="35"/>
        <v/>
      </c>
      <c r="AR15" s="3" t="str">
        <f t="shared" si="36"/>
        <v/>
      </c>
      <c r="AS15" s="3" t="str">
        <f t="shared" si="37"/>
        <v/>
      </c>
      <c r="AT15" s="3" t="str">
        <f t="shared" si="38"/>
        <v/>
      </c>
      <c r="AU15" s="3" t="str">
        <f t="shared" si="39"/>
        <v/>
      </c>
      <c r="AV15" s="3" t="str">
        <f t="shared" si="40"/>
        <v/>
      </c>
      <c r="AW15" s="3" t="str">
        <f t="shared" si="41"/>
        <v/>
      </c>
      <c r="AX15" s="3" t="str">
        <f t="shared" si="42"/>
        <v/>
      </c>
      <c r="AY15" s="3" t="str">
        <f t="shared" si="43"/>
        <v/>
      </c>
      <c r="AZ15" s="3" t="str">
        <f t="shared" si="44"/>
        <v/>
      </c>
      <c r="BA15" s="3" t="str">
        <f t="shared" si="45"/>
        <v/>
      </c>
      <c r="BB15" s="3" t="str">
        <f t="shared" si="46"/>
        <v/>
      </c>
      <c r="BC15" s="3" t="str">
        <f t="shared" si="47"/>
        <v/>
      </c>
      <c r="BD15" s="3" t="str">
        <f>IF(AND(N15&gt;O15,B14=B15,J14+SUM(P14:BC14)&lt;J15+SUM(P15:BC15)),"",IF(I15&gt;1,VLOOKUP(B15,PROGRAMACION1,48,0),IF(AND(H14=H15,N14&gt;SUM(P14:BC14),BD14&gt;(O14/7)),"",IF(AND(BD14&lt;&gt;0,B14=B15,O15&gt;(SUM(P14:BC14))),"",(IF(N15&gt;O15+(SUM(P15:BC15)),O15,N15-(SUM($P15:BC15))))))))</f>
        <v/>
      </c>
      <c r="BE15" s="3" t="str">
        <f t="shared" si="48"/>
        <v/>
      </c>
      <c r="BF15" s="3" t="str">
        <f t="shared" si="49"/>
        <v/>
      </c>
      <c r="BG15" s="3" t="str">
        <f t="shared" si="50"/>
        <v/>
      </c>
      <c r="BH15" s="3" t="str">
        <f t="shared" si="51"/>
        <v/>
      </c>
      <c r="BI15" s="3" t="str">
        <f t="shared" si="52"/>
        <v/>
      </c>
      <c r="BJ15" s="3" t="str">
        <f t="shared" si="53"/>
        <v/>
      </c>
      <c r="BK15" s="3" t="str">
        <f t="shared" si="54"/>
        <v/>
      </c>
      <c r="BL15" s="3" t="str">
        <f t="shared" si="55"/>
        <v/>
      </c>
      <c r="BM15" s="3" t="str">
        <f t="shared" si="56"/>
        <v/>
      </c>
      <c r="BN15" s="3" t="str">
        <f t="shared" si="57"/>
        <v/>
      </c>
      <c r="BO15" s="3" t="str">
        <f t="shared" si="58"/>
        <v/>
      </c>
      <c r="BP15" s="3">
        <f t="shared" si="59"/>
        <v>1800</v>
      </c>
      <c r="BQ15" s="3">
        <f t="shared" si="60"/>
        <v>1800</v>
      </c>
      <c r="BR15" s="3">
        <f t="shared" si="61"/>
        <v>1450</v>
      </c>
      <c r="BS15" s="3">
        <f t="shared" si="62"/>
        <v>0</v>
      </c>
      <c r="BT15" s="3">
        <f t="shared" si="63"/>
        <v>0</v>
      </c>
      <c r="BU15" s="3">
        <f t="shared" si="64"/>
        <v>0</v>
      </c>
      <c r="BV15" s="3">
        <f t="shared" si="65"/>
        <v>0</v>
      </c>
      <c r="BW15" s="3">
        <f t="shared" si="66"/>
        <v>0</v>
      </c>
      <c r="BX15" s="3">
        <f t="shared" si="67"/>
        <v>0</v>
      </c>
      <c r="BY15" s="3">
        <f t="shared" si="68"/>
        <v>0</v>
      </c>
      <c r="BZ15" s="3">
        <f t="shared" si="69"/>
        <v>0</v>
      </c>
      <c r="CA15" s="3">
        <f>IF(AND(N15&gt;O15,B14=B15,J14+SUM($P14:BZ14)&lt;J15+SUM(P15:BZ15)),"",IF(I15&gt;1,VLOOKUP(B15,PROGRAMACION1,71,0),IF(AND(H14=H15,N14&gt;SUM(P14:BZ14),CA14&gt;(O14/7)),"",IF(AND(CA14&lt;&gt;0,B14=B15,O15&gt;(SUM(P14:BZ14))),"",(IF(N15&gt;O15+(SUM(P15:BZ15)),O15,N15-(SUM(P15:BZ15))))))))</f>
        <v>0</v>
      </c>
      <c r="CB15" s="3">
        <f t="shared" si="70"/>
        <v>0</v>
      </c>
      <c r="CC15" s="3">
        <f t="shared" si="71"/>
        <v>0</v>
      </c>
      <c r="CD15" s="3">
        <f t="shared" si="72"/>
        <v>0</v>
      </c>
      <c r="CE15" s="3">
        <f t="shared" si="73"/>
        <v>0</v>
      </c>
      <c r="CF15" s="3">
        <f t="shared" si="74"/>
        <v>0</v>
      </c>
      <c r="CG15" s="3">
        <f t="shared" si="75"/>
        <v>0</v>
      </c>
      <c r="CH15" s="3">
        <f t="shared" si="76"/>
        <v>0</v>
      </c>
      <c r="CI15" s="3">
        <f t="shared" si="77"/>
        <v>0</v>
      </c>
      <c r="CJ15" s="3">
        <f t="shared" si="78"/>
        <v>0</v>
      </c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</row>
    <row r="16" spans="1:253" x14ac:dyDescent="0.25">
      <c r="A16" s="81">
        <v>9</v>
      </c>
      <c r="B16">
        <f>IF(A16&gt;0,FABRICAR!F10,NA())</f>
        <v>36542</v>
      </c>
      <c r="C16" t="str">
        <f>IF(A16&gt;0,FABRICAR!G10,NA())</f>
        <v>Perno Ojo 5/8x9x5H</v>
      </c>
      <c r="D16" s="1" t="str">
        <f t="shared" si="6"/>
        <v>365420</v>
      </c>
      <c r="E16">
        <f>IF(A16&gt;0,FABRICAR!P10,"")</f>
        <v>0</v>
      </c>
      <c r="F16" t="str">
        <f t="shared" si="7"/>
        <v/>
      </c>
      <c r="G16">
        <v>448</v>
      </c>
      <c r="H16" t="str">
        <f>IF(B16=0,B16,IF(A16&gt;0,FABRICAR!H10,NA()))</f>
        <v>PRENSA EX - 14</v>
      </c>
      <c r="I16">
        <f>IF(B16=0,B16,IF(A16&gt;0,FABRICAR!B10,NA()))</f>
        <v>0</v>
      </c>
      <c r="J16" s="75">
        <f>IF(B16=0,B16,'PROGRAM SALDO '!J12)</f>
        <v>1450</v>
      </c>
      <c r="K16" s="82">
        <v>608</v>
      </c>
      <c r="L16" t="str">
        <f>IF(A16&gt;0,FABRICAR!J10,NA())</f>
        <v>ENDEREZAR</v>
      </c>
      <c r="M16" s="9">
        <f t="shared" si="8"/>
        <v>0.58699999999999997</v>
      </c>
      <c r="N16">
        <f>IF(A16&gt;0,FABRICAR!L10,NA())</f>
        <v>5050</v>
      </c>
      <c r="O16">
        <f>IF(B16=0,B16,IF(A16&gt;0,FABRICAR!M10,"")*9)</f>
        <v>1800</v>
      </c>
      <c r="P16" t="str">
        <f t="shared" si="9"/>
        <v/>
      </c>
      <c r="Q16" s="3" t="str">
        <f t="shared" si="10"/>
        <v/>
      </c>
      <c r="R16" s="3" t="str">
        <f t="shared" si="79"/>
        <v/>
      </c>
      <c r="S16" s="3" t="str">
        <f t="shared" si="80"/>
        <v/>
      </c>
      <c r="T16" s="3" t="str">
        <f t="shared" si="81"/>
        <v/>
      </c>
      <c r="U16" s="3" t="str">
        <f t="shared" si="82"/>
        <v/>
      </c>
      <c r="V16" s="3" t="str">
        <f t="shared" si="83"/>
        <v/>
      </c>
      <c r="W16" s="3" t="str">
        <f t="shared" si="84"/>
        <v/>
      </c>
      <c r="X16" s="3" t="str">
        <f t="shared" si="85"/>
        <v/>
      </c>
      <c r="Y16" s="3" t="str">
        <f t="shared" si="86"/>
        <v/>
      </c>
      <c r="Z16" s="3" t="str">
        <f t="shared" si="87"/>
        <v/>
      </c>
      <c r="AA16" s="3" t="str">
        <f t="shared" si="88"/>
        <v/>
      </c>
      <c r="AB16" s="3" t="str">
        <f t="shared" si="89"/>
        <v/>
      </c>
      <c r="AC16" s="3" t="str">
        <f t="shared" si="90"/>
        <v/>
      </c>
      <c r="AD16" s="3" t="str">
        <f t="shared" si="22"/>
        <v/>
      </c>
      <c r="AE16" s="3" t="str">
        <f t="shared" si="23"/>
        <v/>
      </c>
      <c r="AF16" s="3" t="str">
        <f t="shared" si="24"/>
        <v/>
      </c>
      <c r="AG16" s="3" t="str">
        <f t="shared" si="25"/>
        <v/>
      </c>
      <c r="AH16" s="3" t="str">
        <f t="shared" si="26"/>
        <v/>
      </c>
      <c r="AI16" s="3" t="str">
        <f t="shared" si="27"/>
        <v/>
      </c>
      <c r="AJ16" s="3" t="str">
        <f t="shared" si="28"/>
        <v/>
      </c>
      <c r="AK16" s="3" t="str">
        <f t="shared" si="29"/>
        <v/>
      </c>
      <c r="AL16" s="3" t="str">
        <f t="shared" si="30"/>
        <v/>
      </c>
      <c r="AM16" s="3" t="str">
        <f t="shared" si="31"/>
        <v/>
      </c>
      <c r="AN16" s="3" t="str">
        <f t="shared" si="32"/>
        <v/>
      </c>
      <c r="AO16" s="3" t="str">
        <f t="shared" si="33"/>
        <v/>
      </c>
      <c r="AP16" s="3" t="str">
        <f t="shared" si="34"/>
        <v/>
      </c>
      <c r="AQ16" s="3" t="str">
        <f t="shared" si="35"/>
        <v/>
      </c>
      <c r="AR16" s="3" t="str">
        <f t="shared" si="36"/>
        <v/>
      </c>
      <c r="AS16" s="3" t="str">
        <f t="shared" si="37"/>
        <v/>
      </c>
      <c r="AT16" s="3" t="str">
        <f t="shared" si="38"/>
        <v/>
      </c>
      <c r="AU16" s="3" t="str">
        <f t="shared" si="39"/>
        <v/>
      </c>
      <c r="AV16" s="3" t="str">
        <f t="shared" si="40"/>
        <v/>
      </c>
      <c r="AW16" s="3" t="str">
        <f t="shared" si="41"/>
        <v/>
      </c>
      <c r="AX16" s="3" t="str">
        <f t="shared" si="42"/>
        <v/>
      </c>
      <c r="AY16" s="3" t="str">
        <f t="shared" si="43"/>
        <v/>
      </c>
      <c r="AZ16" s="3" t="str">
        <f t="shared" si="44"/>
        <v/>
      </c>
      <c r="BA16" s="3" t="str">
        <f t="shared" si="45"/>
        <v/>
      </c>
      <c r="BB16" s="3" t="str">
        <f t="shared" si="46"/>
        <v/>
      </c>
      <c r="BC16" s="3" t="str">
        <f t="shared" si="47"/>
        <v/>
      </c>
      <c r="BD16" s="3" t="str">
        <f>IF(AND(N16&gt;O16,B15=B16,J15+SUM(P15:BC15)&lt;J16+SUM(P16:BC16)),"",IF(I16&gt;1,VLOOKUP(B16,PROGRAMACION1,48,0),IF(AND(H15=H16,N15&gt;SUM(P15:BC15),BD15&gt;(O15/7)),"",IF(AND(BD15&lt;&gt;0,B15=B16,O16&gt;(SUM(P15:BC15))),"",(IF(N16&gt;O16+(SUM(P16:BC16)),O16,N16-(SUM($P16:BC16))))))))</f>
        <v/>
      </c>
      <c r="BE16" s="3" t="str">
        <f t="shared" si="48"/>
        <v/>
      </c>
      <c r="BF16" s="3" t="str">
        <f t="shared" si="49"/>
        <v/>
      </c>
      <c r="BG16" s="3" t="str">
        <f t="shared" si="50"/>
        <v/>
      </c>
      <c r="BH16" s="3" t="str">
        <f t="shared" si="51"/>
        <v/>
      </c>
      <c r="BI16" s="3" t="str">
        <f t="shared" si="52"/>
        <v/>
      </c>
      <c r="BJ16" s="3" t="str">
        <f t="shared" si="53"/>
        <v/>
      </c>
      <c r="BK16" s="3" t="str">
        <f t="shared" si="54"/>
        <v/>
      </c>
      <c r="BL16" s="3" t="str">
        <f t="shared" si="55"/>
        <v/>
      </c>
      <c r="BM16" s="3" t="str">
        <f t="shared" si="56"/>
        <v/>
      </c>
      <c r="BN16" s="3" t="str">
        <f t="shared" si="57"/>
        <v/>
      </c>
      <c r="BO16" s="3" t="str">
        <f t="shared" si="58"/>
        <v/>
      </c>
      <c r="BP16" s="3" t="str">
        <f t="shared" si="59"/>
        <v/>
      </c>
      <c r="BQ16" s="3">
        <f t="shared" si="60"/>
        <v>1800</v>
      </c>
      <c r="BR16" s="3">
        <f t="shared" si="61"/>
        <v>1800</v>
      </c>
      <c r="BS16" s="3">
        <f t="shared" si="62"/>
        <v>1450</v>
      </c>
      <c r="BT16" s="3">
        <f t="shared" si="63"/>
        <v>0</v>
      </c>
      <c r="BU16" s="3">
        <f t="shared" si="64"/>
        <v>0</v>
      </c>
      <c r="BV16" s="3">
        <f t="shared" si="65"/>
        <v>0</v>
      </c>
      <c r="BW16" s="3">
        <f t="shared" si="66"/>
        <v>0</v>
      </c>
      <c r="BX16" s="3">
        <f t="shared" si="67"/>
        <v>0</v>
      </c>
      <c r="BY16" s="3">
        <f t="shared" si="68"/>
        <v>0</v>
      </c>
      <c r="BZ16" s="3">
        <f t="shared" si="69"/>
        <v>0</v>
      </c>
      <c r="CA16" s="3">
        <f>IF(AND(N16&gt;O16,B15=B16,J15+SUM($P15:BZ15)&lt;J16+SUM(P16:BZ16)),"",IF(I16&gt;1,VLOOKUP(B16,PROGRAMACION1,71,0),IF(AND(H15=H16,N15&gt;SUM(P15:BZ15),CA15&gt;(O15/7)),"",IF(AND(CA15&lt;&gt;0,B15=B16,O16&gt;(SUM(P15:BZ15))),"",(IF(N16&gt;O16+(SUM(P16:BZ16)),O16,N16-(SUM(P16:BZ16))))))))</f>
        <v>0</v>
      </c>
      <c r="CB16" s="3">
        <f t="shared" si="70"/>
        <v>0</v>
      </c>
      <c r="CC16" s="3">
        <f t="shared" si="71"/>
        <v>0</v>
      </c>
      <c r="CD16" s="3">
        <f t="shared" si="72"/>
        <v>0</v>
      </c>
      <c r="CE16" s="3">
        <f t="shared" si="73"/>
        <v>0</v>
      </c>
      <c r="CF16" s="3">
        <f t="shared" si="74"/>
        <v>0</v>
      </c>
      <c r="CG16" s="3">
        <f t="shared" si="75"/>
        <v>0</v>
      </c>
      <c r="CH16" s="3">
        <f t="shared" si="76"/>
        <v>0</v>
      </c>
      <c r="CI16" s="3">
        <f t="shared" si="77"/>
        <v>0</v>
      </c>
      <c r="CJ16" s="3">
        <f t="shared" si="78"/>
        <v>0</v>
      </c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</row>
    <row r="17" spans="1:253" x14ac:dyDescent="0.25">
      <c r="A17" s="81">
        <v>10</v>
      </c>
      <c r="B17">
        <f>IF(A17&gt;0,FABRICAR!F11,NA())</f>
        <v>36542</v>
      </c>
      <c r="C17" t="str">
        <f>IF(A17&gt;0,FABRICAR!G11,NA())</f>
        <v>Perno Ojo 5/8x9x5H</v>
      </c>
      <c r="D17" s="1" t="str">
        <f t="shared" si="6"/>
        <v>365420</v>
      </c>
      <c r="E17">
        <f>IF(A17&gt;0,FABRICAR!P11,"")</f>
        <v>0</v>
      </c>
      <c r="F17" t="str">
        <f t="shared" si="7"/>
        <v/>
      </c>
      <c r="G17">
        <v>449</v>
      </c>
      <c r="H17" t="str">
        <f>IF(B17=0,B17,IF(A17&gt;0,FABRICAR!H11,NA()))</f>
        <v>PUNT PER</v>
      </c>
      <c r="I17">
        <f>IF(B17=0,B17,IF(A17&gt;0,FABRICAR!B11,NA()))</f>
        <v>0</v>
      </c>
      <c r="J17" s="75">
        <f>IF(B17=0,B17,'PROGRAM SALDO '!J13)</f>
        <v>325</v>
      </c>
      <c r="K17" s="82">
        <v>609</v>
      </c>
      <c r="L17" t="str">
        <f>IF(A17&gt;0,FABRICAR!J11,NA())</f>
        <v>PUNTEAR</v>
      </c>
      <c r="M17" s="9">
        <f t="shared" si="8"/>
        <v>0.58699999999999997</v>
      </c>
      <c r="N17">
        <f>IF(A17&gt;0,FABRICAR!L11,NA())</f>
        <v>5050</v>
      </c>
      <c r="O17">
        <f>IF(B17=0,B17,IF(A17&gt;0,FABRICAR!M11,"")*9)</f>
        <v>675</v>
      </c>
      <c r="P17" t="str">
        <f t="shared" si="9"/>
        <v/>
      </c>
      <c r="Q17" s="3" t="str">
        <f t="shared" si="10"/>
        <v/>
      </c>
      <c r="R17" s="3" t="str">
        <f t="shared" si="79"/>
        <v/>
      </c>
      <c r="S17" s="3" t="str">
        <f t="shared" si="80"/>
        <v/>
      </c>
      <c r="T17" s="3" t="str">
        <f t="shared" si="81"/>
        <v/>
      </c>
      <c r="U17" s="3" t="str">
        <f t="shared" si="82"/>
        <v/>
      </c>
      <c r="V17" s="3" t="str">
        <f t="shared" si="83"/>
        <v/>
      </c>
      <c r="W17" s="3" t="str">
        <f t="shared" si="84"/>
        <v/>
      </c>
      <c r="X17" s="3" t="str">
        <f t="shared" si="85"/>
        <v/>
      </c>
      <c r="Y17" s="3" t="str">
        <f t="shared" si="86"/>
        <v/>
      </c>
      <c r="Z17" s="3" t="str">
        <f t="shared" si="87"/>
        <v/>
      </c>
      <c r="AA17" s="3" t="str">
        <f t="shared" si="88"/>
        <v/>
      </c>
      <c r="AB17" s="3" t="str">
        <f t="shared" si="89"/>
        <v/>
      </c>
      <c r="AC17" s="3" t="str">
        <f t="shared" si="90"/>
        <v/>
      </c>
      <c r="AD17" s="3" t="str">
        <f t="shared" si="22"/>
        <v/>
      </c>
      <c r="AE17" s="3" t="str">
        <f t="shared" si="23"/>
        <v/>
      </c>
      <c r="AF17" s="3" t="str">
        <f t="shared" si="24"/>
        <v/>
      </c>
      <c r="AG17" s="3" t="str">
        <f t="shared" si="25"/>
        <v/>
      </c>
      <c r="AH17" s="3" t="str">
        <f t="shared" si="26"/>
        <v/>
      </c>
      <c r="AI17" s="3" t="str">
        <f t="shared" si="27"/>
        <v/>
      </c>
      <c r="AJ17" s="3" t="str">
        <f t="shared" si="28"/>
        <v/>
      </c>
      <c r="AK17" s="3" t="str">
        <f t="shared" si="29"/>
        <v/>
      </c>
      <c r="AL17" s="3" t="str">
        <f t="shared" si="30"/>
        <v/>
      </c>
      <c r="AM17" s="3" t="str">
        <f t="shared" si="31"/>
        <v/>
      </c>
      <c r="AN17" s="3" t="str">
        <f t="shared" si="32"/>
        <v/>
      </c>
      <c r="AO17" s="3" t="str">
        <f t="shared" si="33"/>
        <v/>
      </c>
      <c r="AP17" s="3" t="str">
        <f t="shared" si="34"/>
        <v/>
      </c>
      <c r="AQ17" s="3" t="str">
        <f t="shared" si="35"/>
        <v/>
      </c>
      <c r="AR17" s="3" t="str">
        <f t="shared" si="36"/>
        <v/>
      </c>
      <c r="AS17" s="3" t="str">
        <f t="shared" si="37"/>
        <v/>
      </c>
      <c r="AT17" s="3" t="str">
        <f t="shared" si="38"/>
        <v/>
      </c>
      <c r="AU17" s="3" t="str">
        <f t="shared" si="39"/>
        <v/>
      </c>
      <c r="AV17" s="3" t="str">
        <f t="shared" si="40"/>
        <v/>
      </c>
      <c r="AW17" s="3" t="str">
        <f t="shared" si="41"/>
        <v/>
      </c>
      <c r="AX17" s="3" t="str">
        <f t="shared" si="42"/>
        <v/>
      </c>
      <c r="AY17" s="3" t="str">
        <f t="shared" si="43"/>
        <v/>
      </c>
      <c r="AZ17" s="3" t="str">
        <f t="shared" si="44"/>
        <v/>
      </c>
      <c r="BA17" s="3" t="str">
        <f t="shared" si="45"/>
        <v/>
      </c>
      <c r="BB17" s="3" t="str">
        <f t="shared" si="46"/>
        <v/>
      </c>
      <c r="BC17" s="3" t="str">
        <f t="shared" si="47"/>
        <v/>
      </c>
      <c r="BD17" s="3" t="str">
        <f>IF(AND(N17&gt;O17,B16=B17,J16+SUM(P16:BC16)&lt;J17+SUM(P17:BC17)),"",IF(I17&gt;1,VLOOKUP(B17,PROGRAMACION1,48,0),IF(AND(H16=H17,N16&gt;SUM(P16:BC16),BD16&gt;(O16/7)),"",IF(AND(BD16&lt;&gt;0,B16=B17,O17&gt;(SUM(P16:BC16))),"",(IF(N17&gt;O17+(SUM(P17:BC17)),O17,N17-(SUM($P17:BC17))))))))</f>
        <v/>
      </c>
      <c r="BE17" s="3" t="str">
        <f t="shared" si="48"/>
        <v/>
      </c>
      <c r="BF17" s="3" t="str">
        <f t="shared" si="49"/>
        <v/>
      </c>
      <c r="BG17" s="3" t="str">
        <f t="shared" si="50"/>
        <v/>
      </c>
      <c r="BH17" s="3" t="str">
        <f t="shared" si="51"/>
        <v/>
      </c>
      <c r="BI17" s="3" t="str">
        <f t="shared" si="52"/>
        <v/>
      </c>
      <c r="BJ17" s="3" t="str">
        <f t="shared" si="53"/>
        <v/>
      </c>
      <c r="BK17" s="3" t="str">
        <f t="shared" si="54"/>
        <v/>
      </c>
      <c r="BL17" s="3" t="str">
        <f t="shared" si="55"/>
        <v/>
      </c>
      <c r="BM17" s="3" t="str">
        <f t="shared" si="56"/>
        <v/>
      </c>
      <c r="BN17" s="3" t="str">
        <f t="shared" si="57"/>
        <v/>
      </c>
      <c r="BO17" s="3" t="str">
        <f t="shared" si="58"/>
        <v/>
      </c>
      <c r="BP17" s="3" t="str">
        <f t="shared" si="59"/>
        <v/>
      </c>
      <c r="BQ17" s="3" t="str">
        <f t="shared" si="60"/>
        <v/>
      </c>
      <c r="BR17" s="3">
        <f t="shared" si="61"/>
        <v>675</v>
      </c>
      <c r="BS17" s="3">
        <f t="shared" si="62"/>
        <v>675</v>
      </c>
      <c r="BT17" s="3">
        <f t="shared" si="63"/>
        <v>675</v>
      </c>
      <c r="BU17" s="3">
        <f t="shared" si="64"/>
        <v>675</v>
      </c>
      <c r="BV17" s="3">
        <f t="shared" si="65"/>
        <v>675</v>
      </c>
      <c r="BW17" s="3">
        <f t="shared" si="66"/>
        <v>675</v>
      </c>
      <c r="BX17" s="3">
        <f t="shared" si="67"/>
        <v>675</v>
      </c>
      <c r="BY17" s="3">
        <f t="shared" si="68"/>
        <v>325</v>
      </c>
      <c r="BZ17" s="3">
        <f t="shared" si="69"/>
        <v>0</v>
      </c>
      <c r="CA17" s="3">
        <f>IF(AND(N17&gt;O17,B16=B17,J16+SUM($P16:BZ16)&lt;J17+SUM(P17:BZ17)),"",IF(I17&gt;1,VLOOKUP(B17,PROGRAMACION1,71,0),IF(AND(H16=H17,N16&gt;SUM(P16:BZ16),CA16&gt;(O16/7)),"",IF(AND(CA16&lt;&gt;0,B16=B17,O17&gt;(SUM(P16:BZ16))),"",(IF(N17&gt;O17+(SUM(P17:BZ17)),O17,N17-(SUM(P17:BZ17))))))))</f>
        <v>0</v>
      </c>
      <c r="CB17" s="3">
        <f t="shared" si="70"/>
        <v>0</v>
      </c>
      <c r="CC17" s="3">
        <f t="shared" si="71"/>
        <v>0</v>
      </c>
      <c r="CD17" s="3">
        <f t="shared" si="72"/>
        <v>0</v>
      </c>
      <c r="CE17" s="3">
        <f t="shared" si="73"/>
        <v>0</v>
      </c>
      <c r="CF17" s="3">
        <f t="shared" si="74"/>
        <v>0</v>
      </c>
      <c r="CG17" s="3">
        <f t="shared" si="75"/>
        <v>0</v>
      </c>
      <c r="CH17" s="3">
        <f t="shared" si="76"/>
        <v>0</v>
      </c>
      <c r="CI17" s="3">
        <f t="shared" si="77"/>
        <v>0</v>
      </c>
      <c r="CJ17" s="3">
        <f t="shared" si="78"/>
        <v>0</v>
      </c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</row>
    <row r="18" spans="1:253" x14ac:dyDescent="0.25">
      <c r="A18" s="81">
        <v>11</v>
      </c>
      <c r="B18">
        <f>IF(A18&gt;0,FABRICAR!F12,NA())</f>
        <v>36542</v>
      </c>
      <c r="C18" t="str">
        <f>IF(A18&gt;0,FABRICAR!G12,NA())</f>
        <v>Perno Ojo 5/8x9x5H</v>
      </c>
      <c r="D18" s="1" t="str">
        <f t="shared" si="6"/>
        <v>36542T</v>
      </c>
      <c r="E18" t="str">
        <f>IF(A18&gt;0,FABRICAR!P12,"")</f>
        <v>T</v>
      </c>
      <c r="F18">
        <f t="shared" si="7"/>
        <v>0.58699999999999997</v>
      </c>
      <c r="G18">
        <v>450</v>
      </c>
      <c r="H18" t="str">
        <f>IF(B18=0,B18,IF(A18&gt;0,FABRICAR!H12,NA()))</f>
        <v>TERR PER - 03</v>
      </c>
      <c r="I18">
        <f>IF(B18=0,B18,IF(A18&gt;0,FABRICAR!B12,NA()))</f>
        <v>0</v>
      </c>
      <c r="J18" s="75">
        <f>IF(B18=0,B18,'PROGRAM SALDO '!J14)</f>
        <v>190</v>
      </c>
      <c r="K18" s="82">
        <v>610</v>
      </c>
      <c r="L18" t="str">
        <f>IF(A18&gt;0,FABRICAR!J12,NA())</f>
        <v>TERRAJAR</v>
      </c>
      <c r="M18" s="9">
        <f t="shared" si="8"/>
        <v>0.58699999999999997</v>
      </c>
      <c r="N18">
        <f>IF(A18&gt;0,FABRICAR!L12,NA())</f>
        <v>5050</v>
      </c>
      <c r="O18">
        <f>IF(B18=0,B18,IF(A18&gt;0,FABRICAR!M12,"")*9)</f>
        <v>540</v>
      </c>
      <c r="P18" t="str">
        <f t="shared" si="9"/>
        <v/>
      </c>
      <c r="Q18" s="3" t="str">
        <f t="shared" si="10"/>
        <v/>
      </c>
      <c r="R18" s="3" t="str">
        <f t="shared" si="79"/>
        <v/>
      </c>
      <c r="S18" s="3" t="str">
        <f t="shared" si="80"/>
        <v/>
      </c>
      <c r="T18" s="3" t="str">
        <f t="shared" si="81"/>
        <v/>
      </c>
      <c r="U18" s="3" t="str">
        <f t="shared" si="82"/>
        <v/>
      </c>
      <c r="V18" s="3" t="str">
        <f t="shared" si="83"/>
        <v/>
      </c>
      <c r="W18" s="3" t="str">
        <f t="shared" si="84"/>
        <v/>
      </c>
      <c r="X18" s="3" t="str">
        <f t="shared" si="85"/>
        <v/>
      </c>
      <c r="Y18" s="3" t="str">
        <f t="shared" si="86"/>
        <v/>
      </c>
      <c r="Z18" s="3" t="str">
        <f t="shared" si="87"/>
        <v/>
      </c>
      <c r="AA18" s="3" t="str">
        <f t="shared" si="88"/>
        <v/>
      </c>
      <c r="AB18" s="3" t="str">
        <f t="shared" si="89"/>
        <v/>
      </c>
      <c r="AC18" s="3" t="str">
        <f t="shared" si="90"/>
        <v/>
      </c>
      <c r="AD18" s="3" t="str">
        <f t="shared" si="22"/>
        <v/>
      </c>
      <c r="AE18" s="3" t="str">
        <f t="shared" si="23"/>
        <v/>
      </c>
      <c r="AF18" s="3" t="str">
        <f t="shared" si="24"/>
        <v/>
      </c>
      <c r="AG18" s="3" t="str">
        <f t="shared" si="25"/>
        <v/>
      </c>
      <c r="AH18" s="3" t="str">
        <f t="shared" si="26"/>
        <v/>
      </c>
      <c r="AI18" s="3" t="str">
        <f t="shared" si="27"/>
        <v/>
      </c>
      <c r="AJ18" s="3" t="str">
        <f t="shared" si="28"/>
        <v/>
      </c>
      <c r="AK18" s="3" t="str">
        <f t="shared" si="29"/>
        <v/>
      </c>
      <c r="AL18" s="3" t="str">
        <f t="shared" si="30"/>
        <v/>
      </c>
      <c r="AM18" s="3" t="str">
        <f t="shared" si="31"/>
        <v/>
      </c>
      <c r="AN18" s="3" t="str">
        <f t="shared" si="32"/>
        <v/>
      </c>
      <c r="AO18" s="3" t="str">
        <f t="shared" si="33"/>
        <v/>
      </c>
      <c r="AP18" s="3" t="str">
        <f t="shared" si="34"/>
        <v/>
      </c>
      <c r="AQ18" s="3" t="str">
        <f t="shared" si="35"/>
        <v/>
      </c>
      <c r="AR18" s="3" t="str">
        <f t="shared" si="36"/>
        <v/>
      </c>
      <c r="AS18" s="3" t="str">
        <f t="shared" si="37"/>
        <v/>
      </c>
      <c r="AT18" s="3" t="str">
        <f t="shared" si="38"/>
        <v/>
      </c>
      <c r="AU18" s="3" t="str">
        <f t="shared" si="39"/>
        <v/>
      </c>
      <c r="AV18" s="3" t="str">
        <f t="shared" si="40"/>
        <v/>
      </c>
      <c r="AW18" s="3" t="str">
        <f t="shared" si="41"/>
        <v/>
      </c>
      <c r="AX18" s="3" t="str">
        <f t="shared" si="42"/>
        <v/>
      </c>
      <c r="AY18" s="3" t="str">
        <f t="shared" si="43"/>
        <v/>
      </c>
      <c r="AZ18" s="3" t="str">
        <f t="shared" si="44"/>
        <v/>
      </c>
      <c r="BA18" s="3" t="str">
        <f t="shared" si="45"/>
        <v/>
      </c>
      <c r="BB18" s="3" t="str">
        <f t="shared" si="46"/>
        <v/>
      </c>
      <c r="BC18" s="3" t="str">
        <f t="shared" si="47"/>
        <v/>
      </c>
      <c r="BD18" s="3" t="str">
        <f>IF(AND(N18&gt;O18,B17=B18,J17+SUM(P17:BC17)&lt;J18+SUM(P18:BC18)),"",IF(I18&gt;1,VLOOKUP(B18,PROGRAMACION1,48,0),IF(AND(H17=H18,N17&gt;SUM(P17:BC17),BD17&gt;(O17/7)),"",IF(AND(BD17&lt;&gt;0,B17=B18,O18&gt;(SUM(P17:BC17))),"",(IF(N18&gt;O18+(SUM(P18:BC18)),O18,N18-(SUM($P18:BC18))))))))</f>
        <v/>
      </c>
      <c r="BE18" s="3" t="str">
        <f t="shared" si="48"/>
        <v/>
      </c>
      <c r="BF18" s="3" t="str">
        <f t="shared" si="49"/>
        <v/>
      </c>
      <c r="BG18" s="3" t="str">
        <f t="shared" si="50"/>
        <v/>
      </c>
      <c r="BH18" s="3" t="str">
        <f t="shared" si="51"/>
        <v/>
      </c>
      <c r="BI18" s="3" t="str">
        <f t="shared" si="52"/>
        <v/>
      </c>
      <c r="BJ18" s="3" t="str">
        <f t="shared" si="53"/>
        <v/>
      </c>
      <c r="BK18" s="3" t="str">
        <f t="shared" si="54"/>
        <v/>
      </c>
      <c r="BL18" s="3" t="str">
        <f t="shared" si="55"/>
        <v/>
      </c>
      <c r="BM18" s="3" t="str">
        <f t="shared" si="56"/>
        <v/>
      </c>
      <c r="BN18" s="3" t="str">
        <f t="shared" si="57"/>
        <v/>
      </c>
      <c r="BO18" s="3" t="str">
        <f t="shared" si="58"/>
        <v/>
      </c>
      <c r="BP18" s="3" t="str">
        <f t="shared" si="59"/>
        <v/>
      </c>
      <c r="BQ18" s="3" t="str">
        <f t="shared" si="60"/>
        <v/>
      </c>
      <c r="BR18" s="3" t="str">
        <f t="shared" si="61"/>
        <v/>
      </c>
      <c r="BS18" s="3">
        <f t="shared" si="62"/>
        <v>540</v>
      </c>
      <c r="BT18" s="3">
        <f t="shared" si="63"/>
        <v>540</v>
      </c>
      <c r="BU18" s="3">
        <f t="shared" si="64"/>
        <v>540</v>
      </c>
      <c r="BV18" s="3">
        <f t="shared" si="65"/>
        <v>540</v>
      </c>
      <c r="BW18" s="3">
        <f t="shared" si="66"/>
        <v>540</v>
      </c>
      <c r="BX18" s="3">
        <f t="shared" si="67"/>
        <v>540</v>
      </c>
      <c r="BY18" s="3">
        <f t="shared" si="68"/>
        <v>540</v>
      </c>
      <c r="BZ18" s="3">
        <f t="shared" si="69"/>
        <v>540</v>
      </c>
      <c r="CA18" s="3">
        <f>IF(AND(N18&gt;O18,B17=B18,J17+SUM($P17:BZ17)&lt;J18+SUM(P18:BZ18)),"",IF(I18&gt;1,VLOOKUP(B18,PROGRAMACION1,71,0),IF(AND(H17=H18,N17&gt;SUM(P17:BZ17),CA17&gt;(O17/7)),"",IF(AND(CA17&lt;&gt;0,B17=B18,O18&gt;(SUM(P17:BZ17))),"",(IF(N18&gt;O18+(SUM(P18:BZ18)),O18,N18-(SUM(P18:BZ18))))))))</f>
        <v>540</v>
      </c>
      <c r="CB18" s="3">
        <f t="shared" si="70"/>
        <v>190</v>
      </c>
      <c r="CC18" s="3">
        <f t="shared" si="71"/>
        <v>0</v>
      </c>
      <c r="CD18" s="3">
        <f t="shared" si="72"/>
        <v>0</v>
      </c>
      <c r="CE18" s="3">
        <f t="shared" si="73"/>
        <v>0</v>
      </c>
      <c r="CF18" s="3">
        <f t="shared" si="74"/>
        <v>0</v>
      </c>
      <c r="CG18" s="3">
        <f t="shared" si="75"/>
        <v>0</v>
      </c>
      <c r="CH18" s="3">
        <f t="shared" si="76"/>
        <v>0</v>
      </c>
      <c r="CI18" s="3">
        <f t="shared" si="77"/>
        <v>0</v>
      </c>
      <c r="CJ18" s="3">
        <f t="shared" si="78"/>
        <v>0</v>
      </c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</row>
    <row r="19" spans="1:253" x14ac:dyDescent="0.25">
      <c r="A19" s="81">
        <v>12</v>
      </c>
      <c r="B19">
        <f>IF(A19&gt;0,FABRICAR!F13,NA())</f>
        <v>38562</v>
      </c>
      <c r="C19" t="str">
        <f>IF(A19&gt;0,FABRICAR!G13,NA())</f>
        <v>Perno Ojo 5/8x9x5H</v>
      </c>
      <c r="D19" s="1" t="str">
        <f t="shared" si="6"/>
        <v>385620</v>
      </c>
      <c r="E19">
        <f>IF(A19&gt;0,FABRICAR!P13,"")</f>
        <v>0</v>
      </c>
      <c r="F19" t="str">
        <f t="shared" si="7"/>
        <v/>
      </c>
      <c r="G19">
        <v>451</v>
      </c>
      <c r="H19" t="str">
        <f>IF(B19=0,B19,IF(A19&gt;0,FABRICAR!H13,NA()))</f>
        <v>PRENSA FR - 01</v>
      </c>
      <c r="I19">
        <f>IF(B19=0,B19,IF(A19&gt;0,FABRICAR!B13,NA()))</f>
        <v>3</v>
      </c>
      <c r="J19" s="75">
        <f>IF(B19=0,B19,'PROGRAM SALDO '!J15)</f>
        <v>330</v>
      </c>
      <c r="K19" s="82">
        <v>611</v>
      </c>
      <c r="L19" t="str">
        <f>IF(A19&gt;0,FABRICAR!J13,NA())</f>
        <v>ESTAMPAR</v>
      </c>
      <c r="M19" s="9">
        <f t="shared" si="8"/>
        <v>0.58699999999999997</v>
      </c>
      <c r="N19">
        <f>IF(A19&gt;0,FABRICAR!L13,NA())</f>
        <v>4200</v>
      </c>
      <c r="O19">
        <f>IF(B19=0,B19,IF(A19&gt;0,FABRICAR!M13,"")*9)</f>
        <v>387</v>
      </c>
      <c r="P19" t="str">
        <f t="shared" si="9"/>
        <v/>
      </c>
      <c r="Q19" s="3" t="str">
        <f t="shared" si="10"/>
        <v/>
      </c>
      <c r="R19" s="3" t="str">
        <f t="shared" si="79"/>
        <v/>
      </c>
      <c r="S19" s="3" t="str">
        <f t="shared" si="80"/>
        <v/>
      </c>
      <c r="T19" s="3" t="str">
        <f t="shared" si="81"/>
        <v/>
      </c>
      <c r="U19" s="3" t="str">
        <f t="shared" si="82"/>
        <v/>
      </c>
      <c r="V19" s="3" t="str">
        <f t="shared" si="83"/>
        <v/>
      </c>
      <c r="W19" s="3" t="str">
        <f t="shared" si="84"/>
        <v/>
      </c>
      <c r="X19" s="3" t="str">
        <f t="shared" si="85"/>
        <v/>
      </c>
      <c r="Y19" s="3" t="str">
        <f t="shared" si="86"/>
        <v/>
      </c>
      <c r="Z19" s="3" t="str">
        <f t="shared" si="87"/>
        <v/>
      </c>
      <c r="AA19" s="3" t="str">
        <f t="shared" si="88"/>
        <v/>
      </c>
      <c r="AB19" s="3" t="str">
        <f t="shared" si="89"/>
        <v/>
      </c>
      <c r="AC19" s="3" t="str">
        <f t="shared" si="90"/>
        <v/>
      </c>
      <c r="AD19" s="3" t="str">
        <f t="shared" si="22"/>
        <v/>
      </c>
      <c r="AE19" s="3" t="str">
        <f t="shared" si="23"/>
        <v/>
      </c>
      <c r="AF19" s="3" t="str">
        <f t="shared" si="24"/>
        <v/>
      </c>
      <c r="AG19" s="3" t="str">
        <f t="shared" si="25"/>
        <v/>
      </c>
      <c r="AH19" s="3" t="str">
        <f t="shared" si="26"/>
        <v/>
      </c>
      <c r="AI19" s="3" t="str">
        <f t="shared" si="27"/>
        <v/>
      </c>
      <c r="AJ19" s="3" t="str">
        <f t="shared" si="28"/>
        <v/>
      </c>
      <c r="AK19" s="3" t="str">
        <f t="shared" si="29"/>
        <v/>
      </c>
      <c r="AL19" s="3" t="str">
        <f t="shared" si="30"/>
        <v/>
      </c>
      <c r="AM19" s="3" t="str">
        <f t="shared" si="31"/>
        <v/>
      </c>
      <c r="AN19" s="3" t="str">
        <f t="shared" si="32"/>
        <v/>
      </c>
      <c r="AO19" s="3" t="str">
        <f t="shared" si="33"/>
        <v/>
      </c>
      <c r="AP19" s="3" t="str">
        <f t="shared" si="34"/>
        <v/>
      </c>
      <c r="AQ19" s="3" t="str">
        <f t="shared" si="35"/>
        <v/>
      </c>
      <c r="AR19" s="3" t="str">
        <f t="shared" si="36"/>
        <v/>
      </c>
      <c r="AS19" s="3" t="str">
        <f t="shared" si="37"/>
        <v/>
      </c>
      <c r="AT19" s="3" t="str">
        <f t="shared" si="38"/>
        <v/>
      </c>
      <c r="AU19" s="3" t="str">
        <f t="shared" si="39"/>
        <v/>
      </c>
      <c r="AV19" s="3" t="str">
        <f t="shared" si="40"/>
        <v/>
      </c>
      <c r="AW19" s="3" t="str">
        <f t="shared" si="41"/>
        <v/>
      </c>
      <c r="AX19" s="3" t="str">
        <f t="shared" si="42"/>
        <v/>
      </c>
      <c r="AY19" s="3" t="str">
        <f t="shared" si="43"/>
        <v/>
      </c>
      <c r="AZ19" s="3" t="str">
        <f t="shared" si="44"/>
        <v/>
      </c>
      <c r="BA19" s="3" t="str">
        <f t="shared" si="45"/>
        <v/>
      </c>
      <c r="BB19" s="3" t="str">
        <f t="shared" si="46"/>
        <v/>
      </c>
      <c r="BC19" s="3" t="str">
        <f t="shared" si="47"/>
        <v/>
      </c>
      <c r="BD19" s="3" t="str">
        <f>IF(AND(N19&gt;O19,B18=B19,J18+SUM(P18:BC18)&lt;J19+SUM(P19:BC19)),"",IF(I19&gt;1,VLOOKUP(B19,PROGRAMACION1,48,0),IF(AND(H18=H19,N18&gt;SUM(P18:BC18),BD18&gt;(O18/7)),"",IF(AND(BD18&lt;&gt;0,B18=B19,O19&gt;(SUM(P18:BC18))),"",(IF(N19&gt;O19+(SUM(P19:BC19)),O19,N19-(SUM($P19:BC19))))))))</f>
        <v/>
      </c>
      <c r="BE19" s="3" t="str">
        <f t="shared" si="48"/>
        <v/>
      </c>
      <c r="BF19" s="3" t="str">
        <f t="shared" si="49"/>
        <v/>
      </c>
      <c r="BG19" s="3" t="str">
        <f t="shared" si="50"/>
        <v/>
      </c>
      <c r="BH19" s="3" t="str">
        <f t="shared" si="51"/>
        <v/>
      </c>
      <c r="BI19" s="3" t="str">
        <f t="shared" si="52"/>
        <v/>
      </c>
      <c r="BJ19" s="3" t="str">
        <f t="shared" si="53"/>
        <v/>
      </c>
      <c r="BK19" s="3" t="str">
        <f t="shared" si="54"/>
        <v/>
      </c>
      <c r="BL19" s="3" t="str">
        <f t="shared" si="55"/>
        <v/>
      </c>
      <c r="BM19" s="3" t="str">
        <f t="shared" si="56"/>
        <v/>
      </c>
      <c r="BN19" s="3" t="str">
        <f t="shared" si="57"/>
        <v/>
      </c>
      <c r="BO19" s="3">
        <f t="shared" si="58"/>
        <v>387</v>
      </c>
      <c r="BP19" s="3">
        <f t="shared" si="59"/>
        <v>387</v>
      </c>
      <c r="BQ19" s="3">
        <f t="shared" si="60"/>
        <v>387</v>
      </c>
      <c r="BR19" s="3">
        <f t="shared" si="61"/>
        <v>387</v>
      </c>
      <c r="BS19" s="3">
        <f t="shared" si="62"/>
        <v>387</v>
      </c>
      <c r="BT19" s="3">
        <f t="shared" si="63"/>
        <v>387</v>
      </c>
      <c r="BU19" s="3">
        <f t="shared" si="64"/>
        <v>387</v>
      </c>
      <c r="BV19" s="3">
        <f t="shared" si="65"/>
        <v>387</v>
      </c>
      <c r="BW19" s="3">
        <f t="shared" si="66"/>
        <v>387</v>
      </c>
      <c r="BX19" s="3">
        <f t="shared" si="67"/>
        <v>387</v>
      </c>
      <c r="BY19" s="3">
        <f t="shared" si="68"/>
        <v>330</v>
      </c>
      <c r="BZ19" s="3">
        <f t="shared" si="69"/>
        <v>0</v>
      </c>
      <c r="CA19" s="3">
        <f>IF(AND(N19&gt;O19,B18=B19,J18+SUM($P18:BZ18)&lt;J19+SUM(P19:BZ19)),"",IF(I19&gt;1,VLOOKUP(B19,PROGRAMACION1,71,0),IF(AND(H18=H19,N18&gt;SUM(P18:BZ18),CA18&gt;(O18/7)),"",IF(AND(CA18&lt;&gt;0,B18=B19,O19&gt;(SUM(P18:BZ18))),"",(IF(N19&gt;O19+(SUM(P19:BZ19)),O19,N19-(SUM(P19:BZ19))))))))</f>
        <v>0</v>
      </c>
      <c r="CB19" s="3">
        <f t="shared" si="70"/>
        <v>0</v>
      </c>
      <c r="CC19" s="3">
        <f t="shared" si="71"/>
        <v>0</v>
      </c>
      <c r="CD19" s="3">
        <f t="shared" si="72"/>
        <v>0</v>
      </c>
      <c r="CE19" s="3">
        <f t="shared" si="73"/>
        <v>0</v>
      </c>
      <c r="CF19" s="3">
        <f t="shared" si="74"/>
        <v>0</v>
      </c>
      <c r="CG19" s="3">
        <f t="shared" si="75"/>
        <v>0</v>
      </c>
      <c r="CH19" s="3">
        <f t="shared" si="76"/>
        <v>0</v>
      </c>
      <c r="CI19" s="3">
        <f t="shared" si="77"/>
        <v>0</v>
      </c>
      <c r="CJ19" s="3">
        <f t="shared" si="78"/>
        <v>0</v>
      </c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</row>
    <row r="20" spans="1:253" x14ac:dyDescent="0.25">
      <c r="A20" s="81">
        <v>13</v>
      </c>
      <c r="B20">
        <f>IF(A20&gt;0,FABRICAR!F14,NA())</f>
        <v>38562</v>
      </c>
      <c r="C20" t="str">
        <f>IF(A20&gt;0,FABRICAR!G14,NA())</f>
        <v>Perno Ojo 5/8x9x5H</v>
      </c>
      <c r="D20" s="1" t="str">
        <f t="shared" si="6"/>
        <v>385620</v>
      </c>
      <c r="E20">
        <f>IF(A20&gt;0,FABRICAR!P14,"")</f>
        <v>0</v>
      </c>
      <c r="F20" t="str">
        <f t="shared" si="7"/>
        <v/>
      </c>
      <c r="G20">
        <v>452</v>
      </c>
      <c r="H20" t="str">
        <f>IF(B20=0,B20,IF(A20&gt;0,FABRICAR!H14,NA()))</f>
        <v>PRENSA EX - 15</v>
      </c>
      <c r="I20">
        <f>IF(B20=0,B20,IF(A20&gt;0,FABRICAR!B14,NA()))</f>
        <v>0</v>
      </c>
      <c r="J20" s="75">
        <f>IF(B20=0,B20,'PROGRAM SALDO '!J16)</f>
        <v>600</v>
      </c>
      <c r="K20" s="82">
        <v>612</v>
      </c>
      <c r="L20" t="str">
        <f>IF(A20&gt;0,FABRICAR!J14,NA())</f>
        <v>REBABA EXT</v>
      </c>
      <c r="M20" s="9">
        <f t="shared" si="8"/>
        <v>0.58699999999999997</v>
      </c>
      <c r="N20">
        <f>IF(A20&gt;0,FABRICAR!L14,NA())</f>
        <v>4200</v>
      </c>
      <c r="O20">
        <f>IF(B20=0,B20,IF(A20&gt;0,FABRICAR!M14,"")*9)</f>
        <v>1800</v>
      </c>
      <c r="P20" t="str">
        <f t="shared" si="9"/>
        <v/>
      </c>
      <c r="Q20" s="3" t="str">
        <f t="shared" si="10"/>
        <v/>
      </c>
      <c r="R20" s="3" t="str">
        <f t="shared" si="79"/>
        <v/>
      </c>
      <c r="S20" s="3" t="str">
        <f t="shared" si="80"/>
        <v/>
      </c>
      <c r="T20" s="3" t="str">
        <f t="shared" si="81"/>
        <v/>
      </c>
      <c r="U20" s="3" t="str">
        <f t="shared" si="82"/>
        <v/>
      </c>
      <c r="V20" s="3" t="str">
        <f t="shared" si="83"/>
        <v/>
      </c>
      <c r="W20" s="3" t="str">
        <f t="shared" si="84"/>
        <v/>
      </c>
      <c r="X20" s="3" t="str">
        <f t="shared" si="85"/>
        <v/>
      </c>
      <c r="Y20" s="3" t="str">
        <f t="shared" si="86"/>
        <v/>
      </c>
      <c r="Z20" s="3" t="str">
        <f t="shared" si="87"/>
        <v/>
      </c>
      <c r="AA20" s="3" t="str">
        <f t="shared" si="88"/>
        <v/>
      </c>
      <c r="AB20" s="3" t="str">
        <f t="shared" si="89"/>
        <v/>
      </c>
      <c r="AC20" s="3" t="str">
        <f t="shared" si="90"/>
        <v/>
      </c>
      <c r="AD20" s="3" t="str">
        <f t="shared" si="22"/>
        <v/>
      </c>
      <c r="AE20" s="3" t="str">
        <f t="shared" si="23"/>
        <v/>
      </c>
      <c r="AF20" s="3" t="str">
        <f t="shared" si="24"/>
        <v/>
      </c>
      <c r="AG20" s="3" t="str">
        <f t="shared" si="25"/>
        <v/>
      </c>
      <c r="AH20" s="3" t="str">
        <f t="shared" si="26"/>
        <v/>
      </c>
      <c r="AI20" s="3" t="str">
        <f t="shared" si="27"/>
        <v/>
      </c>
      <c r="AJ20" s="3" t="str">
        <f t="shared" si="28"/>
        <v/>
      </c>
      <c r="AK20" s="3" t="str">
        <f t="shared" si="29"/>
        <v/>
      </c>
      <c r="AL20" s="3" t="str">
        <f t="shared" si="30"/>
        <v/>
      </c>
      <c r="AM20" s="3" t="str">
        <f t="shared" si="31"/>
        <v/>
      </c>
      <c r="AN20" s="3" t="str">
        <f t="shared" si="32"/>
        <v/>
      </c>
      <c r="AO20" s="3" t="str">
        <f t="shared" si="33"/>
        <v/>
      </c>
      <c r="AP20" s="3" t="str">
        <f t="shared" si="34"/>
        <v/>
      </c>
      <c r="AQ20" s="3" t="str">
        <f t="shared" si="35"/>
        <v/>
      </c>
      <c r="AR20" s="3" t="str">
        <f t="shared" si="36"/>
        <v/>
      </c>
      <c r="AS20" s="3" t="str">
        <f t="shared" si="37"/>
        <v/>
      </c>
      <c r="AT20" s="3" t="str">
        <f t="shared" si="38"/>
        <v/>
      </c>
      <c r="AU20" s="3" t="str">
        <f t="shared" si="39"/>
        <v/>
      </c>
      <c r="AV20" s="3" t="str">
        <f t="shared" si="40"/>
        <v/>
      </c>
      <c r="AW20" s="3" t="str">
        <f t="shared" si="41"/>
        <v/>
      </c>
      <c r="AX20" s="3" t="str">
        <f t="shared" si="42"/>
        <v/>
      </c>
      <c r="AY20" s="3" t="str">
        <f t="shared" si="43"/>
        <v/>
      </c>
      <c r="AZ20" s="3" t="str">
        <f t="shared" si="44"/>
        <v/>
      </c>
      <c r="BA20" s="3" t="str">
        <f t="shared" si="45"/>
        <v/>
      </c>
      <c r="BB20" s="3" t="str">
        <f t="shared" si="46"/>
        <v/>
      </c>
      <c r="BC20" s="3" t="str">
        <f t="shared" si="47"/>
        <v/>
      </c>
      <c r="BD20" s="3" t="str">
        <f>IF(AND(N20&gt;O20,B19=B20,J19+SUM(P19:BC19)&lt;J20+SUM(P20:BC20)),"",IF(I20&gt;1,VLOOKUP(B20,PROGRAMACION1,48,0),IF(AND(H19=H20,N19&gt;SUM(P19:BC19),BD19&gt;(O19/7)),"",IF(AND(BD19&lt;&gt;0,B19=B20,O20&gt;(SUM(P19:BC19))),"",(IF(N20&gt;O20+(SUM(P20:BC20)),O20,N20-(SUM($P20:BC20))))))))</f>
        <v/>
      </c>
      <c r="BE20" s="3" t="str">
        <f t="shared" si="48"/>
        <v/>
      </c>
      <c r="BF20" s="3" t="str">
        <f t="shared" si="49"/>
        <v/>
      </c>
      <c r="BG20" s="3" t="str">
        <f t="shared" si="50"/>
        <v/>
      </c>
      <c r="BH20" s="3" t="str">
        <f t="shared" si="51"/>
        <v/>
      </c>
      <c r="BI20" s="3" t="str">
        <f t="shared" si="52"/>
        <v/>
      </c>
      <c r="BJ20" s="3" t="str">
        <f t="shared" si="53"/>
        <v/>
      </c>
      <c r="BK20" s="3" t="str">
        <f t="shared" si="54"/>
        <v/>
      </c>
      <c r="BL20" s="3" t="str">
        <f t="shared" si="55"/>
        <v/>
      </c>
      <c r="BM20" s="3" t="str">
        <f t="shared" si="56"/>
        <v/>
      </c>
      <c r="BN20" s="3" t="str">
        <f t="shared" si="57"/>
        <v/>
      </c>
      <c r="BO20" s="3" t="str">
        <f t="shared" si="58"/>
        <v/>
      </c>
      <c r="BP20" s="3" t="str">
        <f t="shared" si="59"/>
        <v/>
      </c>
      <c r="BQ20" s="3" t="str">
        <f t="shared" si="60"/>
        <v/>
      </c>
      <c r="BR20" s="3" t="str">
        <f t="shared" si="61"/>
        <v/>
      </c>
      <c r="BS20" s="3" t="str">
        <f t="shared" si="62"/>
        <v/>
      </c>
      <c r="BT20" s="3">
        <f t="shared" si="63"/>
        <v>1800</v>
      </c>
      <c r="BU20" s="3">
        <f t="shared" si="64"/>
        <v>1800</v>
      </c>
      <c r="BV20" s="3" t="str">
        <f t="shared" si="65"/>
        <v/>
      </c>
      <c r="BW20" s="3" t="str">
        <f t="shared" si="66"/>
        <v/>
      </c>
      <c r="BX20" s="3" t="str">
        <f t="shared" si="67"/>
        <v/>
      </c>
      <c r="BY20" s="3">
        <f t="shared" si="68"/>
        <v>600</v>
      </c>
      <c r="BZ20" s="3" t="str">
        <f t="shared" si="69"/>
        <v/>
      </c>
      <c r="CA20" s="3" t="str">
        <f>IF(AND(N20&gt;O20,B19=B20,J19+SUM($P19:BZ19)&lt;J20+SUM(P20:BZ20)),"",IF(I20&gt;1,VLOOKUP(B20,PROGRAMACION1,71,0),IF(AND(H19=H20,N19&gt;SUM(P19:BZ19),CA19&gt;(O19/7)),"",IF(AND(CA19&lt;&gt;0,B19=B20,O20&gt;(SUM(P19:BZ19))),"",(IF(N20&gt;O20+(SUM(P20:BZ20)),O20,N20-(SUM(P20:BZ20))))))))</f>
        <v/>
      </c>
      <c r="CB20" s="3" t="str">
        <f t="shared" si="70"/>
        <v/>
      </c>
      <c r="CC20" s="3" t="str">
        <f t="shared" si="71"/>
        <v/>
      </c>
      <c r="CD20" s="3" t="str">
        <f t="shared" si="72"/>
        <v/>
      </c>
      <c r="CE20" s="3" t="str">
        <f t="shared" si="73"/>
        <v/>
      </c>
      <c r="CF20" s="3" t="str">
        <f t="shared" si="74"/>
        <v/>
      </c>
      <c r="CG20" s="3" t="str">
        <f t="shared" si="75"/>
        <v/>
      </c>
      <c r="CH20" s="3" t="str">
        <f t="shared" si="76"/>
        <v/>
      </c>
      <c r="CI20" s="3" t="str">
        <f t="shared" si="77"/>
        <v/>
      </c>
      <c r="CJ20" s="3" t="str">
        <f t="shared" si="78"/>
        <v/>
      </c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</row>
    <row r="21" spans="1:253" x14ac:dyDescent="0.25">
      <c r="A21" s="81">
        <v>14</v>
      </c>
      <c r="B21">
        <f>IF(A21&gt;0,FABRICAR!F15,NA())</f>
        <v>38562</v>
      </c>
      <c r="C21" t="str">
        <f>IF(A21&gt;0,FABRICAR!G15,NA())</f>
        <v>Perno Ojo 5/8x9x5H</v>
      </c>
      <c r="D21" s="1" t="str">
        <f t="shared" si="6"/>
        <v>385620</v>
      </c>
      <c r="E21">
        <f>IF(A21&gt;0,FABRICAR!P15,"")</f>
        <v>0</v>
      </c>
      <c r="F21" t="str">
        <f t="shared" si="7"/>
        <v/>
      </c>
      <c r="G21">
        <v>453</v>
      </c>
      <c r="H21" t="str">
        <f>IF(B21=0,B21,IF(A21&gt;0,FABRICAR!H15,NA()))</f>
        <v>PRENSA EX - 15</v>
      </c>
      <c r="I21">
        <f>IF(B21=0,B21,IF(A21&gt;0,FABRICAR!B15,NA()))</f>
        <v>0</v>
      </c>
      <c r="J21" s="75">
        <f>IF(B21=0,B21,'PROGRAM SALDO '!J17)</f>
        <v>600</v>
      </c>
      <c r="K21" s="82">
        <v>613</v>
      </c>
      <c r="L21" t="str">
        <f>IF(A21&gt;0,FABRICAR!J15,NA())</f>
        <v>REBABA INT</v>
      </c>
      <c r="M21" s="9">
        <f t="shared" si="8"/>
        <v>0.58699999999999997</v>
      </c>
      <c r="N21">
        <f>IF(A21&gt;0,FABRICAR!L15,NA())</f>
        <v>4200</v>
      </c>
      <c r="O21">
        <f>IF(B21=0,B21,IF(A21&gt;0,FABRICAR!M15,"")*9)</f>
        <v>1800</v>
      </c>
      <c r="P21" t="str">
        <f t="shared" si="9"/>
        <v/>
      </c>
      <c r="Q21" s="3" t="str">
        <f t="shared" si="10"/>
        <v/>
      </c>
      <c r="R21" s="3" t="str">
        <f t="shared" si="79"/>
        <v/>
      </c>
      <c r="S21" s="3" t="str">
        <f t="shared" si="80"/>
        <v/>
      </c>
      <c r="T21" s="3" t="str">
        <f t="shared" si="81"/>
        <v/>
      </c>
      <c r="U21" s="3" t="str">
        <f t="shared" si="82"/>
        <v/>
      </c>
      <c r="V21" s="3" t="str">
        <f t="shared" si="83"/>
        <v/>
      </c>
      <c r="W21" s="3" t="str">
        <f t="shared" si="84"/>
        <v/>
      </c>
      <c r="X21" s="3" t="str">
        <f t="shared" si="85"/>
        <v/>
      </c>
      <c r="Y21" s="3" t="str">
        <f t="shared" si="86"/>
        <v/>
      </c>
      <c r="Z21" s="3" t="str">
        <f t="shared" si="87"/>
        <v/>
      </c>
      <c r="AA21" s="3" t="str">
        <f t="shared" si="88"/>
        <v/>
      </c>
      <c r="AB21" s="3" t="str">
        <f t="shared" si="89"/>
        <v/>
      </c>
      <c r="AC21" s="3" t="str">
        <f t="shared" si="90"/>
        <v/>
      </c>
      <c r="AD21" s="3" t="str">
        <f t="shared" si="22"/>
        <v/>
      </c>
      <c r="AE21" s="3" t="str">
        <f t="shared" si="23"/>
        <v/>
      </c>
      <c r="AF21" s="3" t="str">
        <f t="shared" si="24"/>
        <v/>
      </c>
      <c r="AG21" s="3" t="str">
        <f t="shared" si="25"/>
        <v/>
      </c>
      <c r="AH21" s="3" t="str">
        <f t="shared" si="26"/>
        <v/>
      </c>
      <c r="AI21" s="3" t="str">
        <f t="shared" si="27"/>
        <v/>
      </c>
      <c r="AJ21" s="3" t="str">
        <f t="shared" si="28"/>
        <v/>
      </c>
      <c r="AK21" s="3" t="str">
        <f t="shared" si="29"/>
        <v/>
      </c>
      <c r="AL21" s="3" t="str">
        <f t="shared" si="30"/>
        <v/>
      </c>
      <c r="AM21" s="3" t="str">
        <f t="shared" si="31"/>
        <v/>
      </c>
      <c r="AN21" s="3" t="str">
        <f t="shared" si="32"/>
        <v/>
      </c>
      <c r="AO21" s="3" t="str">
        <f t="shared" si="33"/>
        <v/>
      </c>
      <c r="AP21" s="3" t="str">
        <f t="shared" si="34"/>
        <v/>
      </c>
      <c r="AQ21" s="3" t="str">
        <f t="shared" si="35"/>
        <v/>
      </c>
      <c r="AR21" s="3" t="str">
        <f t="shared" si="36"/>
        <v/>
      </c>
      <c r="AS21" s="3" t="str">
        <f t="shared" si="37"/>
        <v/>
      </c>
      <c r="AT21" s="3" t="str">
        <f t="shared" si="38"/>
        <v/>
      </c>
      <c r="AU21" s="3" t="str">
        <f t="shared" si="39"/>
        <v/>
      </c>
      <c r="AV21" s="3" t="str">
        <f t="shared" si="40"/>
        <v/>
      </c>
      <c r="AW21" s="3" t="str">
        <f t="shared" si="41"/>
        <v/>
      </c>
      <c r="AX21" s="3" t="str">
        <f t="shared" si="42"/>
        <v/>
      </c>
      <c r="AY21" s="3" t="str">
        <f t="shared" si="43"/>
        <v/>
      </c>
      <c r="AZ21" s="3" t="str">
        <f t="shared" si="44"/>
        <v/>
      </c>
      <c r="BA21" s="3" t="str">
        <f t="shared" si="45"/>
        <v/>
      </c>
      <c r="BB21" s="3" t="str">
        <f t="shared" si="46"/>
        <v/>
      </c>
      <c r="BC21" s="3" t="str">
        <f t="shared" si="47"/>
        <v/>
      </c>
      <c r="BD21" s="3" t="str">
        <f>IF(AND(N21&gt;O21,B20=B21,J20+SUM(P20:BC20)&lt;J21+SUM(P21:BC21)),"",IF(I21&gt;1,VLOOKUP(B21,PROGRAMACION1,48,0),IF(AND(H20=H21,N20&gt;SUM(P20:BC20),BD20&gt;(O20/7)),"",IF(AND(BD20&lt;&gt;0,B20=B21,O21&gt;(SUM(P20:BC20))),"",(IF(N21&gt;O21+(SUM(P21:BC21)),O21,N21-(SUM($P21:BC21))))))))</f>
        <v/>
      </c>
      <c r="BE21" s="3" t="str">
        <f t="shared" si="48"/>
        <v/>
      </c>
      <c r="BF21" s="3" t="str">
        <f t="shared" si="49"/>
        <v/>
      </c>
      <c r="BG21" s="3" t="str">
        <f t="shared" si="50"/>
        <v/>
      </c>
      <c r="BH21" s="3" t="str">
        <f t="shared" si="51"/>
        <v/>
      </c>
      <c r="BI21" s="3" t="str">
        <f t="shared" si="52"/>
        <v/>
      </c>
      <c r="BJ21" s="3" t="str">
        <f t="shared" si="53"/>
        <v/>
      </c>
      <c r="BK21" s="3" t="str">
        <f t="shared" si="54"/>
        <v/>
      </c>
      <c r="BL21" s="3" t="str">
        <f t="shared" si="55"/>
        <v/>
      </c>
      <c r="BM21" s="3" t="str">
        <f t="shared" si="56"/>
        <v/>
      </c>
      <c r="BN21" s="3" t="str">
        <f t="shared" si="57"/>
        <v/>
      </c>
      <c r="BO21" s="3" t="str">
        <f t="shared" si="58"/>
        <v/>
      </c>
      <c r="BP21" s="3" t="str">
        <f t="shared" si="59"/>
        <v/>
      </c>
      <c r="BQ21" s="3" t="str">
        <f t="shared" si="60"/>
        <v/>
      </c>
      <c r="BR21" s="3" t="str">
        <f t="shared" si="61"/>
        <v/>
      </c>
      <c r="BS21" s="3" t="str">
        <f t="shared" si="62"/>
        <v/>
      </c>
      <c r="BT21" s="3" t="str">
        <f t="shared" si="63"/>
        <v/>
      </c>
      <c r="BU21" s="3" t="str">
        <f t="shared" si="64"/>
        <v/>
      </c>
      <c r="BV21" s="3" t="str">
        <f t="shared" si="65"/>
        <v/>
      </c>
      <c r="BW21" s="3" t="str">
        <f t="shared" si="66"/>
        <v/>
      </c>
      <c r="BX21" s="3" t="str">
        <f t="shared" si="67"/>
        <v/>
      </c>
      <c r="BY21" s="3" t="str">
        <f t="shared" si="68"/>
        <v/>
      </c>
      <c r="BZ21" s="3">
        <f t="shared" si="69"/>
        <v>1800</v>
      </c>
      <c r="CA21" s="3">
        <f>IF(AND(N21&gt;O21,B20=B21,J20+SUM($P20:BZ20)&lt;J21+SUM(P21:BZ21)),"",IF(I21&gt;1,VLOOKUP(B21,PROGRAMACION1,71,0),IF(AND(H20=H21,N20&gt;SUM(P20:BZ20),CA20&gt;(O20/7)),"",IF(AND(CA20&lt;&gt;0,B20=B21,O21&gt;(SUM(P20:BZ20))),"",(IF(N21&gt;O21+(SUM(P21:BZ21)),O21,N21-(SUM(P21:BZ21))))))))</f>
        <v>1800</v>
      </c>
      <c r="CB21" s="3">
        <f t="shared" si="70"/>
        <v>600</v>
      </c>
      <c r="CC21" s="3">
        <f t="shared" si="71"/>
        <v>0</v>
      </c>
      <c r="CD21" s="3">
        <f t="shared" si="72"/>
        <v>0</v>
      </c>
      <c r="CE21" s="3">
        <f t="shared" si="73"/>
        <v>0</v>
      </c>
      <c r="CF21" s="3">
        <f t="shared" si="74"/>
        <v>0</v>
      </c>
      <c r="CG21" s="3">
        <f t="shared" si="75"/>
        <v>0</v>
      </c>
      <c r="CH21" s="3">
        <f t="shared" si="76"/>
        <v>0</v>
      </c>
      <c r="CI21" s="3">
        <f t="shared" si="77"/>
        <v>0</v>
      </c>
      <c r="CJ21" s="3">
        <f t="shared" si="78"/>
        <v>0</v>
      </c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</row>
    <row r="22" spans="1:253" x14ac:dyDescent="0.25">
      <c r="A22" s="81">
        <v>15</v>
      </c>
      <c r="B22">
        <f>IF(A22&gt;0,FABRICAR!F16,NA())</f>
        <v>38562</v>
      </c>
      <c r="C22" t="str">
        <f>IF(A22&gt;0,FABRICAR!G16,NA())</f>
        <v>Perno Ojo 5/8x9x5H</v>
      </c>
      <c r="D22" s="1" t="str">
        <f t="shared" si="6"/>
        <v>385620</v>
      </c>
      <c r="E22">
        <f>IF(A22&gt;0,FABRICAR!P16,"")</f>
        <v>0</v>
      </c>
      <c r="F22" t="str">
        <f t="shared" si="7"/>
        <v/>
      </c>
      <c r="G22">
        <v>454</v>
      </c>
      <c r="H22" t="str">
        <f>IF(B22=0,B22,IF(A22&gt;0,FABRICAR!H16,NA()))</f>
        <v>PRENSA EX - 14</v>
      </c>
      <c r="I22">
        <f>IF(B22=0,B22,IF(A22&gt;0,FABRICAR!B16,NA()))</f>
        <v>0</v>
      </c>
      <c r="J22" s="75">
        <f>IF(B22=0,B22,'PROGRAM SALDO '!J18)</f>
        <v>600</v>
      </c>
      <c r="K22" s="82">
        <v>614</v>
      </c>
      <c r="L22" t="str">
        <f>IF(A22&gt;0,FABRICAR!J16,NA())</f>
        <v>ENDEREZAR</v>
      </c>
      <c r="M22" s="9">
        <f t="shared" si="8"/>
        <v>0.58699999999999997</v>
      </c>
      <c r="N22">
        <f>IF(A22&gt;0,FABRICAR!L16,NA())</f>
        <v>4200</v>
      </c>
      <c r="O22">
        <f>IF(B22=0,B22,IF(A22&gt;0,FABRICAR!M16,"")*9)</f>
        <v>1800</v>
      </c>
      <c r="P22" t="str">
        <f t="shared" si="9"/>
        <v/>
      </c>
      <c r="Q22" s="3" t="str">
        <f t="shared" si="10"/>
        <v/>
      </c>
      <c r="R22" s="3" t="str">
        <f t="shared" si="79"/>
        <v/>
      </c>
      <c r="S22" s="3" t="str">
        <f t="shared" si="80"/>
        <v/>
      </c>
      <c r="T22" s="3" t="str">
        <f t="shared" si="81"/>
        <v/>
      </c>
      <c r="U22" s="3" t="str">
        <f t="shared" si="82"/>
        <v/>
      </c>
      <c r="V22" s="3" t="str">
        <f t="shared" si="83"/>
        <v/>
      </c>
      <c r="W22" s="3" t="str">
        <f t="shared" si="84"/>
        <v/>
      </c>
      <c r="X22" s="3" t="str">
        <f t="shared" si="85"/>
        <v/>
      </c>
      <c r="Y22" s="3" t="str">
        <f t="shared" si="86"/>
        <v/>
      </c>
      <c r="Z22" s="3" t="str">
        <f t="shared" si="87"/>
        <v/>
      </c>
      <c r="AA22" s="3" t="str">
        <f t="shared" si="88"/>
        <v/>
      </c>
      <c r="AB22" s="3" t="str">
        <f t="shared" si="89"/>
        <v/>
      </c>
      <c r="AC22" s="3" t="str">
        <f t="shared" si="90"/>
        <v/>
      </c>
      <c r="AD22" s="3" t="str">
        <f t="shared" si="22"/>
        <v/>
      </c>
      <c r="AE22" s="3" t="str">
        <f t="shared" si="23"/>
        <v/>
      </c>
      <c r="AF22" s="3" t="str">
        <f t="shared" si="24"/>
        <v/>
      </c>
      <c r="AG22" s="3" t="str">
        <f t="shared" si="25"/>
        <v/>
      </c>
      <c r="AH22" s="3" t="str">
        <f t="shared" si="26"/>
        <v/>
      </c>
      <c r="AI22" s="3" t="str">
        <f t="shared" si="27"/>
        <v/>
      </c>
      <c r="AJ22" s="3" t="str">
        <f t="shared" si="28"/>
        <v/>
      </c>
      <c r="AK22" s="3" t="str">
        <f t="shared" si="29"/>
        <v/>
      </c>
      <c r="AL22" s="3" t="str">
        <f t="shared" si="30"/>
        <v/>
      </c>
      <c r="AM22" s="3" t="str">
        <f t="shared" si="31"/>
        <v/>
      </c>
      <c r="AN22" s="3" t="str">
        <f t="shared" si="32"/>
        <v/>
      </c>
      <c r="AO22" s="3" t="str">
        <f t="shared" si="33"/>
        <v/>
      </c>
      <c r="AP22" s="3" t="str">
        <f t="shared" si="34"/>
        <v/>
      </c>
      <c r="AQ22" s="3" t="str">
        <f t="shared" si="35"/>
        <v/>
      </c>
      <c r="AR22" s="3" t="str">
        <f t="shared" si="36"/>
        <v/>
      </c>
      <c r="AS22" s="3" t="str">
        <f t="shared" si="37"/>
        <v/>
      </c>
      <c r="AT22" s="3" t="str">
        <f t="shared" si="38"/>
        <v/>
      </c>
      <c r="AU22" s="3" t="str">
        <f t="shared" si="39"/>
        <v/>
      </c>
      <c r="AV22" s="3" t="str">
        <f t="shared" si="40"/>
        <v/>
      </c>
      <c r="AW22" s="3" t="str">
        <f t="shared" si="41"/>
        <v/>
      </c>
      <c r="AX22" s="3" t="str">
        <f t="shared" si="42"/>
        <v/>
      </c>
      <c r="AY22" s="3" t="str">
        <f t="shared" si="43"/>
        <v/>
      </c>
      <c r="AZ22" s="3" t="str">
        <f t="shared" si="44"/>
        <v/>
      </c>
      <c r="BA22" s="3" t="str">
        <f t="shared" si="45"/>
        <v/>
      </c>
      <c r="BB22" s="3" t="str">
        <f t="shared" si="46"/>
        <v/>
      </c>
      <c r="BC22" s="3" t="str">
        <f t="shared" si="47"/>
        <v/>
      </c>
      <c r="BD22" s="3" t="str">
        <f>IF(AND(N22&gt;O22,B21=B22,J21+SUM(P21:BC21)&lt;J22+SUM(P22:BC22)),"",IF(I22&gt;1,VLOOKUP(B22,PROGRAMACION1,48,0),IF(AND(H21=H22,N21&gt;SUM(P21:BC21),BD21&gt;(O21/7)),"",IF(AND(BD21&lt;&gt;0,B21=B22,O22&gt;(SUM(P21:BC21))),"",(IF(N22&gt;O22+(SUM(P22:BC22)),O22,N22-(SUM($P22:BC22))))))))</f>
        <v/>
      </c>
      <c r="BE22" s="3" t="str">
        <f t="shared" si="48"/>
        <v/>
      </c>
      <c r="BF22" s="3" t="str">
        <f t="shared" si="49"/>
        <v/>
      </c>
      <c r="BG22" s="3" t="str">
        <f t="shared" si="50"/>
        <v/>
      </c>
      <c r="BH22" s="3" t="str">
        <f t="shared" si="51"/>
        <v/>
      </c>
      <c r="BI22" s="3" t="str">
        <f t="shared" si="52"/>
        <v/>
      </c>
      <c r="BJ22" s="3" t="str">
        <f t="shared" si="53"/>
        <v/>
      </c>
      <c r="BK22" s="3" t="str">
        <f t="shared" si="54"/>
        <v/>
      </c>
      <c r="BL22" s="3" t="str">
        <f t="shared" si="55"/>
        <v/>
      </c>
      <c r="BM22" s="3" t="str">
        <f t="shared" si="56"/>
        <v/>
      </c>
      <c r="BN22" s="3" t="str">
        <f t="shared" si="57"/>
        <v/>
      </c>
      <c r="BO22" s="3" t="str">
        <f t="shared" si="58"/>
        <v/>
      </c>
      <c r="BP22" s="3" t="str">
        <f t="shared" si="59"/>
        <v/>
      </c>
      <c r="BQ22" s="3" t="str">
        <f t="shared" si="60"/>
        <v/>
      </c>
      <c r="BR22" s="3" t="str">
        <f t="shared" si="61"/>
        <v/>
      </c>
      <c r="BS22" s="3" t="str">
        <f t="shared" si="62"/>
        <v/>
      </c>
      <c r="BT22" s="3" t="str">
        <f t="shared" si="63"/>
        <v/>
      </c>
      <c r="BU22" s="3" t="str">
        <f t="shared" si="64"/>
        <v/>
      </c>
      <c r="BV22" s="3" t="str">
        <f t="shared" si="65"/>
        <v/>
      </c>
      <c r="BW22" s="3" t="str">
        <f t="shared" si="66"/>
        <v/>
      </c>
      <c r="BX22" s="3" t="str">
        <f t="shared" si="67"/>
        <v/>
      </c>
      <c r="BY22" s="3" t="str">
        <f t="shared" si="68"/>
        <v/>
      </c>
      <c r="BZ22" s="3" t="str">
        <f t="shared" si="69"/>
        <v/>
      </c>
      <c r="CA22" s="3">
        <f>IF(AND(N22&gt;O22,B21=B22,J21+SUM($P21:BZ21)&lt;J22+SUM(P22:BZ22)),"",IF(I22&gt;1,VLOOKUP(B22,PROGRAMACION1,71,0),IF(AND(H21=H22,N21&gt;SUM(P21:BZ21),CA21&gt;(O21/7)),"",IF(AND(CA21&lt;&gt;0,B21=B22,O22&gt;(SUM(P21:BZ21))),"",(IF(N22&gt;O22+(SUM(P22:BZ22)),O22,N22-(SUM(P22:BZ22))))))))</f>
        <v>1800</v>
      </c>
      <c r="CB22" s="3">
        <f t="shared" si="70"/>
        <v>1800</v>
      </c>
      <c r="CC22" s="3">
        <f t="shared" si="71"/>
        <v>600</v>
      </c>
      <c r="CD22" s="3">
        <f t="shared" si="72"/>
        <v>0</v>
      </c>
      <c r="CE22" s="3">
        <f t="shared" si="73"/>
        <v>0</v>
      </c>
      <c r="CF22" s="3">
        <f t="shared" si="74"/>
        <v>0</v>
      </c>
      <c r="CG22" s="3">
        <f t="shared" si="75"/>
        <v>0</v>
      </c>
      <c r="CH22" s="3">
        <f t="shared" si="76"/>
        <v>0</v>
      </c>
      <c r="CI22" s="3">
        <f t="shared" si="77"/>
        <v>0</v>
      </c>
      <c r="CJ22" s="3">
        <f t="shared" si="78"/>
        <v>0</v>
      </c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</row>
    <row r="23" spans="1:253" x14ac:dyDescent="0.25">
      <c r="A23" s="81">
        <v>16</v>
      </c>
      <c r="B23">
        <f>IF(A23&gt;0,FABRICAR!F17,NA())</f>
        <v>38562</v>
      </c>
      <c r="C23" t="str">
        <f>IF(A23&gt;0,FABRICAR!G17,NA())</f>
        <v>Perno Ojo 5/8x9x5H</v>
      </c>
      <c r="D23" s="1" t="str">
        <f t="shared" si="6"/>
        <v>385620</v>
      </c>
      <c r="E23">
        <f>IF(A23&gt;0,FABRICAR!P17,"")</f>
        <v>0</v>
      </c>
      <c r="F23" t="str">
        <f t="shared" si="7"/>
        <v/>
      </c>
      <c r="G23">
        <v>455</v>
      </c>
      <c r="H23" t="str">
        <f>IF(B23=0,B23,IF(A23&gt;0,FABRICAR!H17,NA()))</f>
        <v>PUNT PER</v>
      </c>
      <c r="I23">
        <f>IF(B23=0,B23,IF(A23&gt;0,FABRICAR!B17,NA()))</f>
        <v>0</v>
      </c>
      <c r="J23" s="75">
        <f>IF(B23=0,B23,'PROGRAM SALDO '!J19)</f>
        <v>150</v>
      </c>
      <c r="K23" s="82">
        <v>615</v>
      </c>
      <c r="L23" t="str">
        <f>IF(A23&gt;0,FABRICAR!J17,NA())</f>
        <v>PUNTEAR</v>
      </c>
      <c r="M23" s="9">
        <f t="shared" si="8"/>
        <v>0.58699999999999997</v>
      </c>
      <c r="N23">
        <f>IF(A23&gt;0,FABRICAR!L17,NA())</f>
        <v>4200</v>
      </c>
      <c r="O23">
        <f>IF(B23=0,B23,IF(A23&gt;0,FABRICAR!M17,"")*9)</f>
        <v>675</v>
      </c>
      <c r="P23" t="str">
        <f t="shared" si="9"/>
        <v/>
      </c>
      <c r="Q23" s="3" t="str">
        <f t="shared" si="10"/>
        <v/>
      </c>
      <c r="R23" s="3" t="str">
        <f t="shared" si="79"/>
        <v/>
      </c>
      <c r="S23" s="3" t="str">
        <f t="shared" si="80"/>
        <v/>
      </c>
      <c r="T23" s="3" t="str">
        <f t="shared" si="81"/>
        <v/>
      </c>
      <c r="U23" s="3" t="str">
        <f t="shared" si="82"/>
        <v/>
      </c>
      <c r="V23" s="3" t="str">
        <f t="shared" si="83"/>
        <v/>
      </c>
      <c r="W23" s="3" t="str">
        <f t="shared" si="84"/>
        <v/>
      </c>
      <c r="X23" s="3" t="str">
        <f t="shared" si="85"/>
        <v/>
      </c>
      <c r="Y23" s="3" t="str">
        <f t="shared" si="86"/>
        <v/>
      </c>
      <c r="Z23" s="3" t="str">
        <f t="shared" si="87"/>
        <v/>
      </c>
      <c r="AA23" s="3" t="str">
        <f t="shared" si="88"/>
        <v/>
      </c>
      <c r="AB23" s="3" t="str">
        <f t="shared" si="89"/>
        <v/>
      </c>
      <c r="AC23" s="3" t="str">
        <f t="shared" si="90"/>
        <v/>
      </c>
      <c r="AD23" s="3" t="str">
        <f t="shared" si="22"/>
        <v/>
      </c>
      <c r="AE23" s="3" t="str">
        <f t="shared" si="23"/>
        <v/>
      </c>
      <c r="AF23" s="3" t="str">
        <f t="shared" si="24"/>
        <v/>
      </c>
      <c r="AG23" s="3" t="str">
        <f t="shared" si="25"/>
        <v/>
      </c>
      <c r="AH23" s="3" t="str">
        <f t="shared" si="26"/>
        <v/>
      </c>
      <c r="AI23" s="3" t="str">
        <f t="shared" si="27"/>
        <v/>
      </c>
      <c r="AJ23" s="3" t="str">
        <f t="shared" si="28"/>
        <v/>
      </c>
      <c r="AK23" s="3" t="str">
        <f t="shared" si="29"/>
        <v/>
      </c>
      <c r="AL23" s="3" t="str">
        <f t="shared" si="30"/>
        <v/>
      </c>
      <c r="AM23" s="3" t="str">
        <f t="shared" si="31"/>
        <v/>
      </c>
      <c r="AN23" s="3" t="str">
        <f t="shared" si="32"/>
        <v/>
      </c>
      <c r="AO23" s="3" t="str">
        <f t="shared" si="33"/>
        <v/>
      </c>
      <c r="AP23" s="3" t="str">
        <f t="shared" si="34"/>
        <v/>
      </c>
      <c r="AQ23" s="3" t="str">
        <f t="shared" si="35"/>
        <v/>
      </c>
      <c r="AR23" s="3" t="str">
        <f t="shared" si="36"/>
        <v/>
      </c>
      <c r="AS23" s="3" t="str">
        <f t="shared" si="37"/>
        <v/>
      </c>
      <c r="AT23" s="3" t="str">
        <f t="shared" si="38"/>
        <v/>
      </c>
      <c r="AU23" s="3" t="str">
        <f t="shared" si="39"/>
        <v/>
      </c>
      <c r="AV23" s="3" t="str">
        <f t="shared" si="40"/>
        <v/>
      </c>
      <c r="AW23" s="3" t="str">
        <f t="shared" si="41"/>
        <v/>
      </c>
      <c r="AX23" s="3" t="str">
        <f t="shared" si="42"/>
        <v/>
      </c>
      <c r="AY23" s="3" t="str">
        <f t="shared" si="43"/>
        <v/>
      </c>
      <c r="AZ23" s="3" t="str">
        <f t="shared" si="44"/>
        <v/>
      </c>
      <c r="BA23" s="3" t="str">
        <f t="shared" si="45"/>
        <v/>
      </c>
      <c r="BB23" s="3" t="str">
        <f t="shared" si="46"/>
        <v/>
      </c>
      <c r="BC23" s="3" t="str">
        <f t="shared" si="47"/>
        <v/>
      </c>
      <c r="BD23" s="3" t="str">
        <f>IF(AND(N23&gt;O23,B22=B23,J22+SUM(P22:BC22)&lt;J23+SUM(P23:BC23)),"",IF(I23&gt;1,VLOOKUP(B23,PROGRAMACION1,48,0),IF(AND(H22=H23,N22&gt;SUM(P22:BC22),BD22&gt;(O22/7)),"",IF(AND(BD22&lt;&gt;0,B22=B23,O23&gt;(SUM(P22:BC22))),"",(IF(N23&gt;O23+(SUM(P23:BC23)),O23,N23-(SUM($P23:BC23))))))))</f>
        <v/>
      </c>
      <c r="BE23" s="3" t="str">
        <f t="shared" si="48"/>
        <v/>
      </c>
      <c r="BF23" s="3" t="str">
        <f t="shared" si="49"/>
        <v/>
      </c>
      <c r="BG23" s="3" t="str">
        <f t="shared" si="50"/>
        <v/>
      </c>
      <c r="BH23" s="3" t="str">
        <f t="shared" si="51"/>
        <v/>
      </c>
      <c r="BI23" s="3" t="str">
        <f t="shared" si="52"/>
        <v/>
      </c>
      <c r="BJ23" s="3" t="str">
        <f t="shared" si="53"/>
        <v/>
      </c>
      <c r="BK23" s="3" t="str">
        <f t="shared" si="54"/>
        <v/>
      </c>
      <c r="BL23" s="3" t="str">
        <f t="shared" si="55"/>
        <v/>
      </c>
      <c r="BM23" s="3" t="str">
        <f t="shared" si="56"/>
        <v/>
      </c>
      <c r="BN23" s="3" t="str">
        <f t="shared" si="57"/>
        <v/>
      </c>
      <c r="BO23" s="3" t="str">
        <f t="shared" si="58"/>
        <v/>
      </c>
      <c r="BP23" s="3" t="str">
        <f t="shared" si="59"/>
        <v/>
      </c>
      <c r="BQ23" s="3" t="str">
        <f t="shared" si="60"/>
        <v/>
      </c>
      <c r="BR23" s="3" t="str">
        <f t="shared" si="61"/>
        <v/>
      </c>
      <c r="BS23" s="3" t="str">
        <f t="shared" si="62"/>
        <v/>
      </c>
      <c r="BT23" s="3" t="str">
        <f t="shared" si="63"/>
        <v/>
      </c>
      <c r="BU23" s="3" t="str">
        <f t="shared" si="64"/>
        <v/>
      </c>
      <c r="BV23" s="3" t="str">
        <f t="shared" si="65"/>
        <v/>
      </c>
      <c r="BW23" s="3" t="str">
        <f t="shared" si="66"/>
        <v/>
      </c>
      <c r="BX23" s="3" t="str">
        <f t="shared" si="67"/>
        <v/>
      </c>
      <c r="BY23" s="3" t="str">
        <f t="shared" si="68"/>
        <v/>
      </c>
      <c r="BZ23" s="3" t="str">
        <f t="shared" si="69"/>
        <v/>
      </c>
      <c r="CA23" s="3" t="str">
        <f>IF(AND(N23&gt;O23,B22=B23,J22+SUM($P22:BZ22)&lt;J23+SUM(P23:BZ23)),"",IF(I23&gt;1,VLOOKUP(B23,PROGRAMACION1,71,0),IF(AND(H22=H23,N22&gt;SUM(P22:BZ22),CA22&gt;(O22/7)),"",IF(AND(CA22&lt;&gt;0,B22=B23,O23&gt;(SUM(P22:BZ22))),"",(IF(N23&gt;O23+(SUM(P23:BZ23)),O23,N23-(SUM(P23:BZ23))))))))</f>
        <v/>
      </c>
      <c r="CB23" s="3">
        <f t="shared" si="70"/>
        <v>675</v>
      </c>
      <c r="CC23" s="3">
        <f t="shared" si="71"/>
        <v>675</v>
      </c>
      <c r="CD23" s="3">
        <f t="shared" si="72"/>
        <v>675</v>
      </c>
      <c r="CE23" s="3">
        <f t="shared" si="73"/>
        <v>675</v>
      </c>
      <c r="CF23" s="3">
        <f t="shared" si="74"/>
        <v>675</v>
      </c>
      <c r="CG23" s="3">
        <f t="shared" si="75"/>
        <v>675</v>
      </c>
      <c r="CH23" s="3">
        <f t="shared" si="76"/>
        <v>150</v>
      </c>
      <c r="CI23" s="3">
        <f t="shared" si="77"/>
        <v>0</v>
      </c>
      <c r="CJ23" s="3">
        <f t="shared" si="78"/>
        <v>0</v>
      </c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</row>
    <row r="24" spans="1:253" x14ac:dyDescent="0.25">
      <c r="A24" s="81">
        <v>17</v>
      </c>
      <c r="B24">
        <f>IF(A24&gt;0,FABRICAR!F18,NA())</f>
        <v>38562</v>
      </c>
      <c r="C24" t="str">
        <f>IF(A24&gt;0,FABRICAR!G18,NA())</f>
        <v>Perno Ojo 5/8x9x5H</v>
      </c>
      <c r="D24" s="1" t="str">
        <f t="shared" si="6"/>
        <v>38562T</v>
      </c>
      <c r="E24" t="str">
        <f>IF(A24&gt;0,FABRICAR!P18,"")</f>
        <v>T</v>
      </c>
      <c r="F24">
        <f t="shared" si="7"/>
        <v>0.58699999999999997</v>
      </c>
      <c r="G24">
        <v>456</v>
      </c>
      <c r="H24" t="str">
        <f>IF(B24=0,B24,IF(A24&gt;0,FABRICAR!H18,NA()))</f>
        <v>TERR PER - 03</v>
      </c>
      <c r="I24">
        <f>IF(B24=0,B24,IF(A24&gt;0,FABRICAR!B18,NA()))</f>
        <v>0</v>
      </c>
      <c r="J24" s="75">
        <f>IF(B24=0,B24,'PROGRAM SALDO '!J20)</f>
        <v>420</v>
      </c>
      <c r="K24" s="82">
        <v>616</v>
      </c>
      <c r="L24" t="str">
        <f>IF(A24&gt;0,FABRICAR!J18,NA())</f>
        <v>TERRAJAR</v>
      </c>
      <c r="M24" s="9">
        <f t="shared" si="8"/>
        <v>0.58699999999999997</v>
      </c>
      <c r="N24">
        <f>IF(A24&gt;0,FABRICAR!L18,NA())</f>
        <v>4200</v>
      </c>
      <c r="O24">
        <f>IF(B24=0,B24,IF(A24&gt;0,FABRICAR!M18,"")*9)</f>
        <v>540</v>
      </c>
      <c r="P24" t="str">
        <f t="shared" si="9"/>
        <v/>
      </c>
      <c r="Q24" s="3" t="str">
        <f t="shared" si="10"/>
        <v/>
      </c>
      <c r="R24" s="3" t="str">
        <f t="shared" si="79"/>
        <v/>
      </c>
      <c r="S24" s="3" t="str">
        <f t="shared" si="80"/>
        <v/>
      </c>
      <c r="T24" s="3" t="str">
        <f t="shared" si="81"/>
        <v/>
      </c>
      <c r="U24" s="3" t="str">
        <f t="shared" si="82"/>
        <v/>
      </c>
      <c r="V24" s="3" t="str">
        <f t="shared" si="83"/>
        <v/>
      </c>
      <c r="W24" s="3" t="str">
        <f t="shared" si="84"/>
        <v/>
      </c>
      <c r="X24" s="3" t="str">
        <f t="shared" si="85"/>
        <v/>
      </c>
      <c r="Y24" s="3" t="str">
        <f t="shared" si="86"/>
        <v/>
      </c>
      <c r="Z24" s="3" t="str">
        <f t="shared" si="87"/>
        <v/>
      </c>
      <c r="AA24" s="3" t="str">
        <f t="shared" si="88"/>
        <v/>
      </c>
      <c r="AB24" s="3" t="str">
        <f t="shared" si="89"/>
        <v/>
      </c>
      <c r="AC24" s="3" t="str">
        <f t="shared" si="90"/>
        <v/>
      </c>
      <c r="AD24" s="3" t="str">
        <f t="shared" si="22"/>
        <v/>
      </c>
      <c r="AE24" s="3" t="str">
        <f t="shared" si="23"/>
        <v/>
      </c>
      <c r="AF24" s="3" t="str">
        <f t="shared" si="24"/>
        <v/>
      </c>
      <c r="AG24" s="3" t="str">
        <f t="shared" si="25"/>
        <v/>
      </c>
      <c r="AH24" s="3" t="str">
        <f t="shared" si="26"/>
        <v/>
      </c>
      <c r="AI24" s="3" t="str">
        <f t="shared" si="27"/>
        <v/>
      </c>
      <c r="AJ24" s="3" t="str">
        <f t="shared" si="28"/>
        <v/>
      </c>
      <c r="AK24" s="3" t="str">
        <f t="shared" si="29"/>
        <v/>
      </c>
      <c r="AL24" s="3" t="str">
        <f t="shared" si="30"/>
        <v/>
      </c>
      <c r="AM24" s="3" t="str">
        <f t="shared" si="31"/>
        <v/>
      </c>
      <c r="AN24" s="3" t="str">
        <f t="shared" si="32"/>
        <v/>
      </c>
      <c r="AO24" s="3" t="str">
        <f t="shared" si="33"/>
        <v/>
      </c>
      <c r="AP24" s="3" t="str">
        <f t="shared" si="34"/>
        <v/>
      </c>
      <c r="AQ24" s="3" t="str">
        <f t="shared" si="35"/>
        <v/>
      </c>
      <c r="AR24" s="3" t="str">
        <f t="shared" si="36"/>
        <v/>
      </c>
      <c r="AS24" s="3" t="str">
        <f t="shared" si="37"/>
        <v/>
      </c>
      <c r="AT24" s="3" t="str">
        <f t="shared" si="38"/>
        <v/>
      </c>
      <c r="AU24" s="3" t="str">
        <f t="shared" si="39"/>
        <v/>
      </c>
      <c r="AV24" s="3" t="str">
        <f t="shared" si="40"/>
        <v/>
      </c>
      <c r="AW24" s="3" t="str">
        <f t="shared" si="41"/>
        <v/>
      </c>
      <c r="AX24" s="3" t="str">
        <f t="shared" si="42"/>
        <v/>
      </c>
      <c r="AY24" s="3" t="str">
        <f t="shared" si="43"/>
        <v/>
      </c>
      <c r="AZ24" s="3" t="str">
        <f t="shared" si="44"/>
        <v/>
      </c>
      <c r="BA24" s="3" t="str">
        <f t="shared" si="45"/>
        <v/>
      </c>
      <c r="BB24" s="3" t="str">
        <f t="shared" si="46"/>
        <v/>
      </c>
      <c r="BC24" s="3" t="str">
        <f t="shared" si="47"/>
        <v/>
      </c>
      <c r="BD24" s="3" t="str">
        <f>IF(AND(N24&gt;O24,B23=B24,J23+SUM(P23:BC23)&lt;J24+SUM(P24:BC24)),"",IF(I24&gt;1,VLOOKUP(B24,PROGRAMACION1,48,0),IF(AND(H23=H24,N23&gt;SUM(P23:BC23),BD23&gt;(O23/7)),"",IF(AND(BD23&lt;&gt;0,B23=B24,O24&gt;(SUM(P23:BC23))),"",(IF(N24&gt;O24+(SUM(P24:BC24)),O24,N24-(SUM($P24:BC24))))))))</f>
        <v/>
      </c>
      <c r="BE24" s="3" t="str">
        <f t="shared" si="48"/>
        <v/>
      </c>
      <c r="BF24" s="3" t="str">
        <f t="shared" si="49"/>
        <v/>
      </c>
      <c r="BG24" s="3" t="str">
        <f t="shared" si="50"/>
        <v/>
      </c>
      <c r="BH24" s="3" t="str">
        <f t="shared" si="51"/>
        <v/>
      </c>
      <c r="BI24" s="3" t="str">
        <f t="shared" si="52"/>
        <v/>
      </c>
      <c r="BJ24" s="3" t="str">
        <f t="shared" si="53"/>
        <v/>
      </c>
      <c r="BK24" s="3" t="str">
        <f t="shared" si="54"/>
        <v/>
      </c>
      <c r="BL24" s="3" t="str">
        <f t="shared" si="55"/>
        <v/>
      </c>
      <c r="BM24" s="3" t="str">
        <f t="shared" si="56"/>
        <v/>
      </c>
      <c r="BN24" s="3" t="str">
        <f t="shared" si="57"/>
        <v/>
      </c>
      <c r="BO24" s="3" t="str">
        <f t="shared" si="58"/>
        <v/>
      </c>
      <c r="BP24" s="3" t="str">
        <f t="shared" si="59"/>
        <v/>
      </c>
      <c r="BQ24" s="3" t="str">
        <f t="shared" si="60"/>
        <v/>
      </c>
      <c r="BR24" s="3" t="str">
        <f t="shared" si="61"/>
        <v/>
      </c>
      <c r="BS24" s="3" t="str">
        <f t="shared" si="62"/>
        <v/>
      </c>
      <c r="BT24" s="3" t="str">
        <f t="shared" si="63"/>
        <v/>
      </c>
      <c r="BU24" s="3" t="str">
        <f t="shared" si="64"/>
        <v/>
      </c>
      <c r="BV24" s="3" t="str">
        <f t="shared" si="65"/>
        <v/>
      </c>
      <c r="BW24" s="3" t="str">
        <f t="shared" si="66"/>
        <v/>
      </c>
      <c r="BX24" s="3" t="str">
        <f t="shared" si="67"/>
        <v/>
      </c>
      <c r="BY24" s="3" t="str">
        <f t="shared" si="68"/>
        <v/>
      </c>
      <c r="BZ24" s="3" t="str">
        <f t="shared" si="69"/>
        <v/>
      </c>
      <c r="CA24" s="3" t="str">
        <f>IF(AND(N24&gt;O24,B23=B24,J23+SUM($P23:BZ23)&lt;J24+SUM(P24:BZ24)),"",IF(I24&gt;1,VLOOKUP(B24,PROGRAMACION1,71,0),IF(AND(H23=H24,N23&gt;SUM(P23:BZ23),CA23&gt;(O23/7)),"",IF(AND(CA23&lt;&gt;0,B23=B24,O24&gt;(SUM(P23:BZ23))),"",(IF(N24&gt;O24+(SUM(P24:BZ24)),O24,N24-(SUM(P24:BZ24))))))))</f>
        <v/>
      </c>
      <c r="CB24" s="3" t="str">
        <f t="shared" si="70"/>
        <v/>
      </c>
      <c r="CC24" s="3">
        <f t="shared" si="71"/>
        <v>540</v>
      </c>
      <c r="CD24" s="3">
        <f t="shared" si="72"/>
        <v>540</v>
      </c>
      <c r="CE24" s="3">
        <f t="shared" si="73"/>
        <v>540</v>
      </c>
      <c r="CF24" s="3">
        <f t="shared" si="74"/>
        <v>540</v>
      </c>
      <c r="CG24" s="3">
        <f t="shared" si="75"/>
        <v>540</v>
      </c>
      <c r="CH24" s="3">
        <f t="shared" si="76"/>
        <v>540</v>
      </c>
      <c r="CI24" s="3">
        <f t="shared" si="77"/>
        <v>540</v>
      </c>
      <c r="CJ24" s="3">
        <f t="shared" si="78"/>
        <v>420</v>
      </c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</row>
    <row r="25" spans="1:253" x14ac:dyDescent="0.25">
      <c r="A25" s="81">
        <v>18</v>
      </c>
      <c r="B25">
        <f>IF(A25&gt;0,FABRICAR!F19,NA())</f>
        <v>39148</v>
      </c>
      <c r="C25" t="str">
        <f>IF(A25&gt;0,FABRICAR!G19,NA())</f>
        <v>Grillete 12mm, ojo chico</v>
      </c>
      <c r="D25" s="1" t="str">
        <f t="shared" si="6"/>
        <v>391480</v>
      </c>
      <c r="E25">
        <f>IF(A25&gt;0,FABRICAR!P19,"")</f>
        <v>0</v>
      </c>
      <c r="F25" t="str">
        <f t="shared" si="7"/>
        <v/>
      </c>
      <c r="G25">
        <v>457</v>
      </c>
      <c r="H25" t="str">
        <f>IF(B25=0,B25,IF(A25&gt;0,FABRICAR!H19,NA()))</f>
        <v>PRENSA FR - 04</v>
      </c>
      <c r="I25">
        <f>IF(B25=0,B25,IF(A25&gt;0,FABRICAR!B19,NA()))</f>
        <v>1</v>
      </c>
      <c r="J25" s="75">
        <f>IF(B25=0,B25,'PROGRAM SALDO '!J21)</f>
        <v>305</v>
      </c>
      <c r="K25" s="82">
        <v>617</v>
      </c>
      <c r="L25" t="str">
        <f>IF(A25&gt;0,FABRICAR!J19,NA())</f>
        <v>1° GOLPE</v>
      </c>
      <c r="M25" s="9">
        <f t="shared" si="8"/>
        <v>0.223</v>
      </c>
      <c r="N25">
        <f>IF(A25&gt;0,FABRICAR!L19,NA())</f>
        <v>8000</v>
      </c>
      <c r="O25">
        <f>IF(B25=0,B25,IF(A25&gt;0,FABRICAR!M19,"")*9)</f>
        <v>1539</v>
      </c>
      <c r="P25">
        <f t="shared" si="9"/>
        <v>1539</v>
      </c>
      <c r="Q25" s="3">
        <f t="shared" si="10"/>
        <v>1539</v>
      </c>
      <c r="R25" s="3">
        <f t="shared" si="79"/>
        <v>1539</v>
      </c>
      <c r="S25" s="3">
        <f t="shared" si="80"/>
        <v>1539</v>
      </c>
      <c r="T25" s="3">
        <f t="shared" si="81"/>
        <v>1539</v>
      </c>
      <c r="U25" s="3">
        <f t="shared" si="82"/>
        <v>305</v>
      </c>
      <c r="V25" s="3">
        <f t="shared" si="83"/>
        <v>0</v>
      </c>
      <c r="W25" s="3">
        <f t="shared" si="84"/>
        <v>0</v>
      </c>
      <c r="X25" s="3">
        <f t="shared" si="85"/>
        <v>0</v>
      </c>
      <c r="Y25" s="3">
        <f t="shared" si="86"/>
        <v>0</v>
      </c>
      <c r="Z25" s="3">
        <f t="shared" si="87"/>
        <v>0</v>
      </c>
      <c r="AA25" s="3">
        <f t="shared" si="88"/>
        <v>0</v>
      </c>
      <c r="AB25" s="3">
        <f t="shared" si="89"/>
        <v>0</v>
      </c>
      <c r="AC25" s="3">
        <f t="shared" si="90"/>
        <v>0</v>
      </c>
      <c r="AD25" s="3">
        <f t="shared" si="22"/>
        <v>0</v>
      </c>
      <c r="AE25" s="3">
        <f t="shared" si="23"/>
        <v>0</v>
      </c>
      <c r="AF25" s="3">
        <f t="shared" si="24"/>
        <v>0</v>
      </c>
      <c r="AG25" s="3">
        <f t="shared" si="25"/>
        <v>0</v>
      </c>
      <c r="AH25" s="3">
        <f t="shared" si="26"/>
        <v>0</v>
      </c>
      <c r="AI25" s="3">
        <f t="shared" si="27"/>
        <v>0</v>
      </c>
      <c r="AJ25" s="3">
        <f t="shared" si="28"/>
        <v>0</v>
      </c>
      <c r="AK25" s="3">
        <f t="shared" si="29"/>
        <v>0</v>
      </c>
      <c r="AL25" s="3">
        <f t="shared" si="30"/>
        <v>0</v>
      </c>
      <c r="AM25" s="3">
        <f t="shared" si="31"/>
        <v>0</v>
      </c>
      <c r="AN25" s="3">
        <f t="shared" si="32"/>
        <v>0</v>
      </c>
      <c r="AO25" s="3">
        <f t="shared" si="33"/>
        <v>0</v>
      </c>
      <c r="AP25" s="3">
        <f t="shared" si="34"/>
        <v>0</v>
      </c>
      <c r="AQ25" s="3">
        <f t="shared" si="35"/>
        <v>0</v>
      </c>
      <c r="AR25" s="3">
        <f t="shared" si="36"/>
        <v>0</v>
      </c>
      <c r="AS25" s="3">
        <f t="shared" si="37"/>
        <v>0</v>
      </c>
      <c r="AT25" s="3">
        <f t="shared" si="38"/>
        <v>0</v>
      </c>
      <c r="AU25" s="3">
        <f t="shared" si="39"/>
        <v>0</v>
      </c>
      <c r="AV25" s="3">
        <f t="shared" si="40"/>
        <v>0</v>
      </c>
      <c r="AW25" s="3">
        <f t="shared" si="41"/>
        <v>0</v>
      </c>
      <c r="AX25" s="3">
        <f t="shared" si="42"/>
        <v>0</v>
      </c>
      <c r="AY25" s="3">
        <f t="shared" si="43"/>
        <v>0</v>
      </c>
      <c r="AZ25" s="3">
        <f t="shared" si="44"/>
        <v>0</v>
      </c>
      <c r="BA25" s="3">
        <f t="shared" si="45"/>
        <v>0</v>
      </c>
      <c r="BB25" s="3">
        <f t="shared" si="46"/>
        <v>0</v>
      </c>
      <c r="BC25" s="3">
        <f t="shared" si="47"/>
        <v>0</v>
      </c>
      <c r="BD25" s="3">
        <f>IF(AND(N25&gt;O25,B24=B25,J24+SUM(P24:BC24)&lt;J25+SUM(P25:BC25)),"",IF(I25&gt;1,VLOOKUP(B25,PROGRAMACION1,48,0),IF(AND(H24=H25,N24&gt;SUM(P24:BC24),BD24&gt;(O24/7)),"",IF(AND(BD24&lt;&gt;0,B24=B25,O25&gt;(SUM(P24:BC24))),"",(IF(N25&gt;O25+(SUM(P25:BC25)),O25,N25-(SUM($P25:BC25))))))))</f>
        <v>0</v>
      </c>
      <c r="BE25" s="3">
        <f t="shared" si="48"/>
        <v>0</v>
      </c>
      <c r="BF25" s="3">
        <f t="shared" si="49"/>
        <v>0</v>
      </c>
      <c r="BG25" s="3">
        <f t="shared" si="50"/>
        <v>0</v>
      </c>
      <c r="BH25" s="3">
        <f t="shared" si="51"/>
        <v>0</v>
      </c>
      <c r="BI25" s="3">
        <f t="shared" si="52"/>
        <v>0</v>
      </c>
      <c r="BJ25" s="3">
        <f t="shared" si="53"/>
        <v>0</v>
      </c>
      <c r="BK25" s="3">
        <f t="shared" si="54"/>
        <v>0</v>
      </c>
      <c r="BL25" s="3">
        <f t="shared" si="55"/>
        <v>0</v>
      </c>
      <c r="BM25" s="3">
        <f t="shared" si="56"/>
        <v>0</v>
      </c>
      <c r="BN25" s="3">
        <f t="shared" si="57"/>
        <v>0</v>
      </c>
      <c r="BO25" s="3">
        <f t="shared" si="58"/>
        <v>0</v>
      </c>
      <c r="BP25" s="3">
        <f t="shared" si="59"/>
        <v>0</v>
      </c>
      <c r="BQ25" s="3">
        <f t="shared" si="60"/>
        <v>0</v>
      </c>
      <c r="BR25" s="3">
        <f t="shared" si="61"/>
        <v>0</v>
      </c>
      <c r="BS25" s="3">
        <f t="shared" si="62"/>
        <v>0</v>
      </c>
      <c r="BT25" s="3">
        <f t="shared" si="63"/>
        <v>0</v>
      </c>
      <c r="BU25" s="3">
        <f t="shared" si="64"/>
        <v>0</v>
      </c>
      <c r="BV25" s="3">
        <f t="shared" si="65"/>
        <v>0</v>
      </c>
      <c r="BW25" s="3">
        <f t="shared" si="66"/>
        <v>0</v>
      </c>
      <c r="BX25" s="3">
        <f t="shared" si="67"/>
        <v>0</v>
      </c>
      <c r="BY25" s="3">
        <f t="shared" si="68"/>
        <v>0</v>
      </c>
      <c r="BZ25" s="3">
        <f t="shared" si="69"/>
        <v>0</v>
      </c>
      <c r="CA25" s="3">
        <f>IF(AND(N25&gt;O25,B24=B25,J24+SUM($P24:BZ24)&lt;J25+SUM(P25:BZ25)),"",IF(I25&gt;1,VLOOKUP(B25,PROGRAMACION1,71,0),IF(AND(H24=H25,N24&gt;SUM(P24:BZ24),CA24&gt;(O24/7)),"",IF(AND(CA24&lt;&gt;0,B24=B25,O25&gt;(SUM(P24:BZ24))),"",(IF(N25&gt;O25+(SUM(P25:BZ25)),O25,N25-(SUM(P25:BZ25))))))))</f>
        <v>0</v>
      </c>
      <c r="CB25" s="3">
        <f t="shared" si="70"/>
        <v>0</v>
      </c>
      <c r="CC25" s="3">
        <f t="shared" si="71"/>
        <v>0</v>
      </c>
      <c r="CD25" s="3">
        <f t="shared" si="72"/>
        <v>0</v>
      </c>
      <c r="CE25" s="3">
        <f t="shared" si="73"/>
        <v>0</v>
      </c>
      <c r="CF25" s="3">
        <f t="shared" si="74"/>
        <v>0</v>
      </c>
      <c r="CG25" s="3">
        <f t="shared" si="75"/>
        <v>0</v>
      </c>
      <c r="CH25" s="3">
        <f t="shared" si="76"/>
        <v>0</v>
      </c>
      <c r="CI25" s="3">
        <f t="shared" si="77"/>
        <v>0</v>
      </c>
      <c r="CJ25" s="3">
        <f t="shared" si="78"/>
        <v>0</v>
      </c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</row>
    <row r="26" spans="1:253" x14ac:dyDescent="0.25">
      <c r="A26" s="81">
        <v>19</v>
      </c>
      <c r="B26">
        <f>IF(A26&gt;0,FABRICAR!F20,NA())</f>
        <v>39148</v>
      </c>
      <c r="C26" t="str">
        <f>IF(A26&gt;0,FABRICAR!G20,NA())</f>
        <v>Grillete 12mm, ojo chico</v>
      </c>
      <c r="D26" s="1" t="str">
        <f t="shared" si="6"/>
        <v>391480</v>
      </c>
      <c r="E26">
        <f>IF(A26&gt;0,FABRICAR!P20,"")</f>
        <v>0</v>
      </c>
      <c r="F26" t="str">
        <f t="shared" si="7"/>
        <v/>
      </c>
      <c r="G26">
        <v>458</v>
      </c>
      <c r="H26" t="str">
        <f>IF(B26=0,B26,IF(A26&gt;0,FABRICAR!H20,NA()))</f>
        <v>PRENSA FR - 04</v>
      </c>
      <c r="I26">
        <f>IF(B26=0,B26,IF(A26&gt;0,FABRICAR!B20,NA()))</f>
        <v>0</v>
      </c>
      <c r="J26" s="75">
        <f>IF(B26=0,B26,'PROGRAM SALDO '!J22)</f>
        <v>800</v>
      </c>
      <c r="K26" s="82">
        <v>618</v>
      </c>
      <c r="L26" t="str">
        <f>IF(A26&gt;0,FABRICAR!J20,NA())</f>
        <v>2° GOLPE</v>
      </c>
      <c r="M26" s="9">
        <f t="shared" si="8"/>
        <v>0.223</v>
      </c>
      <c r="N26">
        <f>IF(A26&gt;0,FABRICAR!L20,NA())</f>
        <v>8000</v>
      </c>
      <c r="O26">
        <f>IF(B26=0,B26,IF(A26&gt;0,FABRICAR!M20,"")*9)</f>
        <v>1800</v>
      </c>
      <c r="P26" t="str">
        <f t="shared" si="9"/>
        <v/>
      </c>
      <c r="Q26" s="3" t="str">
        <f t="shared" si="10"/>
        <v/>
      </c>
      <c r="R26" s="3" t="str">
        <f t="shared" si="79"/>
        <v/>
      </c>
      <c r="S26" s="3" t="str">
        <f t="shared" si="80"/>
        <v/>
      </c>
      <c r="T26" s="3" t="str">
        <f t="shared" si="81"/>
        <v/>
      </c>
      <c r="U26" s="3" t="str">
        <f>IF(AND(N26&gt;O26,B25=B26,J25+SUM(P25:T25)&lt;J26+SUM(P26:T26)),"",IF(I26&gt;1,VLOOKUP(B26,PROGRAMACION1,13,0),IF(AND(H25=H26,N25&gt;SUM(P25:T25),U25&gt;(O25/7)),"",IF(AND(U25&lt;&gt;0,B25=B26,O26&gt;(SUM(P25:T25))),"",(IF(N26&gt;O26+(SUM(P26:T26)),O26,N26-(SUM(P26:T26))))))))</f>
        <v/>
      </c>
      <c r="V26" s="3">
        <f t="shared" si="83"/>
        <v>1800</v>
      </c>
      <c r="W26" s="3">
        <f t="shared" si="84"/>
        <v>1800</v>
      </c>
      <c r="X26" s="3">
        <f t="shared" si="85"/>
        <v>1800</v>
      </c>
      <c r="Y26" s="3">
        <f t="shared" si="86"/>
        <v>1800</v>
      </c>
      <c r="Z26" s="3">
        <f t="shared" si="87"/>
        <v>800</v>
      </c>
      <c r="AA26" s="3" t="str">
        <f t="shared" si="88"/>
        <v/>
      </c>
      <c r="AB26" s="3" t="str">
        <f t="shared" si="89"/>
        <v/>
      </c>
      <c r="AC26" s="3" t="str">
        <f t="shared" si="90"/>
        <v/>
      </c>
      <c r="AD26" s="3" t="str">
        <f t="shared" si="22"/>
        <v/>
      </c>
      <c r="AE26" s="3" t="str">
        <f t="shared" si="23"/>
        <v/>
      </c>
      <c r="AF26" s="3" t="str">
        <f t="shared" si="24"/>
        <v/>
      </c>
      <c r="AG26" s="3" t="str">
        <f t="shared" si="25"/>
        <v/>
      </c>
      <c r="AH26" s="3" t="str">
        <f t="shared" si="26"/>
        <v/>
      </c>
      <c r="AI26" s="3" t="str">
        <f t="shared" si="27"/>
        <v/>
      </c>
      <c r="AJ26" s="3" t="str">
        <f t="shared" si="28"/>
        <v/>
      </c>
      <c r="AK26" s="3" t="str">
        <f t="shared" si="29"/>
        <v/>
      </c>
      <c r="AL26" s="3" t="str">
        <f t="shared" si="30"/>
        <v/>
      </c>
      <c r="AM26" s="3" t="str">
        <f t="shared" si="31"/>
        <v/>
      </c>
      <c r="AN26" s="3" t="str">
        <f t="shared" si="32"/>
        <v/>
      </c>
      <c r="AO26" s="3" t="str">
        <f t="shared" si="33"/>
        <v/>
      </c>
      <c r="AP26" s="3" t="str">
        <f t="shared" si="34"/>
        <v/>
      </c>
      <c r="AQ26" s="3" t="str">
        <f t="shared" si="35"/>
        <v/>
      </c>
      <c r="AR26" s="3" t="str">
        <f t="shared" si="36"/>
        <v/>
      </c>
      <c r="AS26" s="3" t="str">
        <f t="shared" si="37"/>
        <v/>
      </c>
      <c r="AT26" s="3" t="str">
        <f t="shared" si="38"/>
        <v/>
      </c>
      <c r="AU26" s="3" t="str">
        <f t="shared" si="39"/>
        <v/>
      </c>
      <c r="AV26" s="3" t="str">
        <f t="shared" si="40"/>
        <v/>
      </c>
      <c r="AW26" s="3" t="str">
        <f t="shared" si="41"/>
        <v/>
      </c>
      <c r="AX26" s="3" t="str">
        <f t="shared" si="42"/>
        <v/>
      </c>
      <c r="AY26" s="3" t="str">
        <f t="shared" si="43"/>
        <v/>
      </c>
      <c r="AZ26" s="3" t="str">
        <f t="shared" si="44"/>
        <v/>
      </c>
      <c r="BA26" s="3" t="str">
        <f t="shared" si="45"/>
        <v/>
      </c>
      <c r="BB26" s="3" t="str">
        <f t="shared" si="46"/>
        <v/>
      </c>
      <c r="BC26" s="3" t="str">
        <f t="shared" si="47"/>
        <v/>
      </c>
      <c r="BD26" s="3" t="str">
        <f>IF(AND(N26&gt;O26,B25=B26,J25+SUM(P25:BC25)&lt;J26+SUM(P26:BC26)),"",IF(I26&gt;1,VLOOKUP(B26,PROGRAMACION1,48,0),IF(AND(H25=H26,N25&gt;SUM(P25:BC25),BD25&gt;(O25/7)),"",IF(AND(BD25&lt;&gt;0,B25=B26,O26&gt;(SUM(P25:BC25))),"",(IF(N26&gt;O26+(SUM(P26:BC26)),O26,N26-(SUM($P26:BC26))))))))</f>
        <v/>
      </c>
      <c r="BE26" s="3" t="str">
        <f t="shared" si="48"/>
        <v/>
      </c>
      <c r="BF26" s="3" t="str">
        <f t="shared" si="49"/>
        <v/>
      </c>
      <c r="BG26" s="3" t="str">
        <f t="shared" si="50"/>
        <v/>
      </c>
      <c r="BH26" s="3" t="str">
        <f t="shared" si="51"/>
        <v/>
      </c>
      <c r="BI26" s="3" t="str">
        <f t="shared" si="52"/>
        <v/>
      </c>
      <c r="BJ26" s="3" t="str">
        <f t="shared" si="53"/>
        <v/>
      </c>
      <c r="BK26" s="3" t="str">
        <f t="shared" si="54"/>
        <v/>
      </c>
      <c r="BL26" s="3" t="str">
        <f t="shared" si="55"/>
        <v/>
      </c>
      <c r="BM26" s="3" t="str">
        <f t="shared" si="56"/>
        <v/>
      </c>
      <c r="BN26" s="3" t="str">
        <f t="shared" si="57"/>
        <v/>
      </c>
      <c r="BO26" s="3" t="str">
        <f t="shared" si="58"/>
        <v/>
      </c>
      <c r="BP26" s="3" t="str">
        <f t="shared" si="59"/>
        <v/>
      </c>
      <c r="BQ26" s="3" t="str">
        <f t="shared" si="60"/>
        <v/>
      </c>
      <c r="BR26" s="3" t="str">
        <f t="shared" si="61"/>
        <v/>
      </c>
      <c r="BS26" s="3" t="str">
        <f t="shared" si="62"/>
        <v/>
      </c>
      <c r="BT26" s="3" t="str">
        <f t="shared" si="63"/>
        <v/>
      </c>
      <c r="BU26" s="3" t="str">
        <f t="shared" si="64"/>
        <v/>
      </c>
      <c r="BV26" s="3" t="str">
        <f t="shared" si="65"/>
        <v/>
      </c>
      <c r="BW26" s="3" t="str">
        <f t="shared" si="66"/>
        <v/>
      </c>
      <c r="BX26" s="3" t="str">
        <f t="shared" si="67"/>
        <v/>
      </c>
      <c r="BY26" s="3" t="str">
        <f t="shared" si="68"/>
        <v/>
      </c>
      <c r="BZ26" s="3" t="str">
        <f t="shared" si="69"/>
        <v/>
      </c>
      <c r="CA26" s="3" t="str">
        <f>IF(AND(N26&gt;O26,B25=B26,J25+SUM($P25:BZ25)&lt;J26+SUM(P26:BZ26)),"",IF(I26&gt;1,VLOOKUP(B26,PROGRAMACION1,71,0),IF(AND(H25=H26,N25&gt;SUM(P25:BZ25),CA25&gt;(O25/7)),"",IF(AND(CA25&lt;&gt;0,B25=B26,O26&gt;(SUM(P25:BZ25))),"",(IF(N26&gt;O26+(SUM(P26:BZ26)),O26,N26-(SUM(P26:BZ26))))))))</f>
        <v/>
      </c>
      <c r="CB26" s="3" t="str">
        <f t="shared" si="70"/>
        <v/>
      </c>
      <c r="CC26" s="3" t="str">
        <f t="shared" si="71"/>
        <v/>
      </c>
      <c r="CD26" s="3" t="str">
        <f t="shared" si="72"/>
        <v/>
      </c>
      <c r="CE26" s="3" t="str">
        <f t="shared" si="73"/>
        <v/>
      </c>
      <c r="CF26" s="3" t="str">
        <f t="shared" si="74"/>
        <v/>
      </c>
      <c r="CG26" s="3" t="str">
        <f t="shared" si="75"/>
        <v/>
      </c>
      <c r="CH26" s="3" t="str">
        <f t="shared" si="76"/>
        <v/>
      </c>
      <c r="CI26" s="3" t="str">
        <f t="shared" si="77"/>
        <v/>
      </c>
      <c r="CJ26" s="3" t="str">
        <f t="shared" si="78"/>
        <v/>
      </c>
    </row>
    <row r="27" spans="1:253" x14ac:dyDescent="0.25">
      <c r="A27" s="81">
        <v>20</v>
      </c>
      <c r="B27">
        <f>IF(A27&gt;0,FABRICAR!F21,NA())</f>
        <v>39148</v>
      </c>
      <c r="C27" t="str">
        <f>IF(A27&gt;0,FABRICAR!G21,NA())</f>
        <v>Grillete 12mm, ojo chico</v>
      </c>
      <c r="D27" s="1" t="str">
        <f t="shared" si="6"/>
        <v>391480</v>
      </c>
      <c r="E27">
        <f>IF(A27&gt;0,FABRICAR!P21,"")</f>
        <v>0</v>
      </c>
      <c r="F27" t="str">
        <f t="shared" si="7"/>
        <v/>
      </c>
      <c r="G27">
        <v>459</v>
      </c>
      <c r="H27" t="str">
        <f>IF(B27=0,B27,IF(A27&gt;0,FABRICAR!H21,NA()))</f>
        <v>FAMAE - 02</v>
      </c>
      <c r="I27">
        <f>IF(B27=0,B27,IF(A27&gt;0,FABRICAR!B21,NA()))</f>
        <v>0</v>
      </c>
      <c r="J27" s="75">
        <f>IF(B27=0,B27,'PROGRAM SALDO '!J23)</f>
        <v>1520</v>
      </c>
      <c r="K27" s="82">
        <v>619</v>
      </c>
      <c r="L27" t="str">
        <f>IF(A27&gt;0,FABRICAR!J21,NA())</f>
        <v>REBABAR</v>
      </c>
      <c r="M27" s="9">
        <f t="shared" si="8"/>
        <v>0.223</v>
      </c>
      <c r="N27">
        <f>IF(A27&gt;0,FABRICAR!L21,NA())</f>
        <v>8000</v>
      </c>
      <c r="O27">
        <f>IF(B27=0,B27,IF(A27&gt;0,FABRICAR!M21,"")*9)</f>
        <v>2160</v>
      </c>
      <c r="P27" t="str">
        <f t="shared" si="9"/>
        <v/>
      </c>
      <c r="Q27" s="3" t="str">
        <f t="shared" si="10"/>
        <v/>
      </c>
      <c r="R27" s="3" t="str">
        <f t="shared" si="79"/>
        <v/>
      </c>
      <c r="S27" s="3" t="str">
        <f t="shared" si="80"/>
        <v/>
      </c>
      <c r="T27" s="3" t="str">
        <f t="shared" si="81"/>
        <v/>
      </c>
      <c r="U27" s="3" t="str">
        <f>IF(AND(N27&gt;O27,B26=B27,J26+SUM(P26:T26)&lt;J27+SUM(P27:T27)),"",IF(I27&gt;1,VLOOKUP(B27,PROGRAMACION1,13,0),IF(AND(H26=H27,N26&gt;SUM(P26:T26),U26&gt;(O26/7)),"",IF(AND(U26&lt;&gt;0,B26=B27,O27&gt;(SUM(P26:T26))),"",(IF(N27&gt;O27+(SUM(P27:T27)),O27,N27-(SUM(P27:T27))))))))</f>
        <v/>
      </c>
      <c r="V27" s="3" t="str">
        <f t="shared" si="83"/>
        <v/>
      </c>
      <c r="W27" s="3" t="str">
        <f t="shared" si="84"/>
        <v/>
      </c>
      <c r="X27" s="3">
        <f t="shared" si="85"/>
        <v>2160</v>
      </c>
      <c r="Y27" s="3">
        <f t="shared" si="86"/>
        <v>2160</v>
      </c>
      <c r="Z27" s="3">
        <f t="shared" si="87"/>
        <v>2160</v>
      </c>
      <c r="AA27" s="3">
        <f t="shared" si="88"/>
        <v>1520</v>
      </c>
      <c r="AB27" s="3" t="str">
        <f t="shared" si="89"/>
        <v/>
      </c>
      <c r="AC27" s="3" t="str">
        <f t="shared" si="90"/>
        <v/>
      </c>
      <c r="AD27" s="3" t="str">
        <f t="shared" si="22"/>
        <v/>
      </c>
      <c r="AE27" s="3" t="str">
        <f t="shared" si="23"/>
        <v/>
      </c>
      <c r="AF27" s="3" t="str">
        <f t="shared" si="24"/>
        <v/>
      </c>
      <c r="AG27" s="3" t="str">
        <f t="shared" si="25"/>
        <v/>
      </c>
      <c r="AH27" s="3" t="str">
        <f t="shared" si="26"/>
        <v/>
      </c>
      <c r="AI27" s="3" t="str">
        <f t="shared" si="27"/>
        <v/>
      </c>
      <c r="AJ27" s="3" t="str">
        <f t="shared" si="28"/>
        <v/>
      </c>
      <c r="AK27" s="3" t="str">
        <f t="shared" si="29"/>
        <v/>
      </c>
      <c r="AL27" s="3" t="str">
        <f t="shared" si="30"/>
        <v/>
      </c>
      <c r="AM27" s="3" t="str">
        <f t="shared" si="31"/>
        <v/>
      </c>
      <c r="AN27" s="3" t="str">
        <f t="shared" si="32"/>
        <v/>
      </c>
      <c r="AO27" s="3" t="str">
        <f t="shared" si="33"/>
        <v/>
      </c>
      <c r="AP27" s="3" t="str">
        <f t="shared" si="34"/>
        <v/>
      </c>
      <c r="AQ27" s="3" t="str">
        <f t="shared" si="35"/>
        <v/>
      </c>
      <c r="AR27" s="3" t="str">
        <f t="shared" si="36"/>
        <v/>
      </c>
      <c r="AS27" s="3" t="str">
        <f t="shared" si="37"/>
        <v/>
      </c>
      <c r="AT27" s="3" t="str">
        <f t="shared" si="38"/>
        <v/>
      </c>
      <c r="AU27" s="3" t="str">
        <f t="shared" si="39"/>
        <v/>
      </c>
      <c r="AV27" s="3" t="str">
        <f t="shared" si="40"/>
        <v/>
      </c>
      <c r="AW27" s="3" t="str">
        <f t="shared" si="41"/>
        <v/>
      </c>
      <c r="AX27" s="3" t="str">
        <f t="shared" si="42"/>
        <v/>
      </c>
      <c r="AY27" s="3" t="str">
        <f t="shared" si="43"/>
        <v/>
      </c>
      <c r="AZ27" s="3" t="str">
        <f t="shared" si="44"/>
        <v/>
      </c>
      <c r="BA27" s="3" t="str">
        <f t="shared" si="45"/>
        <v/>
      </c>
      <c r="BB27" s="3" t="str">
        <f t="shared" si="46"/>
        <v/>
      </c>
      <c r="BC27" s="3" t="str">
        <f t="shared" si="47"/>
        <v/>
      </c>
      <c r="BD27" s="3" t="str">
        <f>IF(AND(N27&gt;O27,B26=B27,J26+SUM(P26:BC26)&lt;J27+SUM(P27:BC27)),"",IF(I27&gt;1,VLOOKUP(B27,PROGRAMACION1,48,0),IF(AND(H26=H27,N26&gt;SUM(P26:BC26),BD26&gt;(O26/7)),"",IF(AND(BD26&lt;&gt;0,B26=B27,O27&gt;(SUM(P26:BC26))),"",(IF(N27&gt;O27+(SUM(P27:BC27)),O27,N27-(SUM($P27:BC27))))))))</f>
        <v/>
      </c>
      <c r="BE27" s="3" t="str">
        <f t="shared" si="48"/>
        <v/>
      </c>
      <c r="BF27" s="3" t="str">
        <f t="shared" si="49"/>
        <v/>
      </c>
      <c r="BG27" s="3" t="str">
        <f t="shared" si="50"/>
        <v/>
      </c>
      <c r="BH27" s="3" t="str">
        <f t="shared" si="51"/>
        <v/>
      </c>
      <c r="BI27" s="3" t="str">
        <f t="shared" si="52"/>
        <v/>
      </c>
      <c r="BJ27" s="3" t="str">
        <f t="shared" si="53"/>
        <v/>
      </c>
      <c r="BK27" s="3" t="str">
        <f t="shared" si="54"/>
        <v/>
      </c>
      <c r="BL27" s="3" t="str">
        <f t="shared" si="55"/>
        <v/>
      </c>
      <c r="BM27" s="3" t="str">
        <f t="shared" si="56"/>
        <v/>
      </c>
      <c r="BN27" s="3" t="str">
        <f t="shared" si="57"/>
        <v/>
      </c>
      <c r="BO27" s="3" t="str">
        <f t="shared" si="58"/>
        <v/>
      </c>
      <c r="BP27" s="3" t="str">
        <f t="shared" si="59"/>
        <v/>
      </c>
      <c r="BQ27" s="3" t="str">
        <f t="shared" si="60"/>
        <v/>
      </c>
      <c r="BR27" s="3" t="str">
        <f t="shared" si="61"/>
        <v/>
      </c>
      <c r="BS27" s="3" t="str">
        <f t="shared" si="62"/>
        <v/>
      </c>
      <c r="BT27" s="3" t="str">
        <f t="shared" si="63"/>
        <v/>
      </c>
      <c r="BU27" s="3" t="str">
        <f t="shared" si="64"/>
        <v/>
      </c>
      <c r="BV27" s="3" t="str">
        <f t="shared" si="65"/>
        <v/>
      </c>
      <c r="BW27" s="3" t="str">
        <f t="shared" si="66"/>
        <v/>
      </c>
      <c r="BX27" s="3" t="str">
        <f t="shared" si="67"/>
        <v/>
      </c>
      <c r="BY27" s="3" t="str">
        <f t="shared" si="68"/>
        <v/>
      </c>
      <c r="BZ27" s="3" t="str">
        <f t="shared" si="69"/>
        <v/>
      </c>
      <c r="CA27" s="3" t="str">
        <f>IF(AND(N27&gt;O27,B26=B27,J26+SUM($P26:BZ26)&lt;J27+SUM(P27:BZ27)),"",IF(I27&gt;1,VLOOKUP(B27,PROGRAMACION1,71,0),IF(AND(H26=H27,N26&gt;SUM(P26:BZ26),CA26&gt;(O26/7)),"",IF(AND(CA26&lt;&gt;0,B26=B27,O27&gt;(SUM(P26:BZ26))),"",(IF(N27&gt;O27+(SUM(P27:BZ27)),O27,N27-(SUM(P27:BZ27))))))))</f>
        <v/>
      </c>
      <c r="CB27" s="3" t="str">
        <f t="shared" si="70"/>
        <v/>
      </c>
      <c r="CC27" s="3" t="str">
        <f t="shared" si="71"/>
        <v/>
      </c>
      <c r="CD27" s="3" t="str">
        <f t="shared" si="72"/>
        <v/>
      </c>
      <c r="CE27" s="3" t="str">
        <f t="shared" si="73"/>
        <v/>
      </c>
      <c r="CF27" s="3" t="str">
        <f t="shared" si="74"/>
        <v/>
      </c>
      <c r="CG27" s="3" t="str">
        <f t="shared" si="75"/>
        <v/>
      </c>
      <c r="CH27" s="3" t="str">
        <f t="shared" si="76"/>
        <v/>
      </c>
      <c r="CI27" s="3" t="str">
        <f t="shared" si="77"/>
        <v/>
      </c>
      <c r="CJ27" s="3" t="str">
        <f t="shared" si="78"/>
        <v/>
      </c>
    </row>
    <row r="28" spans="1:253" x14ac:dyDescent="0.25">
      <c r="A28" s="81">
        <v>21</v>
      </c>
      <c r="B28">
        <f>IF(A28&gt;0,FABRICAR!F22,NA())</f>
        <v>39148</v>
      </c>
      <c r="C28" t="str">
        <f>IF(A28&gt;0,FABRICAR!G22,NA())</f>
        <v>Grillete 12mm, ojo chico</v>
      </c>
      <c r="D28" s="1" t="str">
        <f t="shared" si="6"/>
        <v>391480</v>
      </c>
      <c r="E28">
        <f>IF(A28&gt;0,FABRICAR!P22,"")</f>
        <v>0</v>
      </c>
      <c r="F28" t="str">
        <f t="shared" si="7"/>
        <v/>
      </c>
      <c r="G28">
        <v>460</v>
      </c>
      <c r="H28" t="str">
        <f>IF(B28=0,B28,IF(A28&gt;0,FABRICAR!H22,NA()))</f>
        <v>PRENSA EX - 16</v>
      </c>
      <c r="I28">
        <f>IF(B28=0,B28,IF(A28&gt;0,FABRICAR!B22,NA()))</f>
        <v>0</v>
      </c>
      <c r="J28" s="75">
        <f>IF(B28=0,B28,'PROGRAM SALDO '!J24)</f>
        <v>1925</v>
      </c>
      <c r="K28" s="82">
        <v>620</v>
      </c>
      <c r="L28" t="str">
        <f>IF(A28&gt;0,FABRICAR!J22,NA())</f>
        <v xml:space="preserve">PERFORAR </v>
      </c>
      <c r="M28" s="9">
        <f t="shared" si="8"/>
        <v>0.223</v>
      </c>
      <c r="N28">
        <f>IF(A28&gt;0,FABRICAR!L22,NA())</f>
        <v>8000</v>
      </c>
      <c r="O28">
        <f>IF(B28=0,B28,IF(A28&gt;0,FABRICAR!M22,"")*9)</f>
        <v>2025</v>
      </c>
      <c r="P28" t="str">
        <f t="shared" si="9"/>
        <v/>
      </c>
      <c r="Q28" s="3" t="str">
        <f t="shared" si="10"/>
        <v/>
      </c>
      <c r="R28" s="3" t="str">
        <f t="shared" si="79"/>
        <v/>
      </c>
      <c r="S28" s="3" t="str">
        <f t="shared" si="80"/>
        <v/>
      </c>
      <c r="T28" s="3" t="str">
        <f t="shared" si="81"/>
        <v/>
      </c>
      <c r="U28" s="3" t="str">
        <f t="shared" si="82"/>
        <v/>
      </c>
      <c r="V28" s="3" t="str">
        <f t="shared" si="83"/>
        <v/>
      </c>
      <c r="W28" s="3" t="str">
        <f t="shared" si="84"/>
        <v/>
      </c>
      <c r="X28" s="3" t="str">
        <f t="shared" si="85"/>
        <v/>
      </c>
      <c r="Y28" s="3">
        <f t="shared" si="86"/>
        <v>2025</v>
      </c>
      <c r="Z28" s="3">
        <f t="shared" si="87"/>
        <v>2025</v>
      </c>
      <c r="AA28" s="3">
        <f t="shared" si="88"/>
        <v>2025</v>
      </c>
      <c r="AB28" s="3">
        <f t="shared" si="89"/>
        <v>1925</v>
      </c>
      <c r="AC28" s="3" t="str">
        <f t="shared" si="90"/>
        <v/>
      </c>
      <c r="AD28" s="3" t="str">
        <f t="shared" si="22"/>
        <v/>
      </c>
      <c r="AE28" s="3" t="str">
        <f t="shared" si="23"/>
        <v/>
      </c>
      <c r="AF28" s="3" t="str">
        <f t="shared" si="24"/>
        <v/>
      </c>
      <c r="AG28" s="3" t="str">
        <f t="shared" si="25"/>
        <v/>
      </c>
      <c r="AH28" s="3" t="str">
        <f t="shared" si="26"/>
        <v/>
      </c>
      <c r="AI28" s="3" t="str">
        <f t="shared" si="27"/>
        <v/>
      </c>
      <c r="AJ28" s="3" t="str">
        <f t="shared" si="28"/>
        <v/>
      </c>
      <c r="AK28" s="3" t="str">
        <f t="shared" si="29"/>
        <v/>
      </c>
      <c r="AL28" s="3" t="str">
        <f t="shared" si="30"/>
        <v/>
      </c>
      <c r="AM28" s="3" t="str">
        <f t="shared" si="31"/>
        <v/>
      </c>
      <c r="AN28" s="3" t="str">
        <f t="shared" si="32"/>
        <v/>
      </c>
      <c r="AO28" s="3" t="str">
        <f t="shared" si="33"/>
        <v/>
      </c>
      <c r="AP28" s="3" t="str">
        <f t="shared" si="34"/>
        <v/>
      </c>
      <c r="AQ28" s="3" t="str">
        <f t="shared" si="35"/>
        <v/>
      </c>
      <c r="AR28" s="3" t="str">
        <f t="shared" si="36"/>
        <v/>
      </c>
      <c r="AS28" s="3" t="str">
        <f t="shared" si="37"/>
        <v/>
      </c>
      <c r="AT28" s="3" t="str">
        <f t="shared" si="38"/>
        <v/>
      </c>
      <c r="AU28" s="3" t="str">
        <f t="shared" si="39"/>
        <v/>
      </c>
      <c r="AV28" s="3" t="str">
        <f t="shared" si="40"/>
        <v/>
      </c>
      <c r="AW28" s="3" t="str">
        <f t="shared" si="41"/>
        <v/>
      </c>
      <c r="AX28" s="3" t="str">
        <f t="shared" si="42"/>
        <v/>
      </c>
      <c r="AY28" s="3" t="str">
        <f t="shared" si="43"/>
        <v/>
      </c>
      <c r="AZ28" s="3" t="str">
        <f t="shared" si="44"/>
        <v/>
      </c>
      <c r="BA28" s="3" t="str">
        <f t="shared" si="45"/>
        <v/>
      </c>
      <c r="BB28" s="3" t="str">
        <f t="shared" si="46"/>
        <v/>
      </c>
      <c r="BC28" s="3" t="str">
        <f t="shared" si="47"/>
        <v/>
      </c>
      <c r="BD28" s="3" t="str">
        <f>IF(AND(N28&gt;O28,B27=B28,J27+SUM(P27:BC27)&lt;J28+SUM(P28:BC28)),"",IF(I28&gt;1,VLOOKUP(B28,PROGRAMACION1,48,0),IF(AND(H27=H28,N27&gt;SUM(P27:BC27),BD27&gt;(O27/7)),"",IF(AND(BD27&lt;&gt;0,B27=B28,O28&gt;(SUM(P27:BC27))),"",(IF(N28&gt;O28+(SUM(P28:BC28)),O28,N28-(SUM($P28:BC28))))))))</f>
        <v/>
      </c>
      <c r="BE28" s="3" t="str">
        <f t="shared" si="48"/>
        <v/>
      </c>
      <c r="BF28" s="3" t="str">
        <f t="shared" si="49"/>
        <v/>
      </c>
      <c r="BG28" s="3" t="str">
        <f t="shared" si="50"/>
        <v/>
      </c>
      <c r="BH28" s="3" t="str">
        <f t="shared" si="51"/>
        <v/>
      </c>
      <c r="BI28" s="3" t="str">
        <f t="shared" si="52"/>
        <v/>
      </c>
      <c r="BJ28" s="3" t="str">
        <f t="shared" si="53"/>
        <v/>
      </c>
      <c r="BK28" s="3" t="str">
        <f t="shared" si="54"/>
        <v/>
      </c>
      <c r="BL28" s="3" t="str">
        <f t="shared" si="55"/>
        <v/>
      </c>
      <c r="BM28" s="3" t="str">
        <f t="shared" si="56"/>
        <v/>
      </c>
      <c r="BN28" s="3" t="str">
        <f t="shared" si="57"/>
        <v/>
      </c>
      <c r="BO28" s="3" t="str">
        <f t="shared" si="58"/>
        <v/>
      </c>
      <c r="BP28" s="3" t="str">
        <f t="shared" si="59"/>
        <v/>
      </c>
      <c r="BQ28" s="3" t="str">
        <f t="shared" si="60"/>
        <v/>
      </c>
      <c r="BR28" s="3" t="str">
        <f t="shared" si="61"/>
        <v/>
      </c>
      <c r="BS28" s="3" t="str">
        <f t="shared" si="62"/>
        <v/>
      </c>
      <c r="BT28" s="3" t="str">
        <f t="shared" si="63"/>
        <v/>
      </c>
      <c r="BU28" s="3" t="str">
        <f t="shared" si="64"/>
        <v/>
      </c>
      <c r="BV28" s="3" t="str">
        <f t="shared" si="65"/>
        <v/>
      </c>
      <c r="BW28" s="3" t="str">
        <f t="shared" si="66"/>
        <v/>
      </c>
      <c r="BX28" s="3" t="str">
        <f t="shared" si="67"/>
        <v/>
      </c>
      <c r="BY28" s="3" t="str">
        <f t="shared" si="68"/>
        <v/>
      </c>
      <c r="BZ28" s="3" t="str">
        <f t="shared" si="69"/>
        <v/>
      </c>
      <c r="CA28" s="3" t="str">
        <f>IF(AND(N28&gt;O28,B27=B28,J27+SUM($P27:BZ27)&lt;J28+SUM(P28:BZ28)),"",IF(I28&gt;1,VLOOKUP(B28,PROGRAMACION1,71,0),IF(AND(H27=H28,N27&gt;SUM(P27:BZ27),CA27&gt;(O27/7)),"",IF(AND(CA27&lt;&gt;0,B27=B28,O28&gt;(SUM(P27:BZ27))),"",(IF(N28&gt;O28+(SUM(P28:BZ28)),O28,N28-(SUM(P28:BZ28))))))))</f>
        <v/>
      </c>
      <c r="CB28" s="3" t="str">
        <f t="shared" si="70"/>
        <v/>
      </c>
      <c r="CC28" s="3" t="str">
        <f t="shared" si="71"/>
        <v/>
      </c>
      <c r="CD28" s="3" t="str">
        <f t="shared" si="72"/>
        <v/>
      </c>
      <c r="CE28" s="3" t="str">
        <f t="shared" si="73"/>
        <v/>
      </c>
      <c r="CF28" s="3" t="str">
        <f t="shared" si="74"/>
        <v/>
      </c>
      <c r="CG28" s="3" t="str">
        <f t="shared" si="75"/>
        <v/>
      </c>
      <c r="CH28" s="3" t="str">
        <f t="shared" si="76"/>
        <v/>
      </c>
      <c r="CI28" s="3" t="str">
        <f t="shared" si="77"/>
        <v/>
      </c>
      <c r="CJ28" s="3" t="str">
        <f t="shared" si="78"/>
        <v/>
      </c>
    </row>
    <row r="29" spans="1:253" x14ac:dyDescent="0.25">
      <c r="A29" s="81">
        <v>22</v>
      </c>
      <c r="B29">
        <f>IF(A29&gt;0,FABRICAR!F23,NA())</f>
        <v>39148</v>
      </c>
      <c r="C29" t="str">
        <f>IF(A29&gt;0,FABRICAR!G23,NA())</f>
        <v>Grillete 12mm, ojo chico</v>
      </c>
      <c r="D29" s="1" t="str">
        <f t="shared" si="6"/>
        <v>39148T</v>
      </c>
      <c r="E29" t="str">
        <f>IF(A29&gt;0,FABRICAR!P23,"")</f>
        <v>T</v>
      </c>
      <c r="F29">
        <f t="shared" si="7"/>
        <v>0.223</v>
      </c>
      <c r="G29">
        <v>461</v>
      </c>
      <c r="H29" t="str">
        <f>IF(B29=0,B29,IF(A29&gt;0,FABRICAR!H23,NA()))</f>
        <v>PRENSA FR - 05</v>
      </c>
      <c r="I29">
        <f>IF(B29=0,B29,IF(A29&gt;0,FABRICAR!B23,NA()))</f>
        <v>0</v>
      </c>
      <c r="J29" s="75">
        <f>IF(B29=0,B29,'PROGRAM SALDO '!J25)</f>
        <v>125</v>
      </c>
      <c r="K29" s="82">
        <v>621</v>
      </c>
      <c r="L29" t="str">
        <f>IF(A29&gt;0,FABRICAR!J23,NA())</f>
        <v>FORJAR</v>
      </c>
      <c r="M29" s="9">
        <f t="shared" si="8"/>
        <v>0.223</v>
      </c>
      <c r="N29">
        <f>IF(A29&gt;0,FABRICAR!L23,NA())</f>
        <v>8000</v>
      </c>
      <c r="O29">
        <f>IF(B29=0,B29,IF(A29&gt;0,FABRICAR!M23,"")*9)</f>
        <v>1575</v>
      </c>
      <c r="P29" t="str">
        <f t="shared" si="9"/>
        <v/>
      </c>
      <c r="Q29" s="3" t="str">
        <f t="shared" si="10"/>
        <v/>
      </c>
      <c r="R29" s="3" t="str">
        <f t="shared" si="79"/>
        <v/>
      </c>
      <c r="S29" s="3" t="str">
        <f t="shared" si="80"/>
        <v/>
      </c>
      <c r="T29" s="3" t="str">
        <f t="shared" si="81"/>
        <v/>
      </c>
      <c r="U29" s="3" t="str">
        <f t="shared" si="82"/>
        <v/>
      </c>
      <c r="V29" s="3" t="str">
        <f t="shared" si="83"/>
        <v/>
      </c>
      <c r="W29" s="3" t="str">
        <f t="shared" si="84"/>
        <v/>
      </c>
      <c r="X29" s="3" t="str">
        <f t="shared" si="85"/>
        <v/>
      </c>
      <c r="Y29" s="3" t="str">
        <f t="shared" si="86"/>
        <v/>
      </c>
      <c r="Z29" s="3">
        <f t="shared" si="87"/>
        <v>1575</v>
      </c>
      <c r="AA29" s="3">
        <f t="shared" si="88"/>
        <v>1575</v>
      </c>
      <c r="AB29" s="3">
        <f t="shared" si="89"/>
        <v>1575</v>
      </c>
      <c r="AC29" s="3">
        <f t="shared" si="90"/>
        <v>1575</v>
      </c>
      <c r="AD29" s="3">
        <f t="shared" si="22"/>
        <v>1575</v>
      </c>
      <c r="AE29" s="3">
        <f t="shared" si="23"/>
        <v>125</v>
      </c>
      <c r="AF29" s="3">
        <f t="shared" si="24"/>
        <v>0</v>
      </c>
      <c r="AG29" s="3">
        <f t="shared" si="25"/>
        <v>0</v>
      </c>
      <c r="AH29" s="3">
        <f t="shared" si="26"/>
        <v>0</v>
      </c>
      <c r="AI29" s="3">
        <f t="shared" si="27"/>
        <v>0</v>
      </c>
      <c r="AJ29" s="3">
        <f t="shared" si="28"/>
        <v>0</v>
      </c>
      <c r="AK29" s="3">
        <f t="shared" si="29"/>
        <v>0</v>
      </c>
      <c r="AL29" s="3">
        <f t="shared" si="30"/>
        <v>0</v>
      </c>
      <c r="AM29" s="3">
        <f t="shared" si="31"/>
        <v>0</v>
      </c>
      <c r="AN29" s="3">
        <f t="shared" si="32"/>
        <v>0</v>
      </c>
      <c r="AO29" s="3">
        <f t="shared" si="33"/>
        <v>0</v>
      </c>
      <c r="AP29" s="3">
        <f t="shared" si="34"/>
        <v>0</v>
      </c>
      <c r="AQ29" s="3">
        <f t="shared" si="35"/>
        <v>0</v>
      </c>
      <c r="AR29" s="3">
        <f t="shared" si="36"/>
        <v>0</v>
      </c>
      <c r="AS29" s="3">
        <f t="shared" si="37"/>
        <v>0</v>
      </c>
      <c r="AT29" s="3">
        <f t="shared" si="38"/>
        <v>0</v>
      </c>
      <c r="AU29" s="3">
        <f t="shared" si="39"/>
        <v>0</v>
      </c>
      <c r="AV29" s="3">
        <f t="shared" si="40"/>
        <v>0</v>
      </c>
      <c r="AW29" s="3">
        <f t="shared" si="41"/>
        <v>0</v>
      </c>
      <c r="AX29" s="3">
        <f t="shared" si="42"/>
        <v>0</v>
      </c>
      <c r="AY29" s="3">
        <f t="shared" si="43"/>
        <v>0</v>
      </c>
      <c r="AZ29" s="3">
        <f t="shared" si="44"/>
        <v>0</v>
      </c>
      <c r="BA29" s="3">
        <f t="shared" si="45"/>
        <v>0</v>
      </c>
      <c r="BB29" s="3">
        <f t="shared" si="46"/>
        <v>0</v>
      </c>
      <c r="BC29" s="3">
        <f t="shared" si="47"/>
        <v>0</v>
      </c>
      <c r="BD29" s="3">
        <f>IF(AND(N29&gt;O29,B28=B29,J28+SUM(P28:BC28)&lt;J29+SUM(P29:BC29)),"",IF(I29&gt;1,VLOOKUP(B29,PROGRAMACION1,48,0),IF(AND(H28=H29,N28&gt;SUM(P28:BC28),BD28&gt;(O28/7)),"",IF(AND(BD28&lt;&gt;0,B28=B29,O29&gt;(SUM(P28:BC28))),"",(IF(N29&gt;O29+(SUM(P29:BC29)),O29,N29-(SUM($P29:BC29))))))))</f>
        <v>0</v>
      </c>
      <c r="BE29" s="3">
        <f t="shared" si="48"/>
        <v>0</v>
      </c>
      <c r="BF29" s="3">
        <f t="shared" si="49"/>
        <v>0</v>
      </c>
      <c r="BG29" s="3">
        <f t="shared" si="50"/>
        <v>0</v>
      </c>
      <c r="BH29" s="3">
        <f t="shared" si="51"/>
        <v>0</v>
      </c>
      <c r="BI29" s="3">
        <f t="shared" si="52"/>
        <v>0</v>
      </c>
      <c r="BJ29" s="3">
        <f t="shared" si="53"/>
        <v>0</v>
      </c>
      <c r="BK29" s="3">
        <f t="shared" si="54"/>
        <v>0</v>
      </c>
      <c r="BL29" s="3">
        <f t="shared" si="55"/>
        <v>0</v>
      </c>
      <c r="BM29" s="3">
        <f t="shared" si="56"/>
        <v>0</v>
      </c>
      <c r="BN29" s="3">
        <f t="shared" si="57"/>
        <v>0</v>
      </c>
      <c r="BO29" s="3">
        <f t="shared" si="58"/>
        <v>0</v>
      </c>
      <c r="BP29" s="3">
        <f t="shared" si="59"/>
        <v>0</v>
      </c>
      <c r="BQ29" s="3">
        <f t="shared" si="60"/>
        <v>0</v>
      </c>
      <c r="BR29" s="3">
        <f t="shared" si="61"/>
        <v>0</v>
      </c>
      <c r="BS29" s="3">
        <f t="shared" si="62"/>
        <v>0</v>
      </c>
      <c r="BT29" s="3">
        <f t="shared" si="63"/>
        <v>0</v>
      </c>
      <c r="BU29" s="3">
        <f t="shared" si="64"/>
        <v>0</v>
      </c>
      <c r="BV29" s="3">
        <f t="shared" si="65"/>
        <v>0</v>
      </c>
      <c r="BW29" s="3">
        <f t="shared" si="66"/>
        <v>0</v>
      </c>
      <c r="BX29" s="3">
        <f t="shared" si="67"/>
        <v>0</v>
      </c>
      <c r="BY29" s="3">
        <f t="shared" si="68"/>
        <v>0</v>
      </c>
      <c r="BZ29" s="3">
        <f t="shared" si="69"/>
        <v>0</v>
      </c>
      <c r="CA29" s="3">
        <f>IF(AND(N29&gt;O29,B28=B29,J28+SUM($P28:BZ28)&lt;J29+SUM(P29:BZ29)),"",IF(I29&gt;1,VLOOKUP(B29,PROGRAMACION1,71,0),IF(AND(H28=H29,N28&gt;SUM(P28:BZ28),CA28&gt;(O28/7)),"",IF(AND(CA28&lt;&gt;0,B28=B29,O29&gt;(SUM(P28:BZ28))),"",(IF(N29&gt;O29+(SUM(P29:BZ29)),O29,N29-(SUM(P29:BZ29))))))))</f>
        <v>0</v>
      </c>
      <c r="CB29" s="3">
        <f t="shared" si="70"/>
        <v>0</v>
      </c>
      <c r="CC29" s="3">
        <f t="shared" si="71"/>
        <v>0</v>
      </c>
      <c r="CD29" s="3">
        <f t="shared" si="72"/>
        <v>0</v>
      </c>
      <c r="CE29" s="3">
        <f t="shared" si="73"/>
        <v>0</v>
      </c>
      <c r="CF29" s="3">
        <f t="shared" si="74"/>
        <v>0</v>
      </c>
      <c r="CG29" s="3">
        <f t="shared" si="75"/>
        <v>0</v>
      </c>
      <c r="CH29" s="3">
        <f t="shared" si="76"/>
        <v>0</v>
      </c>
      <c r="CI29" s="3">
        <f t="shared" si="77"/>
        <v>0</v>
      </c>
      <c r="CJ29" s="3">
        <f t="shared" si="78"/>
        <v>0</v>
      </c>
    </row>
    <row r="30" spans="1:253" x14ac:dyDescent="0.25">
      <c r="A30" s="81">
        <v>23</v>
      </c>
      <c r="B30">
        <f>IF(A30&gt;0,FABRICAR!F24,NA())</f>
        <v>39250</v>
      </c>
      <c r="C30" t="str">
        <f>IF(A30&gt;0,FABRICAR!G24,NA())</f>
        <v>Espiga 3/4x126x274 caps.1" Poliamida</v>
      </c>
      <c r="D30" s="1" t="str">
        <f t="shared" si="6"/>
        <v>392500</v>
      </c>
      <c r="E30">
        <f>IF(A30&gt;0,FABRICAR!P24,"")</f>
        <v>0</v>
      </c>
      <c r="F30" t="str">
        <f t="shared" si="7"/>
        <v/>
      </c>
      <c r="G30">
        <v>462</v>
      </c>
      <c r="H30" t="str">
        <f>IF(B30=0,B30,IF(A30&gt;0,FABRICAR!H24,NA()))</f>
        <v>PRENSA FR - 06</v>
      </c>
      <c r="I30">
        <f>IF(B30=0,B30,IF(A30&gt;0,FABRICAR!B24,NA()))</f>
        <v>1</v>
      </c>
      <c r="J30" s="75">
        <f>IF(B30=0,B30,'PROGRAM SALDO '!J26)</f>
        <v>588</v>
      </c>
      <c r="K30" s="82">
        <v>622</v>
      </c>
      <c r="L30" t="str">
        <f>IF(A30&gt;0,FABRICAR!J24,NA())</f>
        <v>ESTAMPAR</v>
      </c>
      <c r="M30" s="9">
        <f t="shared" si="8"/>
        <v>0.64100000000000001</v>
      </c>
      <c r="N30">
        <f>IF(A30&gt;0,FABRICAR!L24,NA())</f>
        <v>7500</v>
      </c>
      <c r="O30">
        <f>IF(B30=0,B30,IF(A30&gt;0,FABRICAR!M24,"")*9)</f>
        <v>864</v>
      </c>
      <c r="P30">
        <f t="shared" si="9"/>
        <v>864</v>
      </c>
      <c r="Q30" s="3">
        <f t="shared" si="10"/>
        <v>864</v>
      </c>
      <c r="R30" s="3">
        <f t="shared" si="79"/>
        <v>864</v>
      </c>
      <c r="S30" s="3">
        <f t="shared" si="80"/>
        <v>864</v>
      </c>
      <c r="T30" s="3">
        <f t="shared" si="81"/>
        <v>864</v>
      </c>
      <c r="U30" s="3">
        <f t="shared" si="82"/>
        <v>864</v>
      </c>
      <c r="V30" s="3">
        <f t="shared" si="83"/>
        <v>864</v>
      </c>
      <c r="W30" s="3">
        <f t="shared" si="84"/>
        <v>864</v>
      </c>
      <c r="X30" s="3">
        <f t="shared" si="85"/>
        <v>588</v>
      </c>
      <c r="Y30" s="3">
        <f t="shared" si="86"/>
        <v>0</v>
      </c>
      <c r="Z30" s="3">
        <f t="shared" si="87"/>
        <v>0</v>
      </c>
      <c r="AA30" s="3">
        <f t="shared" si="88"/>
        <v>0</v>
      </c>
      <c r="AB30" s="3">
        <f t="shared" si="89"/>
        <v>0</v>
      </c>
      <c r="AC30" s="3">
        <f t="shared" si="90"/>
        <v>0</v>
      </c>
      <c r="AD30" s="3">
        <f t="shared" si="22"/>
        <v>0</v>
      </c>
      <c r="AE30" s="3">
        <f t="shared" si="23"/>
        <v>0</v>
      </c>
      <c r="AF30" s="3">
        <f t="shared" si="24"/>
        <v>0</v>
      </c>
      <c r="AG30" s="3">
        <f t="shared" si="25"/>
        <v>0</v>
      </c>
      <c r="AH30" s="3">
        <f t="shared" si="26"/>
        <v>0</v>
      </c>
      <c r="AI30" s="3">
        <f t="shared" si="27"/>
        <v>0</v>
      </c>
      <c r="AJ30" s="3">
        <f t="shared" si="28"/>
        <v>0</v>
      </c>
      <c r="AK30" s="3">
        <f t="shared" si="29"/>
        <v>0</v>
      </c>
      <c r="AL30" s="3">
        <f t="shared" si="30"/>
        <v>0</v>
      </c>
      <c r="AM30" s="3">
        <f t="shared" si="31"/>
        <v>0</v>
      </c>
      <c r="AN30" s="3">
        <f t="shared" si="32"/>
        <v>0</v>
      </c>
      <c r="AO30" s="3">
        <f t="shared" si="33"/>
        <v>0</v>
      </c>
      <c r="AP30" s="3">
        <f t="shared" si="34"/>
        <v>0</v>
      </c>
      <c r="AQ30" s="3">
        <f t="shared" si="35"/>
        <v>0</v>
      </c>
      <c r="AR30" s="3">
        <f t="shared" si="36"/>
        <v>0</v>
      </c>
      <c r="AS30" s="3">
        <f t="shared" si="37"/>
        <v>0</v>
      </c>
      <c r="AT30" s="3">
        <f t="shared" si="38"/>
        <v>0</v>
      </c>
      <c r="AU30" s="3">
        <f t="shared" si="39"/>
        <v>0</v>
      </c>
      <c r="AV30" s="3">
        <f t="shared" si="40"/>
        <v>0</v>
      </c>
      <c r="AW30" s="3">
        <f t="shared" si="41"/>
        <v>0</v>
      </c>
      <c r="AX30" s="3">
        <f t="shared" si="42"/>
        <v>0</v>
      </c>
      <c r="AY30" s="3">
        <f t="shared" si="43"/>
        <v>0</v>
      </c>
      <c r="AZ30" s="3">
        <f t="shared" si="44"/>
        <v>0</v>
      </c>
      <c r="BA30" s="3">
        <f t="shared" si="45"/>
        <v>0</v>
      </c>
      <c r="BB30" s="3">
        <f t="shared" si="46"/>
        <v>0</v>
      </c>
      <c r="BC30" s="3">
        <f t="shared" si="47"/>
        <v>0</v>
      </c>
      <c r="BD30" s="3">
        <f>IF(AND(N30&gt;O30,B29=B30,J29+SUM(P29:BC29)&lt;J30+SUM(P30:BC30)),"",IF(I30&gt;1,VLOOKUP(B30,PROGRAMACION1,48,0),IF(AND(H29=H30,N29&gt;SUM(P29:BC29),BD29&gt;(O29/7)),"",IF(AND(BD29&lt;&gt;0,B29=B30,O30&gt;(SUM(P29:BC29))),"",(IF(N30&gt;O30+(SUM(P30:BC30)),O30,N30-(SUM($P30:BC30))))))))</f>
        <v>0</v>
      </c>
      <c r="BE30" s="3">
        <f t="shared" si="48"/>
        <v>0</v>
      </c>
      <c r="BF30" s="3">
        <f t="shared" si="49"/>
        <v>0</v>
      </c>
      <c r="BG30" s="3">
        <f t="shared" si="50"/>
        <v>0</v>
      </c>
      <c r="BH30" s="3">
        <f t="shared" si="51"/>
        <v>0</v>
      </c>
      <c r="BI30" s="3">
        <f t="shared" si="52"/>
        <v>0</v>
      </c>
      <c r="BJ30" s="3">
        <f t="shared" si="53"/>
        <v>0</v>
      </c>
      <c r="BK30" s="3">
        <f t="shared" si="54"/>
        <v>0</v>
      </c>
      <c r="BL30" s="3">
        <f t="shared" si="55"/>
        <v>0</v>
      </c>
      <c r="BM30" s="3">
        <f t="shared" si="56"/>
        <v>0</v>
      </c>
      <c r="BN30" s="3">
        <f t="shared" si="57"/>
        <v>0</v>
      </c>
      <c r="BO30" s="3">
        <f t="shared" si="58"/>
        <v>0</v>
      </c>
      <c r="BP30" s="3">
        <f t="shared" si="59"/>
        <v>0</v>
      </c>
      <c r="BQ30" s="3">
        <f t="shared" si="60"/>
        <v>0</v>
      </c>
      <c r="BR30" s="3">
        <f t="shared" si="61"/>
        <v>0</v>
      </c>
      <c r="BS30" s="3">
        <f t="shared" si="62"/>
        <v>0</v>
      </c>
      <c r="BT30" s="3">
        <f t="shared" si="63"/>
        <v>0</v>
      </c>
      <c r="BU30" s="3">
        <f t="shared" si="64"/>
        <v>0</v>
      </c>
      <c r="BV30" s="3">
        <f t="shared" si="65"/>
        <v>0</v>
      </c>
      <c r="BW30" s="3">
        <f t="shared" si="66"/>
        <v>0</v>
      </c>
      <c r="BX30" s="3">
        <f t="shared" si="67"/>
        <v>0</v>
      </c>
      <c r="BY30" s="3">
        <f t="shared" si="68"/>
        <v>0</v>
      </c>
      <c r="BZ30" s="3">
        <f t="shared" si="69"/>
        <v>0</v>
      </c>
      <c r="CA30" s="3">
        <f>IF(AND(N30&gt;O30,B29=B30,J29+SUM($P29:BZ29)&lt;J30+SUM(P30:BZ30)),"",IF(I30&gt;1,VLOOKUP(B30,PROGRAMACION1,71,0),IF(AND(H29=H30,N29&gt;SUM(P29:BZ29),CA29&gt;(O29/7)),"",IF(AND(CA29&lt;&gt;0,B29=B30,O30&gt;(SUM(P29:BZ29))),"",(IF(N30&gt;O30+(SUM(P30:BZ30)),O30,N30-(SUM(P30:BZ30))))))))</f>
        <v>0</v>
      </c>
      <c r="CB30" s="3">
        <f t="shared" si="70"/>
        <v>0</v>
      </c>
      <c r="CC30" s="3">
        <f t="shared" si="71"/>
        <v>0</v>
      </c>
      <c r="CD30" s="3">
        <f t="shared" si="72"/>
        <v>0</v>
      </c>
      <c r="CE30" s="3">
        <f t="shared" si="73"/>
        <v>0</v>
      </c>
      <c r="CF30" s="3">
        <f t="shared" si="74"/>
        <v>0</v>
      </c>
      <c r="CG30" s="3">
        <f t="shared" si="75"/>
        <v>0</v>
      </c>
      <c r="CH30" s="3">
        <f t="shared" si="76"/>
        <v>0</v>
      </c>
      <c r="CI30" s="3">
        <f t="shared" si="77"/>
        <v>0</v>
      </c>
      <c r="CJ30" s="3">
        <f t="shared" si="78"/>
        <v>0</v>
      </c>
    </row>
    <row r="31" spans="1:253" x14ac:dyDescent="0.25">
      <c r="A31" s="81">
        <v>24</v>
      </c>
      <c r="B31">
        <f>IF(A31&gt;0,FABRICAR!F25,NA())</f>
        <v>39250</v>
      </c>
      <c r="C31" t="str">
        <f>IF(A31&gt;0,FABRICAR!G25,NA())</f>
        <v>Espiga 3/4x126x274 caps.1" Poliamida</v>
      </c>
      <c r="D31" s="1" t="str">
        <f t="shared" si="6"/>
        <v>392500</v>
      </c>
      <c r="E31">
        <f>IF(A31&gt;0,FABRICAR!P25,"")</f>
        <v>0</v>
      </c>
      <c r="F31" t="str">
        <f t="shared" si="7"/>
        <v/>
      </c>
      <c r="G31">
        <v>463</v>
      </c>
      <c r="H31" t="str">
        <f>IF(B31=0,B31,IF(A31&gt;0,FABRICAR!H25,NA()))</f>
        <v>FAMAE - 02</v>
      </c>
      <c r="I31">
        <f>IF(B31=0,B31,IF(A31&gt;0,FABRICAR!B25,NA()))</f>
        <v>0</v>
      </c>
      <c r="J31" s="75">
        <f>IF(B31=0,B31,'PROGRAM SALDO '!J27)</f>
        <v>750</v>
      </c>
      <c r="K31" s="82">
        <v>623</v>
      </c>
      <c r="L31" t="str">
        <f>IF(A31&gt;0,FABRICAR!J25,NA())</f>
        <v>REBABAR</v>
      </c>
      <c r="M31" s="9">
        <f t="shared" si="8"/>
        <v>0.64100000000000001</v>
      </c>
      <c r="N31">
        <f>IF(A31&gt;0,FABRICAR!L25,NA())</f>
        <v>7500</v>
      </c>
      <c r="O31">
        <f>IF(B31=0,B31,IF(A31&gt;0,FABRICAR!M25,"")*9)</f>
        <v>2250</v>
      </c>
      <c r="P31" t="str">
        <f t="shared" si="9"/>
        <v/>
      </c>
      <c r="Q31" s="3" t="str">
        <f t="shared" si="10"/>
        <v/>
      </c>
      <c r="R31" s="3" t="str">
        <f t="shared" si="79"/>
        <v/>
      </c>
      <c r="S31" s="3">
        <f t="shared" si="80"/>
        <v>2250</v>
      </c>
      <c r="T31" s="3">
        <f t="shared" si="81"/>
        <v>2250</v>
      </c>
      <c r="U31" s="3" t="str">
        <f t="shared" si="82"/>
        <v/>
      </c>
      <c r="V31" s="3">
        <f t="shared" si="83"/>
        <v>2250</v>
      </c>
      <c r="W31" s="3" t="str">
        <f t="shared" si="84"/>
        <v/>
      </c>
      <c r="X31" s="3">
        <f t="shared" si="85"/>
        <v>750</v>
      </c>
      <c r="Y31" s="3" t="str">
        <f t="shared" si="86"/>
        <v/>
      </c>
      <c r="Z31" s="3" t="str">
        <f t="shared" si="87"/>
        <v/>
      </c>
      <c r="AA31" s="3" t="str">
        <f t="shared" si="88"/>
        <v/>
      </c>
      <c r="AB31" s="3" t="str">
        <f t="shared" si="89"/>
        <v/>
      </c>
      <c r="AC31" s="3" t="str">
        <f t="shared" si="90"/>
        <v/>
      </c>
      <c r="AD31" s="3" t="str">
        <f t="shared" si="22"/>
        <v/>
      </c>
      <c r="AE31" s="3" t="str">
        <f>IF(AND(N31&gt;O31,B30=B31,J30+SUM(P30:AD30)&lt;J31+SUM(P31:AD31)),"",IF(I31&gt;1,VLOOKUP(B31,PROGRAMACION1,23,0),IF(AND(H30=H31,N30&gt;SUM(P30:AD30),AE30&gt;(O30/7)),"",IF(AND(AE30&lt;&gt;0,B30=B31,O31&gt;(SUM(P30:AD30))),"",(IF(N31&gt;O31+(SUM(P31:AD31)),O31,N31-(SUM(P31:AD31))))))))</f>
        <v/>
      </c>
      <c r="AF31" s="3" t="str">
        <f t="shared" si="24"/>
        <v/>
      </c>
      <c r="AG31" s="3" t="str">
        <f t="shared" si="25"/>
        <v/>
      </c>
      <c r="AH31" s="3" t="str">
        <f t="shared" si="26"/>
        <v/>
      </c>
      <c r="AI31" s="3" t="str">
        <f t="shared" si="27"/>
        <v/>
      </c>
      <c r="AJ31" s="3" t="str">
        <f t="shared" si="28"/>
        <v/>
      </c>
      <c r="AK31" s="3" t="str">
        <f t="shared" si="29"/>
        <v/>
      </c>
      <c r="AL31" s="3" t="str">
        <f t="shared" si="30"/>
        <v/>
      </c>
      <c r="AM31" s="3" t="str">
        <f t="shared" si="31"/>
        <v/>
      </c>
      <c r="AN31" s="3" t="str">
        <f t="shared" si="32"/>
        <v/>
      </c>
      <c r="AO31" s="3" t="str">
        <f t="shared" si="33"/>
        <v/>
      </c>
      <c r="AP31" s="3" t="str">
        <f t="shared" si="34"/>
        <v/>
      </c>
      <c r="AQ31" s="3" t="str">
        <f t="shared" si="35"/>
        <v/>
      </c>
      <c r="AR31" s="3" t="str">
        <f t="shared" si="36"/>
        <v/>
      </c>
      <c r="AS31" s="3" t="str">
        <f t="shared" si="37"/>
        <v/>
      </c>
      <c r="AT31" s="3" t="str">
        <f t="shared" si="38"/>
        <v/>
      </c>
      <c r="AU31" s="3" t="str">
        <f t="shared" si="39"/>
        <v/>
      </c>
      <c r="AV31" s="3" t="str">
        <f t="shared" si="40"/>
        <v/>
      </c>
      <c r="AW31" s="3" t="str">
        <f t="shared" si="41"/>
        <v/>
      </c>
      <c r="AX31" s="3" t="str">
        <f t="shared" si="42"/>
        <v/>
      </c>
      <c r="AY31" s="3" t="str">
        <f t="shared" si="43"/>
        <v/>
      </c>
      <c r="AZ31" s="3" t="str">
        <f t="shared" si="44"/>
        <v/>
      </c>
      <c r="BA31" s="3" t="str">
        <f t="shared" si="45"/>
        <v/>
      </c>
      <c r="BB31" s="3" t="str">
        <f t="shared" si="46"/>
        <v/>
      </c>
      <c r="BC31" s="3" t="str">
        <f t="shared" si="47"/>
        <v/>
      </c>
      <c r="BD31" s="3" t="str">
        <f>IF(AND(N31&gt;O31,B30=B31,J30+SUM(P30:BC30)&lt;J31+SUM(P31:BC31)),"",IF(I31&gt;1,VLOOKUP(B31,PROGRAMACION1,48,0),IF(AND(H30=H31,N30&gt;SUM(P30:BC30),BD30&gt;(O30/7)),"",IF(AND(BD30&lt;&gt;0,B30=B31,O31&gt;(SUM(P30:BC30))),"",(IF(N31&gt;O31+(SUM(P31:BC31)),O31,N31-(SUM($P31:BC31))))))))</f>
        <v/>
      </c>
      <c r="BE31" s="3" t="str">
        <f t="shared" si="48"/>
        <v/>
      </c>
      <c r="BF31" s="3" t="str">
        <f t="shared" si="49"/>
        <v/>
      </c>
      <c r="BG31" s="3" t="str">
        <f t="shared" si="50"/>
        <v/>
      </c>
      <c r="BH31" s="3" t="str">
        <f t="shared" si="51"/>
        <v/>
      </c>
      <c r="BI31" s="3" t="str">
        <f t="shared" si="52"/>
        <v/>
      </c>
      <c r="BJ31" s="3" t="str">
        <f t="shared" si="53"/>
        <v/>
      </c>
      <c r="BK31" s="3" t="str">
        <f t="shared" si="54"/>
        <v/>
      </c>
      <c r="BL31" s="3" t="str">
        <f t="shared" si="55"/>
        <v/>
      </c>
      <c r="BM31" s="3" t="str">
        <f t="shared" si="56"/>
        <v/>
      </c>
      <c r="BN31" s="3" t="str">
        <f t="shared" si="57"/>
        <v/>
      </c>
      <c r="BO31" s="3" t="str">
        <f t="shared" si="58"/>
        <v/>
      </c>
      <c r="BP31" s="3" t="str">
        <f t="shared" si="59"/>
        <v/>
      </c>
      <c r="BQ31" s="3" t="str">
        <f t="shared" si="60"/>
        <v/>
      </c>
      <c r="BR31" s="3" t="str">
        <f t="shared" si="61"/>
        <v/>
      </c>
      <c r="BS31" s="3" t="str">
        <f t="shared" si="62"/>
        <v/>
      </c>
      <c r="BT31" s="3" t="str">
        <f t="shared" si="63"/>
        <v/>
      </c>
      <c r="BU31" s="3" t="str">
        <f t="shared" si="64"/>
        <v/>
      </c>
      <c r="BV31" s="3" t="str">
        <f t="shared" si="65"/>
        <v/>
      </c>
      <c r="BW31" s="3" t="str">
        <f t="shared" si="66"/>
        <v/>
      </c>
      <c r="BX31" s="3" t="str">
        <f t="shared" si="67"/>
        <v/>
      </c>
      <c r="BY31" s="3" t="str">
        <f t="shared" si="68"/>
        <v/>
      </c>
      <c r="BZ31" s="3" t="str">
        <f t="shared" si="69"/>
        <v/>
      </c>
      <c r="CA31" s="3" t="str">
        <f>IF(AND(N31&gt;O31,B30=B31,J30+SUM($P30:BZ30)&lt;J31+SUM(P31:BZ31)),"",IF(I31&gt;1,VLOOKUP(B31,PROGRAMACION1,71,0),IF(AND(H30=H31,N30&gt;SUM(P30:BZ30),CA30&gt;(O30/7)),"",IF(AND(CA30&lt;&gt;0,B30=B31,O31&gt;(SUM(P30:BZ30))),"",(IF(N31&gt;O31+(SUM(P31:BZ31)),O31,N31-(SUM(P31:BZ31))))))))</f>
        <v/>
      </c>
      <c r="CB31" s="3" t="str">
        <f t="shared" si="70"/>
        <v/>
      </c>
      <c r="CC31" s="3" t="str">
        <f t="shared" si="71"/>
        <v/>
      </c>
      <c r="CD31" s="3" t="str">
        <f t="shared" si="72"/>
        <v/>
      </c>
      <c r="CE31" s="3" t="str">
        <f t="shared" si="73"/>
        <v/>
      </c>
      <c r="CF31" s="3" t="str">
        <f t="shared" si="74"/>
        <v/>
      </c>
      <c r="CG31" s="3" t="str">
        <f t="shared" si="75"/>
        <v/>
      </c>
      <c r="CH31" s="3" t="str">
        <f t="shared" si="76"/>
        <v/>
      </c>
      <c r="CI31" s="3" t="str">
        <f t="shared" si="77"/>
        <v/>
      </c>
      <c r="CJ31" s="3" t="str">
        <f t="shared" si="78"/>
        <v/>
      </c>
    </row>
    <row r="32" spans="1:253" x14ac:dyDescent="0.25">
      <c r="A32" s="81">
        <v>25</v>
      </c>
      <c r="B32">
        <f>IF(A32&gt;0,FABRICAR!F26,NA())</f>
        <v>39250</v>
      </c>
      <c r="C32" t="str">
        <f>IF(A32&gt;0,FABRICAR!G26,NA())</f>
        <v>Espiga 3/4x126x274 caps.1" Poliamida</v>
      </c>
      <c r="D32" s="1" t="str">
        <f t="shared" si="6"/>
        <v>392500</v>
      </c>
      <c r="E32">
        <f>IF(A32&gt;0,FABRICAR!P26,"")</f>
        <v>0</v>
      </c>
      <c r="F32" t="str">
        <f t="shared" si="7"/>
        <v/>
      </c>
      <c r="G32">
        <v>464</v>
      </c>
      <c r="H32" t="str">
        <f>IF(B32=0,B32,IF(A32&gt;0,FABRICAR!H26,NA()))</f>
        <v>PUNT 2 CAB</v>
      </c>
      <c r="I32">
        <f>IF(B32=0,B32,IF(A32&gt;0,FABRICAR!B26,NA()))</f>
        <v>0</v>
      </c>
      <c r="J32" s="75">
        <f>IF(B32=0,B32,'PROGRAM SALDO '!J28)</f>
        <v>750</v>
      </c>
      <c r="K32" s="82">
        <v>624</v>
      </c>
      <c r="L32" t="str">
        <f>IF(A32&gt;0,FABRICAR!J26,NA())</f>
        <v>REBAJAR</v>
      </c>
      <c r="M32" s="9">
        <f t="shared" si="8"/>
        <v>0.64100000000000001</v>
      </c>
      <c r="N32">
        <f>IF(A32&gt;0,FABRICAR!L26,NA())</f>
        <v>7500</v>
      </c>
      <c r="O32">
        <f>IF(B32=0,B32,IF(A32&gt;0,FABRICAR!M26,"")*9)</f>
        <v>1350</v>
      </c>
      <c r="P32" t="str">
        <f t="shared" si="9"/>
        <v/>
      </c>
      <c r="Q32" s="3" t="str">
        <f t="shared" si="10"/>
        <v/>
      </c>
      <c r="R32" s="3" t="str">
        <f t="shared" si="79"/>
        <v/>
      </c>
      <c r="S32" s="3" t="str">
        <f t="shared" si="80"/>
        <v/>
      </c>
      <c r="T32" s="3">
        <f t="shared" si="81"/>
        <v>1350</v>
      </c>
      <c r="U32" s="3">
        <f t="shared" si="82"/>
        <v>1350</v>
      </c>
      <c r="V32" s="3">
        <f t="shared" si="83"/>
        <v>1350</v>
      </c>
      <c r="W32" s="3">
        <f t="shared" si="84"/>
        <v>1350</v>
      </c>
      <c r="X32" s="3">
        <f t="shared" si="85"/>
        <v>1350</v>
      </c>
      <c r="Y32" s="3">
        <f t="shared" si="86"/>
        <v>750</v>
      </c>
      <c r="Z32" s="3">
        <f t="shared" si="87"/>
        <v>0</v>
      </c>
      <c r="AA32" s="3">
        <f t="shared" si="88"/>
        <v>0</v>
      </c>
      <c r="AB32" s="3">
        <f t="shared" si="89"/>
        <v>0</v>
      </c>
      <c r="AC32" s="3">
        <f t="shared" si="90"/>
        <v>0</v>
      </c>
      <c r="AD32" s="3">
        <f t="shared" si="22"/>
        <v>0</v>
      </c>
      <c r="AE32" s="3">
        <f t="shared" si="23"/>
        <v>0</v>
      </c>
      <c r="AF32" s="3">
        <f t="shared" si="24"/>
        <v>0</v>
      </c>
      <c r="AG32" s="3">
        <f t="shared" si="25"/>
        <v>0</v>
      </c>
      <c r="AH32" s="3">
        <f t="shared" si="26"/>
        <v>0</v>
      </c>
      <c r="AI32" s="3">
        <f t="shared" si="27"/>
        <v>0</v>
      </c>
      <c r="AJ32" s="3">
        <f t="shared" si="28"/>
        <v>0</v>
      </c>
      <c r="AK32" s="3">
        <f t="shared" si="29"/>
        <v>0</v>
      </c>
      <c r="AL32" s="3">
        <f t="shared" si="30"/>
        <v>0</v>
      </c>
      <c r="AM32" s="3">
        <f t="shared" si="31"/>
        <v>0</v>
      </c>
      <c r="AN32" s="3">
        <f t="shared" si="32"/>
        <v>0</v>
      </c>
      <c r="AO32" s="3">
        <f t="shared" si="33"/>
        <v>0</v>
      </c>
      <c r="AP32" s="3">
        <f t="shared" si="34"/>
        <v>0</v>
      </c>
      <c r="AQ32" s="3">
        <f t="shared" si="35"/>
        <v>0</v>
      </c>
      <c r="AR32" s="3">
        <f t="shared" si="36"/>
        <v>0</v>
      </c>
      <c r="AS32" s="3">
        <f t="shared" si="37"/>
        <v>0</v>
      </c>
      <c r="AT32" s="3">
        <f t="shared" si="38"/>
        <v>0</v>
      </c>
      <c r="AU32" s="3">
        <f t="shared" si="39"/>
        <v>0</v>
      </c>
      <c r="AV32" s="3">
        <f t="shared" si="40"/>
        <v>0</v>
      </c>
      <c r="AW32" s="3">
        <f t="shared" si="41"/>
        <v>0</v>
      </c>
      <c r="AX32" s="3">
        <f t="shared" si="42"/>
        <v>0</v>
      </c>
      <c r="AY32" s="3">
        <f t="shared" si="43"/>
        <v>0</v>
      </c>
      <c r="AZ32" s="3">
        <f t="shared" si="44"/>
        <v>0</v>
      </c>
      <c r="BA32" s="3">
        <f t="shared" si="45"/>
        <v>0</v>
      </c>
      <c r="BB32" s="3">
        <f t="shared" si="46"/>
        <v>0</v>
      </c>
      <c r="BC32" s="3">
        <f t="shared" si="47"/>
        <v>0</v>
      </c>
      <c r="BD32" s="3">
        <f>IF(AND(N32&gt;O32,B31=B32,J31+SUM(P31:BC31)&lt;J32+SUM(P32:BC32)),"",IF(I32&gt;1,VLOOKUP(B32,PROGRAMACION1,48,0),IF(AND(H31=H32,N31&gt;SUM(P31:BC31),BD31&gt;(O31/7)),"",IF(AND(BD31&lt;&gt;0,B31=B32,O32&gt;(SUM(P31:BC31))),"",(IF(N32&gt;O32+(SUM(P32:BC32)),O32,N32-(SUM($P32:BC32))))))))</f>
        <v>0</v>
      </c>
      <c r="BE32" s="3">
        <f t="shared" si="48"/>
        <v>0</v>
      </c>
      <c r="BF32" s="3">
        <f t="shared" si="49"/>
        <v>0</v>
      </c>
      <c r="BG32" s="3">
        <f t="shared" si="50"/>
        <v>0</v>
      </c>
      <c r="BH32" s="3">
        <f t="shared" si="51"/>
        <v>0</v>
      </c>
      <c r="BI32" s="3">
        <f t="shared" si="52"/>
        <v>0</v>
      </c>
      <c r="BJ32" s="3">
        <f t="shared" si="53"/>
        <v>0</v>
      </c>
      <c r="BK32" s="3">
        <f t="shared" si="54"/>
        <v>0</v>
      </c>
      <c r="BL32" s="3">
        <f t="shared" si="55"/>
        <v>0</v>
      </c>
      <c r="BM32" s="3">
        <f t="shared" si="56"/>
        <v>0</v>
      </c>
      <c r="BN32" s="3">
        <f t="shared" si="57"/>
        <v>0</v>
      </c>
      <c r="BO32" s="3">
        <f t="shared" si="58"/>
        <v>0</v>
      </c>
      <c r="BP32" s="3">
        <f t="shared" si="59"/>
        <v>0</v>
      </c>
      <c r="BQ32" s="3">
        <f t="shared" si="60"/>
        <v>0</v>
      </c>
      <c r="BR32" s="3">
        <f t="shared" si="61"/>
        <v>0</v>
      </c>
      <c r="BS32" s="3">
        <f t="shared" si="62"/>
        <v>0</v>
      </c>
      <c r="BT32" s="3">
        <f t="shared" si="63"/>
        <v>0</v>
      </c>
      <c r="BU32" s="3">
        <f t="shared" si="64"/>
        <v>0</v>
      </c>
      <c r="BV32" s="3">
        <f t="shared" si="65"/>
        <v>0</v>
      </c>
      <c r="BW32" s="3">
        <f t="shared" si="66"/>
        <v>0</v>
      </c>
      <c r="BX32" s="3">
        <f t="shared" si="67"/>
        <v>0</v>
      </c>
      <c r="BY32" s="3">
        <f t="shared" si="68"/>
        <v>0</v>
      </c>
      <c r="BZ32" s="3">
        <f t="shared" si="69"/>
        <v>0</v>
      </c>
      <c r="CA32" s="3">
        <f>IF(AND(N32&gt;O32,B31=B32,J31+SUM($P31:BZ31)&lt;J32+SUM(P32:BZ32)),"",IF(I32&gt;1,VLOOKUP(B32,PROGRAMACION1,71,0),IF(AND(H31=H32,N31&gt;SUM(P31:BZ31),CA31&gt;(O31/7)),"",IF(AND(CA31&lt;&gt;0,B31=B32,O32&gt;(SUM(P31:BZ31))),"",(IF(N32&gt;O32+(SUM(P32:BZ32)),O32,N32-(SUM(P32:BZ32))))))))</f>
        <v>0</v>
      </c>
      <c r="CB32" s="3">
        <f t="shared" si="70"/>
        <v>0</v>
      </c>
      <c r="CC32" s="3">
        <f t="shared" si="71"/>
        <v>0</v>
      </c>
      <c r="CD32" s="3">
        <f t="shared" si="72"/>
        <v>0</v>
      </c>
      <c r="CE32" s="3">
        <f t="shared" si="73"/>
        <v>0</v>
      </c>
      <c r="CF32" s="3">
        <f t="shared" si="74"/>
        <v>0</v>
      </c>
      <c r="CG32" s="3">
        <f t="shared" si="75"/>
        <v>0</v>
      </c>
      <c r="CH32" s="3">
        <f t="shared" si="76"/>
        <v>0</v>
      </c>
      <c r="CI32" s="3">
        <f t="shared" si="77"/>
        <v>0</v>
      </c>
      <c r="CJ32" s="3">
        <f t="shared" si="78"/>
        <v>0</v>
      </c>
    </row>
    <row r="33" spans="1:88" x14ac:dyDescent="0.25">
      <c r="A33" s="81">
        <v>26</v>
      </c>
      <c r="B33">
        <f>IF(A33&gt;0,FABRICAR!F27,NA())</f>
        <v>39250</v>
      </c>
      <c r="C33" t="str">
        <f>IF(A33&gt;0,FABRICAR!G27,NA())</f>
        <v>Espiga 3/4x126x274 caps.1" Poliamida</v>
      </c>
      <c r="D33" s="1" t="str">
        <f t="shared" ref="D33:D37" si="91">B33&amp;E33</f>
        <v>392500</v>
      </c>
      <c r="E33">
        <f>IF(A33&gt;0,FABRICAR!P27,"")</f>
        <v>0</v>
      </c>
      <c r="F33" t="str">
        <f t="shared" ref="F33:F37" si="92">IF(E33="T",M33,"")</f>
        <v/>
      </c>
      <c r="G33">
        <v>465</v>
      </c>
      <c r="H33" t="str">
        <f>IF(B33=0,B33,IF(A33&gt;0,FABRICAR!H27,NA()))</f>
        <v>PRENSA FR - 11</v>
      </c>
      <c r="I33">
        <f>IF(B33=0,B33,IF(A33&gt;0,FABRICAR!B27,NA()))</f>
        <v>0</v>
      </c>
      <c r="J33" s="75">
        <f>IF(B33=0,B33,'PROGRAM SALDO '!J29)</f>
        <v>1290</v>
      </c>
      <c r="K33" s="82">
        <v>625</v>
      </c>
      <c r="L33" t="str">
        <f>IF(A33&gt;0,FABRICAR!J27,NA())</f>
        <v>ESTRIAR</v>
      </c>
      <c r="M33" s="9">
        <f t="shared" ref="M33:M37" si="93">IFERROR(VLOOKUP(C33,PRODUCTOS,4,0),0)</f>
        <v>0.64100000000000001</v>
      </c>
      <c r="N33">
        <f>IF(A33&gt;0,FABRICAR!L27,NA())</f>
        <v>7500</v>
      </c>
      <c r="O33">
        <f>IF(B33=0,B33,IF(A33&gt;0,FABRICAR!M27,"")*9)</f>
        <v>2070</v>
      </c>
      <c r="P33" t="str">
        <f t="shared" si="9"/>
        <v/>
      </c>
      <c r="Q33" s="3" t="str">
        <f t="shared" si="10"/>
        <v/>
      </c>
      <c r="R33" s="3" t="str">
        <f t="shared" si="79"/>
        <v/>
      </c>
      <c r="S33" s="3" t="str">
        <f t="shared" si="80"/>
        <v/>
      </c>
      <c r="T33" s="3" t="str">
        <f t="shared" si="81"/>
        <v/>
      </c>
      <c r="U33" s="3" t="str">
        <f t="shared" si="82"/>
        <v/>
      </c>
      <c r="V33" s="3">
        <f t="shared" si="83"/>
        <v>2070</v>
      </c>
      <c r="W33" s="3">
        <f t="shared" si="84"/>
        <v>2070</v>
      </c>
      <c r="X33" s="3">
        <f t="shared" si="85"/>
        <v>2070</v>
      </c>
      <c r="Y33" s="3">
        <f t="shared" si="86"/>
        <v>1290</v>
      </c>
      <c r="Z33" s="3" t="str">
        <f t="shared" si="87"/>
        <v/>
      </c>
      <c r="AA33" s="3" t="str">
        <f t="shared" si="88"/>
        <v/>
      </c>
      <c r="AB33" s="3" t="str">
        <f t="shared" si="89"/>
        <v/>
      </c>
      <c r="AC33" s="3" t="str">
        <f t="shared" si="90"/>
        <v/>
      </c>
      <c r="AD33" s="3" t="str">
        <f t="shared" si="22"/>
        <v/>
      </c>
      <c r="AE33" s="3" t="str">
        <f t="shared" si="23"/>
        <v/>
      </c>
      <c r="AF33" s="3" t="str">
        <f t="shared" si="24"/>
        <v/>
      </c>
      <c r="AG33" s="3" t="str">
        <f t="shared" si="25"/>
        <v/>
      </c>
      <c r="AH33" s="3" t="str">
        <f t="shared" si="26"/>
        <v/>
      </c>
      <c r="AI33" s="3" t="str">
        <f t="shared" si="27"/>
        <v/>
      </c>
      <c r="AJ33" s="3" t="str">
        <f t="shared" si="28"/>
        <v/>
      </c>
      <c r="AK33" s="3" t="str">
        <f t="shared" si="29"/>
        <v/>
      </c>
      <c r="AL33" s="3" t="str">
        <f t="shared" si="30"/>
        <v/>
      </c>
      <c r="AM33" s="3" t="str">
        <f t="shared" si="31"/>
        <v/>
      </c>
      <c r="AN33" s="3" t="str">
        <f t="shared" si="32"/>
        <v/>
      </c>
      <c r="AO33" s="3" t="str">
        <f t="shared" si="33"/>
        <v/>
      </c>
      <c r="AP33" s="3" t="str">
        <f t="shared" si="34"/>
        <v/>
      </c>
      <c r="AQ33" s="3" t="str">
        <f t="shared" si="35"/>
        <v/>
      </c>
      <c r="AR33" s="3" t="str">
        <f t="shared" si="36"/>
        <v/>
      </c>
      <c r="AS33" s="3" t="str">
        <f t="shared" si="37"/>
        <v/>
      </c>
      <c r="AT33" s="3" t="str">
        <f t="shared" si="38"/>
        <v/>
      </c>
      <c r="AU33" s="3" t="str">
        <f t="shared" si="39"/>
        <v/>
      </c>
      <c r="AV33" s="3" t="str">
        <f t="shared" si="40"/>
        <v/>
      </c>
      <c r="AW33" s="3" t="str">
        <f t="shared" si="41"/>
        <v/>
      </c>
      <c r="AX33" s="3" t="str">
        <f t="shared" si="42"/>
        <v/>
      </c>
      <c r="AY33" s="3" t="str">
        <f t="shared" si="43"/>
        <v/>
      </c>
      <c r="AZ33" s="3" t="str">
        <f t="shared" si="44"/>
        <v/>
      </c>
      <c r="BA33" s="3" t="str">
        <f t="shared" si="45"/>
        <v/>
      </c>
      <c r="BB33" s="3" t="str">
        <f t="shared" si="46"/>
        <v/>
      </c>
      <c r="BC33" s="3" t="str">
        <f t="shared" si="47"/>
        <v/>
      </c>
      <c r="BD33" s="3" t="str">
        <f>IF(AND(N33&gt;O33,B32=B33,J32+SUM(P32:BC32)&lt;J33+SUM(P33:BC33)),"",IF(I33&gt;1,VLOOKUP(B33,PROGRAMACION1,48,0),IF(AND(H32=H33,N32&gt;SUM(P32:BC32),BD32&gt;(O32/7)),"",IF(AND(BD32&lt;&gt;0,B32=B33,O33&gt;(SUM(P32:BC32))),"",(IF(N33&gt;O33+(SUM(P33:BC33)),O33,N33-(SUM($P33:BC33))))))))</f>
        <v/>
      </c>
      <c r="BE33" s="3" t="str">
        <f t="shared" si="48"/>
        <v/>
      </c>
      <c r="BF33" s="3" t="str">
        <f t="shared" si="49"/>
        <v/>
      </c>
      <c r="BG33" s="3" t="str">
        <f t="shared" si="50"/>
        <v/>
      </c>
      <c r="BH33" s="3" t="str">
        <f t="shared" si="51"/>
        <v/>
      </c>
      <c r="BI33" s="3" t="str">
        <f t="shared" si="52"/>
        <v/>
      </c>
      <c r="BJ33" s="3" t="str">
        <f t="shared" si="53"/>
        <v/>
      </c>
      <c r="BK33" s="3" t="str">
        <f t="shared" si="54"/>
        <v/>
      </c>
      <c r="BL33" s="3" t="str">
        <f t="shared" si="55"/>
        <v/>
      </c>
      <c r="BM33" s="3" t="str">
        <f t="shared" si="56"/>
        <v/>
      </c>
      <c r="BN33" s="3" t="str">
        <f t="shared" si="57"/>
        <v/>
      </c>
      <c r="BO33" s="3" t="str">
        <f t="shared" si="58"/>
        <v/>
      </c>
      <c r="BP33" s="3" t="str">
        <f t="shared" si="59"/>
        <v/>
      </c>
      <c r="BQ33" s="3" t="str">
        <f t="shared" si="60"/>
        <v/>
      </c>
      <c r="BR33" s="3" t="str">
        <f t="shared" si="61"/>
        <v/>
      </c>
      <c r="BS33" s="3" t="str">
        <f t="shared" si="62"/>
        <v/>
      </c>
      <c r="BT33" s="3" t="str">
        <f t="shared" si="63"/>
        <v/>
      </c>
      <c r="BU33" s="3" t="str">
        <f t="shared" si="64"/>
        <v/>
      </c>
      <c r="BV33" s="3" t="str">
        <f t="shared" si="65"/>
        <v/>
      </c>
      <c r="BW33" s="3" t="str">
        <f t="shared" si="66"/>
        <v/>
      </c>
      <c r="BX33" s="3" t="str">
        <f t="shared" si="67"/>
        <v/>
      </c>
      <c r="BY33" s="3" t="str">
        <f t="shared" si="68"/>
        <v/>
      </c>
      <c r="BZ33" s="3" t="str">
        <f t="shared" si="69"/>
        <v/>
      </c>
      <c r="CA33" s="3" t="str">
        <f>IF(AND(N33&gt;O33,B32=B33,J32+SUM($P32:BZ32)&lt;J33+SUM(P33:BZ33)),"",IF(I33&gt;1,VLOOKUP(B33,PROGRAMACION1,71,0),IF(AND(H32=H33,N32&gt;SUM(P32:BZ32),CA32&gt;(O32/7)),"",IF(AND(CA32&lt;&gt;0,B32=B33,O33&gt;(SUM(P32:BZ32))),"",(IF(N33&gt;O33+(SUM(P33:BZ33)),O33,N33-(SUM(P33:BZ33))))))))</f>
        <v/>
      </c>
      <c r="CB33" s="3" t="str">
        <f t="shared" si="70"/>
        <v/>
      </c>
      <c r="CC33" s="3" t="str">
        <f t="shared" si="71"/>
        <v/>
      </c>
      <c r="CD33" s="3" t="str">
        <f t="shared" si="72"/>
        <v/>
      </c>
      <c r="CE33" s="3" t="str">
        <f t="shared" si="73"/>
        <v/>
      </c>
      <c r="CF33" s="3" t="str">
        <f t="shared" si="74"/>
        <v/>
      </c>
      <c r="CG33" s="3" t="str">
        <f t="shared" si="75"/>
        <v/>
      </c>
      <c r="CH33" s="3" t="str">
        <f t="shared" si="76"/>
        <v/>
      </c>
      <c r="CI33" s="3" t="str">
        <f t="shared" si="77"/>
        <v/>
      </c>
      <c r="CJ33" s="3" t="str">
        <f t="shared" si="78"/>
        <v/>
      </c>
    </row>
    <row r="34" spans="1:88" x14ac:dyDescent="0.25">
      <c r="A34" s="81">
        <v>27</v>
      </c>
      <c r="B34">
        <f>IF(A34&gt;0,FABRICAR!F28,NA())</f>
        <v>39250</v>
      </c>
      <c r="C34" t="str">
        <f>IF(A34&gt;0,FABRICAR!G28,NA())</f>
        <v>Espiga 3/4x126x274 caps.1" Poliamida</v>
      </c>
      <c r="D34" s="1" t="str">
        <f t="shared" si="91"/>
        <v>392500</v>
      </c>
      <c r="E34">
        <f>IF(A34&gt;0,FABRICAR!P28,"")</f>
        <v>0</v>
      </c>
      <c r="F34" t="str">
        <f t="shared" si="92"/>
        <v/>
      </c>
      <c r="G34">
        <v>466</v>
      </c>
      <c r="H34" t="str">
        <f>IF(B34=0,B34,IF(A34&gt;0,FABRICAR!H28,NA()))</f>
        <v>PUNT PER</v>
      </c>
      <c r="I34">
        <f>IF(B34=0,B34,IF(A34&gt;0,FABRICAR!B28,NA()))</f>
        <v>0</v>
      </c>
      <c r="J34" s="75">
        <f>IF(B34=0,B34,'PROGRAM SALDO '!J30)</f>
        <v>1200</v>
      </c>
      <c r="K34" s="82">
        <v>626</v>
      </c>
      <c r="L34" t="str">
        <f>IF(A34&gt;0,FABRICAR!J28,NA())</f>
        <v>PUNTEAR</v>
      </c>
      <c r="M34" s="9">
        <f t="shared" si="93"/>
        <v>0.64100000000000001</v>
      </c>
      <c r="N34">
        <f>IF(A34&gt;0,FABRICAR!L28,NA())</f>
        <v>7500</v>
      </c>
      <c r="O34">
        <f>IF(B34=0,B34,IF(A34&gt;0,FABRICAR!M28,"")*9)</f>
        <v>1260</v>
      </c>
      <c r="P34" t="str">
        <f t="shared" si="9"/>
        <v/>
      </c>
      <c r="Q34" s="3" t="str">
        <f t="shared" si="10"/>
        <v/>
      </c>
      <c r="R34" s="3" t="str">
        <f t="shared" si="79"/>
        <v/>
      </c>
      <c r="S34" s="3" t="str">
        <f t="shared" si="80"/>
        <v/>
      </c>
      <c r="T34" s="3" t="str">
        <f t="shared" si="81"/>
        <v/>
      </c>
      <c r="U34" s="3" t="str">
        <f t="shared" si="82"/>
        <v/>
      </c>
      <c r="V34" s="3" t="str">
        <f t="shared" si="83"/>
        <v/>
      </c>
      <c r="W34" s="3">
        <f t="shared" si="84"/>
        <v>1260</v>
      </c>
      <c r="X34" s="3">
        <f t="shared" si="85"/>
        <v>1260</v>
      </c>
      <c r="Y34" s="3">
        <f t="shared" si="86"/>
        <v>1260</v>
      </c>
      <c r="Z34" s="3">
        <f t="shared" si="87"/>
        <v>1260</v>
      </c>
      <c r="AA34" s="3">
        <f t="shared" si="88"/>
        <v>1260</v>
      </c>
      <c r="AB34" s="3">
        <f t="shared" si="89"/>
        <v>1200</v>
      </c>
      <c r="AC34" s="3">
        <f t="shared" si="90"/>
        <v>0</v>
      </c>
      <c r="AD34" s="3">
        <f t="shared" si="22"/>
        <v>0</v>
      </c>
      <c r="AE34" s="3">
        <f t="shared" si="23"/>
        <v>0</v>
      </c>
      <c r="AF34" s="3">
        <f t="shared" si="24"/>
        <v>0</v>
      </c>
      <c r="AG34" s="3">
        <f t="shared" si="25"/>
        <v>0</v>
      </c>
      <c r="AH34" s="3">
        <f t="shared" si="26"/>
        <v>0</v>
      </c>
      <c r="AI34" s="3">
        <f t="shared" si="27"/>
        <v>0</v>
      </c>
      <c r="AJ34" s="3">
        <f t="shared" si="28"/>
        <v>0</v>
      </c>
      <c r="AK34" s="3">
        <f t="shared" si="29"/>
        <v>0</v>
      </c>
      <c r="AL34" s="3">
        <f t="shared" si="30"/>
        <v>0</v>
      </c>
      <c r="AM34" s="3">
        <f t="shared" si="31"/>
        <v>0</v>
      </c>
      <c r="AN34" s="3">
        <f t="shared" si="32"/>
        <v>0</v>
      </c>
      <c r="AO34" s="3">
        <f t="shared" si="33"/>
        <v>0</v>
      </c>
      <c r="AP34" s="3">
        <f t="shared" si="34"/>
        <v>0</v>
      </c>
      <c r="AQ34" s="3">
        <f t="shared" si="35"/>
        <v>0</v>
      </c>
      <c r="AR34" s="3">
        <f t="shared" si="36"/>
        <v>0</v>
      </c>
      <c r="AS34" s="3">
        <f t="shared" si="37"/>
        <v>0</v>
      </c>
      <c r="AT34" s="3">
        <f t="shared" si="38"/>
        <v>0</v>
      </c>
      <c r="AU34" s="3">
        <f t="shared" si="39"/>
        <v>0</v>
      </c>
      <c r="AV34" s="3">
        <f t="shared" si="40"/>
        <v>0</v>
      </c>
      <c r="AW34" s="3">
        <f t="shared" si="41"/>
        <v>0</v>
      </c>
      <c r="AX34" s="3">
        <f t="shared" si="42"/>
        <v>0</v>
      </c>
      <c r="AY34" s="3">
        <f t="shared" si="43"/>
        <v>0</v>
      </c>
      <c r="AZ34" s="3">
        <f t="shared" si="44"/>
        <v>0</v>
      </c>
      <c r="BA34" s="3">
        <f t="shared" si="45"/>
        <v>0</v>
      </c>
      <c r="BB34" s="3">
        <f t="shared" si="46"/>
        <v>0</v>
      </c>
      <c r="BC34" s="3">
        <f t="shared" si="47"/>
        <v>0</v>
      </c>
      <c r="BD34" s="3">
        <f>IF(AND(N34&gt;O34,B33=B34,J33+SUM(P33:BC33)&lt;J34+SUM(P34:BC34)),"",IF(I34&gt;1,VLOOKUP(B34,PROGRAMACION1,48,0),IF(AND(H33=H34,N33&gt;SUM(P33:BC33),BD33&gt;(O33/7)),"",IF(AND(BD33&lt;&gt;0,B33=B34,O34&gt;(SUM(P33:BC33))),"",(IF(N34&gt;O34+(SUM(P34:BC34)),O34,N34-(SUM($P34:BC34))))))))</f>
        <v>0</v>
      </c>
      <c r="BE34" s="3">
        <f t="shared" si="48"/>
        <v>0</v>
      </c>
      <c r="BF34" s="3">
        <f t="shared" si="49"/>
        <v>0</v>
      </c>
      <c r="BG34" s="3">
        <f t="shared" si="50"/>
        <v>0</v>
      </c>
      <c r="BH34" s="3">
        <f t="shared" si="51"/>
        <v>0</v>
      </c>
      <c r="BI34" s="3">
        <f t="shared" si="52"/>
        <v>0</v>
      </c>
      <c r="BJ34" s="3">
        <f t="shared" si="53"/>
        <v>0</v>
      </c>
      <c r="BK34" s="3">
        <f t="shared" si="54"/>
        <v>0</v>
      </c>
      <c r="BL34" s="3">
        <f t="shared" si="55"/>
        <v>0</v>
      </c>
      <c r="BM34" s="3">
        <f t="shared" si="56"/>
        <v>0</v>
      </c>
      <c r="BN34" s="3">
        <f t="shared" si="57"/>
        <v>0</v>
      </c>
      <c r="BO34" s="3">
        <f t="shared" si="58"/>
        <v>0</v>
      </c>
      <c r="BP34" s="3">
        <f t="shared" si="59"/>
        <v>0</v>
      </c>
      <c r="BQ34" s="3">
        <f t="shared" si="60"/>
        <v>0</v>
      </c>
      <c r="BR34" s="3">
        <f t="shared" si="61"/>
        <v>0</v>
      </c>
      <c r="BS34" s="3">
        <f t="shared" si="62"/>
        <v>0</v>
      </c>
      <c r="BT34" s="3">
        <f t="shared" si="63"/>
        <v>0</v>
      </c>
      <c r="BU34" s="3">
        <f t="shared" si="64"/>
        <v>0</v>
      </c>
      <c r="BV34" s="3">
        <f t="shared" si="65"/>
        <v>0</v>
      </c>
      <c r="BW34" s="3">
        <f t="shared" si="66"/>
        <v>0</v>
      </c>
      <c r="BX34" s="3">
        <f t="shared" si="67"/>
        <v>0</v>
      </c>
      <c r="BY34" s="3">
        <f t="shared" si="68"/>
        <v>0</v>
      </c>
      <c r="BZ34" s="3">
        <f t="shared" si="69"/>
        <v>0</v>
      </c>
      <c r="CA34" s="3">
        <f>IF(AND(N34&gt;O34,B33=B34,J33+SUM($P33:BZ33)&lt;J34+SUM(P34:BZ34)),"",IF(I34&gt;1,VLOOKUP(B34,PROGRAMACION1,71,0),IF(AND(H33=H34,N33&gt;SUM(P33:BZ33),CA33&gt;(O33/7)),"",IF(AND(CA33&lt;&gt;0,B33=B34,O34&gt;(SUM(P33:BZ33))),"",(IF(N34&gt;O34+(SUM(P34:BZ34)),O34,N34-(SUM(P34:BZ34))))))))</f>
        <v>0</v>
      </c>
      <c r="CB34" s="3">
        <f t="shared" si="70"/>
        <v>0</v>
      </c>
      <c r="CC34" s="3">
        <f t="shared" si="71"/>
        <v>0</v>
      </c>
      <c r="CD34" s="3">
        <f t="shared" si="72"/>
        <v>0</v>
      </c>
      <c r="CE34" s="3">
        <f t="shared" si="73"/>
        <v>0</v>
      </c>
      <c r="CF34" s="3">
        <f t="shared" si="74"/>
        <v>0</v>
      </c>
      <c r="CG34" s="3">
        <f t="shared" si="75"/>
        <v>0</v>
      </c>
      <c r="CH34" s="3">
        <f t="shared" si="76"/>
        <v>0</v>
      </c>
      <c r="CI34" s="3">
        <f t="shared" si="77"/>
        <v>0</v>
      </c>
      <c r="CJ34" s="3">
        <f t="shared" si="78"/>
        <v>0</v>
      </c>
    </row>
    <row r="35" spans="1:88" x14ac:dyDescent="0.25">
      <c r="A35" s="81">
        <v>28</v>
      </c>
      <c r="B35">
        <f>IF(A35&gt;0,FABRICAR!F29,NA())</f>
        <v>39250</v>
      </c>
      <c r="C35" t="str">
        <f>IF(A35&gt;0,FABRICAR!G29,NA())</f>
        <v>Espiga 3/4x126x274 caps.1" Poliamida</v>
      </c>
      <c r="D35" s="1" t="str">
        <f t="shared" si="91"/>
        <v>39250T</v>
      </c>
      <c r="E35" t="str">
        <f>IF(A35&gt;0,FABRICAR!P29,"")</f>
        <v>T</v>
      </c>
      <c r="F35">
        <f t="shared" si="92"/>
        <v>0.64100000000000001</v>
      </c>
      <c r="G35">
        <v>467</v>
      </c>
      <c r="H35" t="str">
        <f>IF(B35=0,B35,IF(A35&gt;0,FABRICAR!H29,NA()))</f>
        <v>TERR PER - 05</v>
      </c>
      <c r="I35">
        <f>IF(B35=0,B35,IF(A35&gt;0,FABRICAR!B29,NA()))</f>
        <v>0</v>
      </c>
      <c r="J35" s="75">
        <f>IF(B35=0,B35,'PROGRAM SALDO '!J31)</f>
        <v>1020</v>
      </c>
      <c r="K35" s="82">
        <v>627</v>
      </c>
      <c r="L35" t="str">
        <f>IF(A35&gt;0,FABRICAR!J29,NA())</f>
        <v>TERRAJAR</v>
      </c>
      <c r="M35" s="9">
        <f t="shared" si="93"/>
        <v>0.64100000000000001</v>
      </c>
      <c r="N35">
        <f>IF(A35&gt;0,FABRICAR!L29,NA())</f>
        <v>7500</v>
      </c>
      <c r="O35">
        <f>IF(B35=0,B35,IF(A35&gt;0,FABRICAR!M29,"")*9)</f>
        <v>1080</v>
      </c>
      <c r="P35" t="str">
        <f t="shared" si="9"/>
        <v/>
      </c>
      <c r="Q35" s="3" t="str">
        <f t="shared" si="10"/>
        <v/>
      </c>
      <c r="R35" s="3" t="str">
        <f t="shared" si="79"/>
        <v/>
      </c>
      <c r="S35" s="3" t="str">
        <f t="shared" si="80"/>
        <v/>
      </c>
      <c r="T35" s="3" t="str">
        <f t="shared" si="81"/>
        <v/>
      </c>
      <c r="U35" s="3" t="str">
        <f t="shared" si="82"/>
        <v/>
      </c>
      <c r="V35" s="3" t="str">
        <f t="shared" si="83"/>
        <v/>
      </c>
      <c r="W35" s="3" t="str">
        <f t="shared" si="84"/>
        <v/>
      </c>
      <c r="X35" s="3">
        <f t="shared" si="85"/>
        <v>1080</v>
      </c>
      <c r="Y35" s="3">
        <f t="shared" si="86"/>
        <v>1080</v>
      </c>
      <c r="Z35" s="3">
        <f t="shared" si="87"/>
        <v>1080</v>
      </c>
      <c r="AA35" s="3">
        <f t="shared" si="88"/>
        <v>1080</v>
      </c>
      <c r="AB35" s="3">
        <f t="shared" si="89"/>
        <v>1080</v>
      </c>
      <c r="AC35" s="3">
        <f t="shared" si="90"/>
        <v>1080</v>
      </c>
      <c r="AD35" s="3">
        <f t="shared" si="22"/>
        <v>1020</v>
      </c>
      <c r="AE35" s="3">
        <f t="shared" si="23"/>
        <v>0</v>
      </c>
      <c r="AF35" s="3">
        <f t="shared" si="24"/>
        <v>0</v>
      </c>
      <c r="AG35" s="3">
        <f t="shared" si="25"/>
        <v>0</v>
      </c>
      <c r="AH35" s="3">
        <f t="shared" si="26"/>
        <v>0</v>
      </c>
      <c r="AI35" s="3">
        <f t="shared" si="27"/>
        <v>0</v>
      </c>
      <c r="AJ35" s="3">
        <f t="shared" si="28"/>
        <v>0</v>
      </c>
      <c r="AK35" s="3">
        <f t="shared" si="29"/>
        <v>0</v>
      </c>
      <c r="AL35" s="3">
        <f t="shared" si="30"/>
        <v>0</v>
      </c>
      <c r="AM35" s="3">
        <f t="shared" si="31"/>
        <v>0</v>
      </c>
      <c r="AN35" s="3">
        <f t="shared" si="32"/>
        <v>0</v>
      </c>
      <c r="AO35" s="3">
        <f t="shared" si="33"/>
        <v>0</v>
      </c>
      <c r="AP35" s="3">
        <f t="shared" si="34"/>
        <v>0</v>
      </c>
      <c r="AQ35" s="3">
        <f t="shared" si="35"/>
        <v>0</v>
      </c>
      <c r="AR35" s="3">
        <f t="shared" si="36"/>
        <v>0</v>
      </c>
      <c r="AS35" s="3">
        <f t="shared" si="37"/>
        <v>0</v>
      </c>
      <c r="AT35" s="3">
        <f t="shared" si="38"/>
        <v>0</v>
      </c>
      <c r="AU35" s="3">
        <f t="shared" si="39"/>
        <v>0</v>
      </c>
      <c r="AV35" s="3">
        <f t="shared" si="40"/>
        <v>0</v>
      </c>
      <c r="AW35" s="3">
        <f t="shared" si="41"/>
        <v>0</v>
      </c>
      <c r="AX35" s="3">
        <f t="shared" si="42"/>
        <v>0</v>
      </c>
      <c r="AY35" s="3">
        <f t="shared" si="43"/>
        <v>0</v>
      </c>
      <c r="AZ35" s="3">
        <f t="shared" si="44"/>
        <v>0</v>
      </c>
      <c r="BA35" s="3">
        <f t="shared" si="45"/>
        <v>0</v>
      </c>
      <c r="BB35" s="3">
        <f t="shared" si="46"/>
        <v>0</v>
      </c>
      <c r="BC35" s="3">
        <f t="shared" si="47"/>
        <v>0</v>
      </c>
      <c r="BD35" s="3">
        <f>IF(AND(N35&gt;O35,B34=B35,J34+SUM(P34:BC34)&lt;J35+SUM(P35:BC35)),"",IF(I35&gt;1,VLOOKUP(B35,PROGRAMACION1,48,0),IF(AND(H34=H35,N34&gt;SUM(P34:BC34),BD34&gt;(O34/7)),"",IF(AND(BD34&lt;&gt;0,B34=B35,O35&gt;(SUM(P34:BC34))),"",(IF(N35&gt;O35+(SUM(P35:BC35)),O35,N35-(SUM($P35:BC35))))))))</f>
        <v>0</v>
      </c>
      <c r="BE35" s="3">
        <f t="shared" si="48"/>
        <v>0</v>
      </c>
      <c r="BF35" s="3">
        <f t="shared" si="49"/>
        <v>0</v>
      </c>
      <c r="BG35" s="3">
        <f t="shared" si="50"/>
        <v>0</v>
      </c>
      <c r="BH35" s="3">
        <f t="shared" si="51"/>
        <v>0</v>
      </c>
      <c r="BI35" s="3">
        <f t="shared" si="52"/>
        <v>0</v>
      </c>
      <c r="BJ35" s="3">
        <f t="shared" si="53"/>
        <v>0</v>
      </c>
      <c r="BK35" s="3">
        <f t="shared" si="54"/>
        <v>0</v>
      </c>
      <c r="BL35" s="3">
        <f t="shared" si="55"/>
        <v>0</v>
      </c>
      <c r="BM35" s="3">
        <f t="shared" si="56"/>
        <v>0</v>
      </c>
      <c r="BN35" s="3">
        <f t="shared" si="57"/>
        <v>0</v>
      </c>
      <c r="BO35" s="3">
        <f t="shared" si="58"/>
        <v>0</v>
      </c>
      <c r="BP35" s="3">
        <f t="shared" si="59"/>
        <v>0</v>
      </c>
      <c r="BQ35" s="3">
        <f t="shared" si="60"/>
        <v>0</v>
      </c>
      <c r="BR35" s="3">
        <f t="shared" si="61"/>
        <v>0</v>
      </c>
      <c r="BS35" s="3">
        <f t="shared" si="62"/>
        <v>0</v>
      </c>
      <c r="BT35" s="3">
        <f t="shared" si="63"/>
        <v>0</v>
      </c>
      <c r="BU35" s="3">
        <f t="shared" si="64"/>
        <v>0</v>
      </c>
      <c r="BV35" s="3">
        <f t="shared" si="65"/>
        <v>0</v>
      </c>
      <c r="BW35" s="3">
        <f t="shared" si="66"/>
        <v>0</v>
      </c>
      <c r="BX35" s="3">
        <f t="shared" si="67"/>
        <v>0</v>
      </c>
      <c r="BY35" s="3">
        <f t="shared" si="68"/>
        <v>0</v>
      </c>
      <c r="BZ35" s="3">
        <f t="shared" si="69"/>
        <v>0</v>
      </c>
      <c r="CA35" s="3">
        <f>IF(AND(N35&gt;O35,B34=B35,J34+SUM($P34:BZ34)&lt;J35+SUM(P35:BZ35)),"",IF(I35&gt;1,VLOOKUP(B35,PROGRAMACION1,71,0),IF(AND(H34=H35,N34&gt;SUM(P34:BZ34),CA34&gt;(O34/7)),"",IF(AND(CA34&lt;&gt;0,B34=B35,O35&gt;(SUM(P34:BZ34))),"",(IF(N35&gt;O35+(SUM(P35:BZ35)),O35,N35-(SUM(P35:BZ35))))))))</f>
        <v>0</v>
      </c>
      <c r="CB35" s="3">
        <f t="shared" si="70"/>
        <v>0</v>
      </c>
      <c r="CC35" s="3">
        <f t="shared" si="71"/>
        <v>0</v>
      </c>
      <c r="CD35" s="3">
        <f t="shared" si="72"/>
        <v>0</v>
      </c>
      <c r="CE35" s="3">
        <f t="shared" si="73"/>
        <v>0</v>
      </c>
      <c r="CF35" s="3">
        <f t="shared" si="74"/>
        <v>0</v>
      </c>
      <c r="CG35" s="3">
        <f t="shared" si="75"/>
        <v>0</v>
      </c>
      <c r="CH35" s="3">
        <f t="shared" si="76"/>
        <v>0</v>
      </c>
      <c r="CI35" s="3">
        <f t="shared" si="77"/>
        <v>0</v>
      </c>
      <c r="CJ35" s="3">
        <f t="shared" si="78"/>
        <v>0</v>
      </c>
    </row>
    <row r="36" spans="1:88" x14ac:dyDescent="0.25">
      <c r="A36" s="81">
        <v>29</v>
      </c>
      <c r="B36">
        <f>IF(A36&gt;0,FABRICAR!F30,NA())</f>
        <v>38998</v>
      </c>
      <c r="C36" t="str">
        <f>IF(A36&gt;0,FABRICAR!G30,NA())</f>
        <v>Eslabón Angular Estampado perf.18</v>
      </c>
      <c r="D36" s="1" t="str">
        <f t="shared" si="91"/>
        <v>389980</v>
      </c>
      <c r="E36">
        <f>IF(A36&gt;0,FABRICAR!P30,"")</f>
        <v>0</v>
      </c>
      <c r="F36" t="str">
        <f t="shared" si="92"/>
        <v/>
      </c>
      <c r="G36">
        <v>468</v>
      </c>
      <c r="H36" t="str">
        <f>IF(B36=0,B36,IF(A36&gt;0,FABRICAR!H30,NA()))</f>
        <v>PRENSA FR - 10</v>
      </c>
      <c r="I36">
        <f>IF(B36=0,B36,IF(A36&gt;0,FABRICAR!B30,NA()))</f>
        <v>1</v>
      </c>
      <c r="J36" s="75">
        <f>IF(B36=0,B36,'PROGRAM SALDO '!J32)</f>
        <v>314</v>
      </c>
      <c r="K36" s="82">
        <v>628</v>
      </c>
      <c r="L36" t="str">
        <f>IF(A36&gt;0,FABRICAR!J30,NA())</f>
        <v>ESTAMPAR</v>
      </c>
      <c r="M36" s="9">
        <f t="shared" si="93"/>
        <v>0.45300000000000001</v>
      </c>
      <c r="N36">
        <f>IF(A36&gt;0,FABRICAR!L30,NA())</f>
        <v>3050</v>
      </c>
      <c r="O36">
        <f>IF(B36=0,B36,IF(A36&gt;0,FABRICAR!M30,"")*9)</f>
        <v>342</v>
      </c>
      <c r="P36">
        <f>IF(I36&gt;1,VLOOKUP(B36,PROGRAMACION1,8,0),IF(H36=H35,"",IF(AND(B36=B35,O36&gt;1),"",(IF(N36&gt;O36,O36,N36)))))</f>
        <v>342</v>
      </c>
      <c r="Q36" s="3">
        <f t="shared" si="10"/>
        <v>342</v>
      </c>
      <c r="R36" s="3">
        <f t="shared" ref="R36:R43" si="94">IF(AND(N36&gt;O36,B35=B36,J35+SUM(P35:Q35)&lt;J36+SUM(P36:Q36)),"",IF(I36&gt;1,VLOOKUP(B36,PROGRAMACION1,10,0),IF(AND(H35=H36,N35&gt;SUM(P35:Q35),R35&gt;(O35/7)),"",IF(AND(R35&lt;&gt;0,B35=B36,O36&gt;(SUM(P35:Q35))),"",(IF(N36&gt;O36+(SUM(P36:Q36)),O36,N36-(SUM(P36:Q36))))))))</f>
        <v>342</v>
      </c>
      <c r="S36" s="3">
        <f t="shared" si="80"/>
        <v>342</v>
      </c>
      <c r="T36" s="3">
        <f t="shared" si="81"/>
        <v>342</v>
      </c>
      <c r="U36" s="3">
        <f t="shared" si="82"/>
        <v>342</v>
      </c>
      <c r="V36" s="3">
        <f t="shared" si="83"/>
        <v>342</v>
      </c>
      <c r="W36" s="3">
        <f t="shared" si="84"/>
        <v>342</v>
      </c>
      <c r="X36" s="3">
        <f t="shared" si="85"/>
        <v>314</v>
      </c>
      <c r="Y36" s="3">
        <f t="shared" si="86"/>
        <v>0</v>
      </c>
      <c r="Z36" s="3">
        <f t="shared" si="87"/>
        <v>0</v>
      </c>
      <c r="AA36" s="3">
        <f t="shared" si="88"/>
        <v>0</v>
      </c>
      <c r="AB36" s="3">
        <f t="shared" si="89"/>
        <v>0</v>
      </c>
      <c r="AC36" s="3">
        <f t="shared" si="90"/>
        <v>0</v>
      </c>
      <c r="AD36" s="3">
        <f t="shared" si="22"/>
        <v>0</v>
      </c>
      <c r="AE36" s="3">
        <f t="shared" si="23"/>
        <v>0</v>
      </c>
      <c r="AF36" s="3">
        <f t="shared" si="24"/>
        <v>0</v>
      </c>
      <c r="AG36" s="3">
        <f t="shared" si="25"/>
        <v>0</v>
      </c>
      <c r="AH36" s="3">
        <f t="shared" si="26"/>
        <v>0</v>
      </c>
      <c r="AI36" s="3">
        <f t="shared" si="27"/>
        <v>0</v>
      </c>
      <c r="AJ36" s="3">
        <f t="shared" si="28"/>
        <v>0</v>
      </c>
      <c r="AK36" s="3">
        <f t="shared" si="29"/>
        <v>0</v>
      </c>
      <c r="AL36" s="3">
        <f t="shared" si="30"/>
        <v>0</v>
      </c>
      <c r="AM36" s="3">
        <f t="shared" si="31"/>
        <v>0</v>
      </c>
      <c r="AN36" s="3">
        <f t="shared" si="32"/>
        <v>0</v>
      </c>
      <c r="AO36" s="3">
        <f t="shared" si="33"/>
        <v>0</v>
      </c>
      <c r="AP36" s="3">
        <f t="shared" si="34"/>
        <v>0</v>
      </c>
      <c r="AQ36" s="3">
        <f t="shared" si="35"/>
        <v>0</v>
      </c>
      <c r="AR36" s="3">
        <f t="shared" si="36"/>
        <v>0</v>
      </c>
      <c r="AS36" s="3">
        <f t="shared" si="37"/>
        <v>0</v>
      </c>
      <c r="AT36" s="3">
        <f t="shared" si="38"/>
        <v>0</v>
      </c>
      <c r="AU36" s="3">
        <f t="shared" si="39"/>
        <v>0</v>
      </c>
      <c r="AV36" s="3">
        <f t="shared" si="40"/>
        <v>0</v>
      </c>
      <c r="AW36" s="3">
        <f t="shared" si="41"/>
        <v>0</v>
      </c>
      <c r="AX36" s="3">
        <f t="shared" si="42"/>
        <v>0</v>
      </c>
      <c r="AY36" s="3">
        <f t="shared" si="43"/>
        <v>0</v>
      </c>
      <c r="AZ36" s="3">
        <f t="shared" si="44"/>
        <v>0</v>
      </c>
      <c r="BA36" s="3">
        <f t="shared" si="45"/>
        <v>0</v>
      </c>
      <c r="BB36" s="3">
        <f t="shared" si="46"/>
        <v>0</v>
      </c>
      <c r="BC36" s="3">
        <f t="shared" si="47"/>
        <v>0</v>
      </c>
      <c r="BD36" s="3">
        <f>IF(AND(N36&gt;O36,B35=B36,J35+SUM(P35:BC35)&lt;J36+SUM(P36:BC36)),"",IF(I36&gt;1,VLOOKUP(B36,PROGRAMACION1,48,0),IF(AND(H35=H36,N35&gt;SUM(P35:BC35),BD35&gt;(O35/7)),"",IF(AND(BD35&lt;&gt;0,B35=B36,O36&gt;(SUM(P35:BC35))),"",(IF(N36&gt;O36+(SUM(P36:BC36)),O36,N36-(SUM($P36:BC36))))))))</f>
        <v>0</v>
      </c>
      <c r="BE36" s="3">
        <f t="shared" si="48"/>
        <v>0</v>
      </c>
      <c r="BF36" s="3">
        <f t="shared" si="49"/>
        <v>0</v>
      </c>
      <c r="BG36" s="3">
        <f t="shared" si="50"/>
        <v>0</v>
      </c>
      <c r="BH36" s="3">
        <f t="shared" si="51"/>
        <v>0</v>
      </c>
      <c r="BI36" s="3">
        <f t="shared" si="52"/>
        <v>0</v>
      </c>
      <c r="BJ36" s="3">
        <f t="shared" si="53"/>
        <v>0</v>
      </c>
      <c r="BK36" s="3">
        <f t="shared" si="54"/>
        <v>0</v>
      </c>
      <c r="BL36" s="3">
        <f t="shared" si="55"/>
        <v>0</v>
      </c>
      <c r="BM36" s="3">
        <f t="shared" si="56"/>
        <v>0</v>
      </c>
      <c r="BN36" s="3">
        <f t="shared" si="57"/>
        <v>0</v>
      </c>
      <c r="BO36" s="3">
        <f t="shared" si="58"/>
        <v>0</v>
      </c>
      <c r="BP36" s="3">
        <f t="shared" si="59"/>
        <v>0</v>
      </c>
      <c r="BQ36" s="3">
        <f t="shared" si="60"/>
        <v>0</v>
      </c>
      <c r="BR36" s="3">
        <f t="shared" si="61"/>
        <v>0</v>
      </c>
      <c r="BS36" s="3">
        <f t="shared" si="62"/>
        <v>0</v>
      </c>
      <c r="BT36" s="3">
        <f t="shared" si="63"/>
        <v>0</v>
      </c>
      <c r="BU36" s="3">
        <f t="shared" si="64"/>
        <v>0</v>
      </c>
      <c r="BV36" s="3">
        <f t="shared" si="65"/>
        <v>0</v>
      </c>
      <c r="BW36" s="3">
        <f t="shared" si="66"/>
        <v>0</v>
      </c>
      <c r="BX36" s="3">
        <f t="shared" si="67"/>
        <v>0</v>
      </c>
      <c r="BY36" s="3">
        <f t="shared" si="68"/>
        <v>0</v>
      </c>
      <c r="BZ36" s="3">
        <f t="shared" si="69"/>
        <v>0</v>
      </c>
      <c r="CA36" s="3">
        <f>IF(AND(N36&gt;O36,B35=B36,J35+SUM($P35:BZ35)&lt;J36+SUM(P36:BZ36)),"",IF(I36&gt;1,VLOOKUP(B36,PROGRAMACION1,71,0),IF(AND(H35=H36,N35&gt;SUM(P35:BZ35),CA35&gt;(O35/7)),"",IF(AND(CA35&lt;&gt;0,B35=B36,O36&gt;(SUM(P35:BZ35))),"",(IF(N36&gt;O36+(SUM(P36:BZ36)),O36,N36-(SUM(P36:BZ36))))))))</f>
        <v>0</v>
      </c>
      <c r="CB36" s="3">
        <f t="shared" si="70"/>
        <v>0</v>
      </c>
      <c r="CC36" s="3">
        <f t="shared" si="71"/>
        <v>0</v>
      </c>
      <c r="CD36" s="3">
        <f t="shared" si="72"/>
        <v>0</v>
      </c>
      <c r="CE36" s="3">
        <f t="shared" si="73"/>
        <v>0</v>
      </c>
      <c r="CF36" s="3">
        <f t="shared" si="74"/>
        <v>0</v>
      </c>
      <c r="CG36" s="3">
        <f t="shared" si="75"/>
        <v>0</v>
      </c>
      <c r="CH36" s="3">
        <f t="shared" si="76"/>
        <v>0</v>
      </c>
      <c r="CI36" s="3">
        <f t="shared" si="77"/>
        <v>0</v>
      </c>
      <c r="CJ36" s="3">
        <f t="shared" si="78"/>
        <v>0</v>
      </c>
    </row>
    <row r="37" spans="1:88" x14ac:dyDescent="0.25">
      <c r="A37" s="81">
        <v>30</v>
      </c>
      <c r="B37">
        <f>IF(A37&gt;0,FABRICAR!F31,NA())</f>
        <v>38998</v>
      </c>
      <c r="C37" t="str">
        <f>IF(A37&gt;0,FABRICAR!G31,NA())</f>
        <v>Eslabón Angular Estampado perf.18</v>
      </c>
      <c r="D37" s="1" t="str">
        <f t="shared" si="91"/>
        <v>389980</v>
      </c>
      <c r="E37">
        <f>IF(A37&gt;0,FABRICAR!P31,"")</f>
        <v>0</v>
      </c>
      <c r="F37" t="str">
        <f t="shared" si="92"/>
        <v/>
      </c>
      <c r="G37">
        <v>469</v>
      </c>
      <c r="H37" t="str">
        <f>IF(B37=0,B37,IF(A37&gt;0,FABRICAR!H31,NA()))</f>
        <v>PRENSA EX - 11</v>
      </c>
      <c r="I37">
        <f>IF(B37=0,B37,IF(A37&gt;0,FABRICAR!B31,NA()))</f>
        <v>0</v>
      </c>
      <c r="J37" s="75">
        <f>IF(B37=0,B37,'PROGRAM SALDO '!J33)</f>
        <v>1520</v>
      </c>
      <c r="K37" s="82">
        <v>629</v>
      </c>
      <c r="L37" t="str">
        <f>IF(A37&gt;0,FABRICAR!J31,NA())</f>
        <v>REBABAR</v>
      </c>
      <c r="M37" s="9">
        <f t="shared" si="93"/>
        <v>0.45300000000000001</v>
      </c>
      <c r="N37">
        <f>IF(A37&gt;0,FABRICAR!L31,NA())</f>
        <v>3050</v>
      </c>
      <c r="O37">
        <f>IF(B37=0,B37,IF(A37&gt;0,FABRICAR!M31,"")*9)</f>
        <v>1530</v>
      </c>
      <c r="P37" t="str">
        <f t="shared" si="9"/>
        <v/>
      </c>
      <c r="Q37" s="3" t="str">
        <f t="shared" ref="Q37:Q43" si="95">IF(AND(N37&gt;O37,B36=B37,J36+SUM(P36:P36)&lt;J37+SUM(P37:P37)),"",IF(I37&gt;1,VLOOKUP(B37,PROGRAMACION1,9,0),IF(AND(H36=H37,N36&gt;SUM(P36:P36),Q36&gt;(O36/7)),"",IF(AND(Q36&lt;&gt;0,B36=B37,O37&gt;(SUM(P36:P36))),"",(IF(N37&gt;O37+(SUM(P37:P37)),O37,N37-(SUM(P37:P37))))))))</f>
        <v/>
      </c>
      <c r="R37" s="3" t="str">
        <f t="shared" si="94"/>
        <v/>
      </c>
      <c r="S37" s="3" t="str">
        <f t="shared" si="80"/>
        <v/>
      </c>
      <c r="T37" s="3" t="str">
        <f t="shared" si="81"/>
        <v/>
      </c>
      <c r="U37" s="3">
        <f t="shared" si="82"/>
        <v>1530</v>
      </c>
      <c r="V37" s="3" t="str">
        <f t="shared" si="83"/>
        <v/>
      </c>
      <c r="W37" s="3" t="str">
        <f t="shared" si="84"/>
        <v/>
      </c>
      <c r="X37" s="3">
        <f t="shared" si="85"/>
        <v>1520</v>
      </c>
      <c r="Y37" s="3" t="str">
        <f t="shared" si="86"/>
        <v/>
      </c>
      <c r="Z37" s="3" t="str">
        <f t="shared" si="87"/>
        <v/>
      </c>
      <c r="AA37" s="3" t="str">
        <f t="shared" si="88"/>
        <v/>
      </c>
      <c r="AB37" s="3" t="str">
        <f t="shared" si="89"/>
        <v/>
      </c>
      <c r="AC37" s="3" t="str">
        <f t="shared" si="90"/>
        <v/>
      </c>
      <c r="AD37" s="3" t="str">
        <f t="shared" si="22"/>
        <v/>
      </c>
      <c r="AE37" s="3" t="str">
        <f t="shared" si="23"/>
        <v/>
      </c>
      <c r="AF37" s="3" t="str">
        <f t="shared" si="24"/>
        <v/>
      </c>
      <c r="AG37" s="3" t="str">
        <f t="shared" si="25"/>
        <v/>
      </c>
      <c r="AH37" s="3" t="str">
        <f t="shared" si="26"/>
        <v/>
      </c>
      <c r="AI37" s="3" t="str">
        <f t="shared" si="27"/>
        <v/>
      </c>
      <c r="AJ37" s="3" t="str">
        <f t="shared" si="28"/>
        <v/>
      </c>
      <c r="AK37" s="3" t="str">
        <f t="shared" si="29"/>
        <v/>
      </c>
      <c r="AL37" s="3" t="str">
        <f t="shared" si="30"/>
        <v/>
      </c>
      <c r="AM37" s="3" t="str">
        <f t="shared" si="31"/>
        <v/>
      </c>
      <c r="AN37" s="3" t="str">
        <f t="shared" si="32"/>
        <v/>
      </c>
      <c r="AO37" s="3" t="str">
        <f t="shared" si="33"/>
        <v/>
      </c>
      <c r="AP37" s="3" t="str">
        <f t="shared" si="34"/>
        <v/>
      </c>
      <c r="AQ37" s="3" t="str">
        <f t="shared" si="35"/>
        <v/>
      </c>
      <c r="AR37" s="3" t="str">
        <f t="shared" si="36"/>
        <v/>
      </c>
      <c r="AS37" s="3" t="str">
        <f t="shared" si="37"/>
        <v/>
      </c>
      <c r="AT37" s="3" t="str">
        <f t="shared" si="38"/>
        <v/>
      </c>
      <c r="AU37" s="3" t="str">
        <f t="shared" si="39"/>
        <v/>
      </c>
      <c r="AV37" s="3" t="str">
        <f t="shared" si="40"/>
        <v/>
      </c>
      <c r="AW37" s="3" t="str">
        <f t="shared" si="41"/>
        <v/>
      </c>
      <c r="AX37" s="3" t="str">
        <f t="shared" si="42"/>
        <v/>
      </c>
      <c r="AY37" s="3" t="str">
        <f t="shared" si="43"/>
        <v/>
      </c>
      <c r="AZ37" s="3" t="str">
        <f t="shared" si="44"/>
        <v/>
      </c>
      <c r="BA37" s="3" t="str">
        <f t="shared" si="45"/>
        <v/>
      </c>
      <c r="BB37" s="3" t="str">
        <f t="shared" si="46"/>
        <v/>
      </c>
      <c r="BC37" s="3" t="str">
        <f t="shared" si="47"/>
        <v/>
      </c>
      <c r="BD37" s="3" t="str">
        <f>IF(AND(N37&gt;O37,B36=B37,J36+SUM(P36:BC36)&lt;J37+SUM(P37:BC37)),"",IF(I37&gt;1,VLOOKUP(B37,PROGRAMACION1,48,0),IF(AND(H36=H37,N36&gt;SUM(P36:BC36),BD36&gt;(O36/7)),"",IF(AND(BD36&lt;&gt;0,B36=B37,O37&gt;(SUM(P36:BC36))),"",(IF(N37&gt;O37+(SUM(P37:BC37)),O37,N37-(SUM($P37:BC37))))))))</f>
        <v/>
      </c>
      <c r="BE37" s="3" t="str">
        <f t="shared" si="48"/>
        <v/>
      </c>
      <c r="BF37" s="3" t="str">
        <f t="shared" si="49"/>
        <v/>
      </c>
      <c r="BG37" s="3" t="str">
        <f t="shared" si="50"/>
        <v/>
      </c>
      <c r="BH37" s="3" t="str">
        <f t="shared" si="51"/>
        <v/>
      </c>
      <c r="BI37" s="3" t="str">
        <f t="shared" si="52"/>
        <v/>
      </c>
      <c r="BJ37" s="3" t="str">
        <f t="shared" si="53"/>
        <v/>
      </c>
      <c r="BK37" s="3" t="str">
        <f t="shared" si="54"/>
        <v/>
      </c>
      <c r="BL37" s="3" t="str">
        <f t="shared" si="55"/>
        <v/>
      </c>
      <c r="BM37" s="3" t="str">
        <f t="shared" si="56"/>
        <v/>
      </c>
      <c r="BN37" s="3" t="str">
        <f t="shared" si="57"/>
        <v/>
      </c>
      <c r="BO37" s="3" t="str">
        <f t="shared" si="58"/>
        <v/>
      </c>
      <c r="BP37" s="3" t="str">
        <f t="shared" si="59"/>
        <v/>
      </c>
      <c r="BQ37" s="3" t="str">
        <f t="shared" si="60"/>
        <v/>
      </c>
      <c r="BR37" s="3" t="str">
        <f t="shared" si="61"/>
        <v/>
      </c>
      <c r="BS37" s="3" t="str">
        <f t="shared" si="62"/>
        <v/>
      </c>
      <c r="BT37" s="3" t="str">
        <f t="shared" si="63"/>
        <v/>
      </c>
      <c r="BU37" s="3" t="str">
        <f t="shared" si="64"/>
        <v/>
      </c>
      <c r="BV37" s="3" t="str">
        <f t="shared" si="65"/>
        <v/>
      </c>
      <c r="BW37" s="3" t="str">
        <f t="shared" si="66"/>
        <v/>
      </c>
      <c r="BX37" s="3" t="str">
        <f t="shared" si="67"/>
        <v/>
      </c>
      <c r="BY37" s="3" t="str">
        <f t="shared" si="68"/>
        <v/>
      </c>
      <c r="BZ37" s="3" t="str">
        <f t="shared" si="69"/>
        <v/>
      </c>
      <c r="CA37" s="3" t="str">
        <f>IF(AND(N37&gt;O37,B36=B37,J36+SUM($P36:BZ36)&lt;J37+SUM(P37:BZ37)),"",IF(I37&gt;1,VLOOKUP(B37,PROGRAMACION1,71,0),IF(AND(H36=H37,N36&gt;SUM(P36:BZ36),CA36&gt;(O36/7)),"",IF(AND(CA36&lt;&gt;0,B36=B37,O37&gt;(SUM(P36:BZ36))),"",(IF(N37&gt;O37+(SUM(P37:BZ37)),O37,N37-(SUM(P37:BZ37))))))))</f>
        <v/>
      </c>
      <c r="CB37" s="3" t="str">
        <f t="shared" si="70"/>
        <v/>
      </c>
      <c r="CC37" s="3" t="str">
        <f t="shared" si="71"/>
        <v/>
      </c>
      <c r="CD37" s="3" t="str">
        <f t="shared" si="72"/>
        <v/>
      </c>
      <c r="CE37" s="3" t="str">
        <f t="shared" si="73"/>
        <v/>
      </c>
      <c r="CF37" s="3" t="str">
        <f t="shared" si="74"/>
        <v/>
      </c>
      <c r="CG37" s="3" t="str">
        <f t="shared" si="75"/>
        <v/>
      </c>
      <c r="CH37" s="3" t="str">
        <f t="shared" si="76"/>
        <v/>
      </c>
      <c r="CI37" s="3" t="str">
        <f t="shared" si="77"/>
        <v/>
      </c>
      <c r="CJ37" s="3" t="str">
        <f t="shared" si="78"/>
        <v/>
      </c>
    </row>
    <row r="38" spans="1:88" x14ac:dyDescent="0.25">
      <c r="A38" s="81">
        <v>31</v>
      </c>
      <c r="B38">
        <f>IF(A38&gt;0,FABRICAR!F32,NA())</f>
        <v>38998</v>
      </c>
      <c r="C38" t="str">
        <f>IF(A38&gt;0,FABRICAR!G32,NA())</f>
        <v>Eslabón Angular Estampado perf.18</v>
      </c>
      <c r="D38" s="1" t="str">
        <f t="shared" ref="D38" si="96">B38&amp;E38</f>
        <v>389980</v>
      </c>
      <c r="E38">
        <f>IF(A38&gt;0,FABRICAR!P32,"")</f>
        <v>0</v>
      </c>
      <c r="F38" t="str">
        <f t="shared" ref="F38" si="97">IF(E38="T",M38,"")</f>
        <v/>
      </c>
      <c r="G38">
        <v>470</v>
      </c>
      <c r="H38" t="str">
        <f>IF(B38=0,B38,IF(A38&gt;0,FABRICAR!H32,NA()))</f>
        <v>PRENSA EX - 15</v>
      </c>
      <c r="I38">
        <f>IF(B38=0,B38,IF(A38&gt;0,FABRICAR!B32,NA()))</f>
        <v>0</v>
      </c>
      <c r="J38" s="75">
        <f>IF(B38=0,B38,'PROGRAM SALDO '!J34)</f>
        <v>170</v>
      </c>
      <c r="K38" s="82">
        <v>630</v>
      </c>
      <c r="L38" t="str">
        <f>IF(A38&gt;0,FABRICAR!J32,NA())</f>
        <v>PERFORAR18</v>
      </c>
      <c r="M38" s="9">
        <f t="shared" ref="M38" si="98">IFERROR(VLOOKUP(C38,PRODUCTOS,4,0),0)</f>
        <v>0.45300000000000001</v>
      </c>
      <c r="N38">
        <f>IF(A38&gt;0,FABRICAR!L32,NA())</f>
        <v>3050</v>
      </c>
      <c r="O38">
        <f>IF(B38=0,B38,IF(A38&gt;0,FABRICAR!M32,"")*9)</f>
        <v>1440</v>
      </c>
      <c r="P38" t="str">
        <f t="shared" si="9"/>
        <v/>
      </c>
      <c r="Q38" s="3" t="str">
        <f t="shared" si="95"/>
        <v/>
      </c>
      <c r="R38" s="3" t="str">
        <f t="shared" si="94"/>
        <v/>
      </c>
      <c r="S38" s="3" t="str">
        <f t="shared" ref="S38:S43" si="99">IF(AND(N38&gt;O38,B37=B38,J37+SUM(P37:R37)&lt;J38+SUM(P38:R38)),"",IF(I38&gt;1,VLOOKUP(B38,PROGRAMACION1,11,0),IF(AND(H37=H38,N37&gt;SUM(P37:R37),S37&gt;(O37/7)),"",IF(AND(S37&lt;&gt;0,B37=B38,O38&gt;(SUM(P37:R37))),"",(IF(N38&gt;O38+(SUM(P38:R38)),O38,N38-(SUM(P38:R38))))))))</f>
        <v/>
      </c>
      <c r="T38" s="3" t="str">
        <f t="shared" ref="T38:T43" si="100">IF(AND(N38&gt;O38,B37=B38,J37+SUM(P37:S37)&lt;J38+SUM(P38:S38)),"",IF(I38&gt;1,VLOOKUP(B38,PROGRAMACION1,12,0),IF(AND(H37=H38,N37&gt;SUM(P37:S37),T37&gt;(O37/7)),"",IF(AND(T37&lt;&gt;0,B37=B38,O38&gt;(SUM(P37:S37))),"",(IF(N38&gt;O38+(SUM(P38:S38)),O38,N38-(SUM(P38:S38))))))))</f>
        <v/>
      </c>
      <c r="U38" s="3" t="str">
        <f t="shared" ref="U38:U43" si="101">IF(AND(N38&gt;O38,B37=B38,J37+SUM(P37:T37)&lt;J38+SUM(P38:T38)),"",IF(I38&gt;1,VLOOKUP(B38,PROGRAMACION1,13,0),IF(AND(H37=H38,N37&gt;SUM(P37:T37),U37&gt;(O37/7)),"",IF(AND(U37&lt;&gt;0,B37=B38,O38&gt;(SUM(P37:T37))),"",(IF(N38&gt;O38+(SUM(P38:T38)),O38,N38-(SUM(P38:T38))))))))</f>
        <v/>
      </c>
      <c r="V38" s="3">
        <f t="shared" ref="V38:V43" si="102">IF(AND(N38&gt;O38,B37=B38,J37+SUM(P37:U37)&lt;J38+SUM(P38:U38)),"",IF(I38&gt;1,VLOOKUP(B38,PROGRAMACION1,14,0),IF(AND(H37=H38,N37&gt;SUM(P37:U37),V37&gt;(O37/7)),"",IF(AND(V37&lt;&gt;0,B37=B38,O38&gt;(SUM(P37:U37))),"",(IF(N38&gt;O38+(SUM(P38:U38)),O38,N38-(SUM(P38:U38))))))))</f>
        <v>1440</v>
      </c>
      <c r="W38" s="3">
        <f t="shared" ref="W38:W43" si="103">IF(AND(N38&gt;O38,B37=B38,J37+SUM(P37:V37)&lt;J38+SUM(P38:V38)),"",IF(I38&gt;1,VLOOKUP(B38,PROGRAMACION1,15,0),IF(AND(H37=H38,N37&gt;SUM(P37:V37),W37&gt;(O37/7)),"",IF(AND(W37&lt;&gt;0,B37=B38,O38&gt;(SUM(P37:V37))),"",(IF(N38&gt;O38+(SUM(P38:V38)),O38,N38-(SUM(P38:V38))))))))</f>
        <v>1440</v>
      </c>
      <c r="X38" s="3">
        <f t="shared" ref="X38:X43" si="104">IF(AND(N38&gt;O38,B37=B38,J37+SUM(P37:W37)&lt;J38+SUM(P38:W38)),"",IF(I38&gt;1,VLOOKUP(B38,PROGRAMACION1,16,0),IF(AND(H37=H38,N37&gt;SUM(P37:W37),X37&gt;(O37/7)),"",IF(AND(X37&lt;&gt;0,B37=B38,O38&gt;(SUM(P37:W37))),"",(IF(N38&gt;O38+(SUM(P38:W38)),O38,N38-(SUM(P38:W38))))))))</f>
        <v>170</v>
      </c>
      <c r="Y38" s="3">
        <f t="shared" ref="Y38:Y43" si="105">IF(AND(N38&gt;O38,B37=B38,J37+SUM(P37:X37)&lt;J38+SUM(P38:X38)),"",IF(I38&gt;1,VLOOKUP(B38,PROGRAMACION1,17,0),IF(AND(H37=H38,N37&gt;SUM(P37:X37),Y37&gt;(O37/7)),"",IF(AND(Y37&lt;&gt;0,B37=B38,O38&gt;(SUM(P37:X37))),"",(IF(N38&gt;O38+(SUM(P38:X38)),O38,N38-(SUM(P38:X38))))))))</f>
        <v>0</v>
      </c>
      <c r="Z38" s="3">
        <f t="shared" ref="Z38:Z43" si="106">IF(AND(N38&gt;O38,B37=B38,J37+SUM(P37:Y37)&lt;J38+SUM(P38:Y38)),"",IF(I38&gt;1,VLOOKUP(B38,PROGRAMACION1,18,0),IF(AND(H37=H38,N37&gt;SUM(P37:Y37),Z37&gt;(O37/7)),"",IF(AND(Z37&lt;&gt;0,B37=B38,O38&gt;(SUM(P37:Y37))),"",(IF(N38&gt;O38+(SUM(P38:Y38)),O38,N38-(SUM(P38:Y38))))))))</f>
        <v>0</v>
      </c>
      <c r="AA38" s="3">
        <f t="shared" ref="AA38:AA43" si="107">IF(AND(N38&gt;O38,B37=B38,J37+SUM(P37:Z37)&lt;J38+SUM(P38:Z38)),"",IF(I38&gt;1,VLOOKUP(B38,PROGRAMACION1,19,0),IF(AND(H37=H38,N37&gt;SUM(P37:Z37),AA37&gt;(O37/7)),"",IF(AND(AA37&lt;&gt;0,B37=B38,O38&gt;(SUM(P37:Z37))),"",(IF(N38&gt;O38+(SUM(P38:Z38)),O38,N38-(SUM(P38:Z38))))))))</f>
        <v>0</v>
      </c>
      <c r="AB38" s="3">
        <f t="shared" ref="AB38:AB43" si="108">IF(AND(N38&gt;O38,B37=B38,J37+SUM(P37:AA37)&lt;J38+SUM(P38:AA38)),"",IF(I38&gt;1,VLOOKUP(B38,PROGRAMACION1,20,0),IF(AND(H37=H38,N37&gt;SUM(P37:AA37),AB37&gt;(O37/7)),"",IF(AND(AB37&lt;&gt;0,B37=B38,O38&gt;(SUM(P37:AA37))),"",(IF(N38&gt;O38+(SUM(P38:AA38)),O38,N38-(SUM(P38:AA38))))))))</f>
        <v>0</v>
      </c>
      <c r="AC38" s="3">
        <f t="shared" si="90"/>
        <v>0</v>
      </c>
      <c r="AD38" s="3">
        <f t="shared" si="22"/>
        <v>0</v>
      </c>
      <c r="AE38" s="3">
        <f t="shared" si="23"/>
        <v>0</v>
      </c>
      <c r="AF38" s="3">
        <f t="shared" si="24"/>
        <v>0</v>
      </c>
      <c r="AG38" s="3">
        <f t="shared" si="25"/>
        <v>0</v>
      </c>
      <c r="AH38" s="3">
        <f t="shared" si="26"/>
        <v>0</v>
      </c>
      <c r="AI38" s="3">
        <f t="shared" si="27"/>
        <v>0</v>
      </c>
      <c r="AJ38" s="3">
        <f t="shared" si="28"/>
        <v>0</v>
      </c>
      <c r="AK38" s="3">
        <f t="shared" si="29"/>
        <v>0</v>
      </c>
      <c r="AL38" s="3">
        <f t="shared" si="30"/>
        <v>0</v>
      </c>
      <c r="AM38" s="3">
        <f t="shared" si="31"/>
        <v>0</v>
      </c>
      <c r="AN38" s="3">
        <f t="shared" si="32"/>
        <v>0</v>
      </c>
      <c r="AO38" s="3">
        <f t="shared" si="33"/>
        <v>0</v>
      </c>
      <c r="AP38" s="3">
        <f t="shared" si="34"/>
        <v>0</v>
      </c>
      <c r="AQ38" s="3">
        <f t="shared" si="35"/>
        <v>0</v>
      </c>
      <c r="AR38" s="3">
        <f t="shared" si="36"/>
        <v>0</v>
      </c>
      <c r="AS38" s="3">
        <f t="shared" si="37"/>
        <v>0</v>
      </c>
      <c r="AT38" s="3">
        <f t="shared" si="38"/>
        <v>0</v>
      </c>
      <c r="AU38" s="3">
        <f t="shared" si="39"/>
        <v>0</v>
      </c>
      <c r="AV38" s="3">
        <f t="shared" si="40"/>
        <v>0</v>
      </c>
      <c r="AW38" s="3">
        <f t="shared" si="41"/>
        <v>0</v>
      </c>
      <c r="AX38" s="3">
        <f t="shared" si="42"/>
        <v>0</v>
      </c>
      <c r="AY38" s="3">
        <f t="shared" si="43"/>
        <v>0</v>
      </c>
      <c r="AZ38" s="3">
        <f t="shared" si="44"/>
        <v>0</v>
      </c>
      <c r="BA38" s="3">
        <f t="shared" si="45"/>
        <v>0</v>
      </c>
      <c r="BB38" s="3">
        <f t="shared" si="46"/>
        <v>0</v>
      </c>
      <c r="BC38" s="3">
        <f t="shared" si="47"/>
        <v>0</v>
      </c>
      <c r="BD38" s="3">
        <f>IF(AND(N38&gt;O38,B37=B38,J37+SUM(P37:BC37)&lt;J38+SUM(P38:BC38)),"",IF(I38&gt;1,VLOOKUP(B38,PROGRAMACION1,48,0),IF(AND(H37=H38,N37&gt;SUM(P37:BC37),BD37&gt;(O37/7)),"",IF(AND(BD37&lt;&gt;0,B37=B38,O38&gt;(SUM(P37:BC37))),"",(IF(N38&gt;O38+(SUM(P38:BC38)),O38,N38-(SUM($P38:BC38))))))))</f>
        <v>0</v>
      </c>
      <c r="BE38" s="3">
        <f t="shared" si="48"/>
        <v>0</v>
      </c>
      <c r="BF38" s="3">
        <f t="shared" si="49"/>
        <v>0</v>
      </c>
      <c r="BG38" s="3">
        <f t="shared" si="50"/>
        <v>0</v>
      </c>
      <c r="BH38" s="3">
        <f t="shared" si="51"/>
        <v>0</v>
      </c>
      <c r="BI38" s="3">
        <f t="shared" si="52"/>
        <v>0</v>
      </c>
      <c r="BJ38" s="3">
        <f t="shared" si="53"/>
        <v>0</v>
      </c>
      <c r="BK38" s="3">
        <f t="shared" si="54"/>
        <v>0</v>
      </c>
      <c r="BL38" s="3">
        <f t="shared" si="55"/>
        <v>0</v>
      </c>
      <c r="BM38" s="3">
        <f t="shared" si="56"/>
        <v>0</v>
      </c>
      <c r="BN38" s="3">
        <f t="shared" si="57"/>
        <v>0</v>
      </c>
      <c r="BO38" s="3">
        <f t="shared" si="58"/>
        <v>0</v>
      </c>
      <c r="BP38" s="3">
        <f t="shared" si="59"/>
        <v>0</v>
      </c>
      <c r="BQ38" s="3">
        <f t="shared" si="60"/>
        <v>0</v>
      </c>
      <c r="BR38" s="3">
        <f t="shared" si="61"/>
        <v>0</v>
      </c>
      <c r="BS38" s="3">
        <f t="shared" si="62"/>
        <v>0</v>
      </c>
      <c r="BT38" s="3">
        <f t="shared" si="63"/>
        <v>0</v>
      </c>
      <c r="BU38" s="3">
        <f t="shared" si="64"/>
        <v>0</v>
      </c>
      <c r="BV38" s="3">
        <f t="shared" si="65"/>
        <v>0</v>
      </c>
      <c r="BW38" s="3">
        <f t="shared" si="66"/>
        <v>0</v>
      </c>
      <c r="BX38" s="3">
        <f t="shared" si="67"/>
        <v>0</v>
      </c>
      <c r="BY38" s="3">
        <f t="shared" si="68"/>
        <v>0</v>
      </c>
      <c r="BZ38" s="3">
        <f t="shared" si="69"/>
        <v>0</v>
      </c>
      <c r="CA38" s="3">
        <f>IF(AND(N38&gt;O38,B37=B38,J37+SUM($P37:BZ37)&lt;J38+SUM(P38:BZ38)),"",IF(I38&gt;1,VLOOKUP(B38,PROGRAMACION1,71,0),IF(AND(H37=H38,N37&gt;SUM(P37:BZ37),CA37&gt;(O37/7)),"",IF(AND(CA37&lt;&gt;0,B37=B38,O38&gt;(SUM(P37:BZ37))),"",(IF(N38&gt;O38+(SUM(P38:BZ38)),O38,N38-(SUM(P38:BZ38))))))))</f>
        <v>0</v>
      </c>
      <c r="CB38" s="3">
        <f t="shared" si="70"/>
        <v>0</v>
      </c>
      <c r="CC38" s="3">
        <f t="shared" si="71"/>
        <v>0</v>
      </c>
      <c r="CD38" s="3">
        <f t="shared" si="72"/>
        <v>0</v>
      </c>
      <c r="CE38" s="3">
        <f t="shared" si="73"/>
        <v>0</v>
      </c>
      <c r="CF38" s="3">
        <f t="shared" si="74"/>
        <v>0</v>
      </c>
      <c r="CG38" s="3">
        <f t="shared" si="75"/>
        <v>0</v>
      </c>
      <c r="CH38" s="3">
        <f t="shared" si="76"/>
        <v>0</v>
      </c>
      <c r="CI38" s="3">
        <f t="shared" si="77"/>
        <v>0</v>
      </c>
      <c r="CJ38" s="3">
        <f t="shared" si="78"/>
        <v>0</v>
      </c>
    </row>
    <row r="39" spans="1:88" x14ac:dyDescent="0.25">
      <c r="A39" s="81">
        <v>32</v>
      </c>
      <c r="B39">
        <f>IF(A39&gt;0,FABRICAR!F33,NA())</f>
        <v>38998</v>
      </c>
      <c r="C39" t="str">
        <f>IF(A39&gt;0,FABRICAR!G33,NA())</f>
        <v>Eslabón Angular Estampado perf.18</v>
      </c>
      <c r="D39" s="1" t="str">
        <f t="shared" ref="D39:D56" si="109">B39&amp;E39</f>
        <v>389980</v>
      </c>
      <c r="E39">
        <f>IF(A39&gt;0,FABRICAR!P33,"")</f>
        <v>0</v>
      </c>
      <c r="F39" t="str">
        <f t="shared" ref="F39:F43" si="110">IF(E39="T",M39,"")</f>
        <v/>
      </c>
      <c r="G39">
        <v>45345</v>
      </c>
      <c r="H39" t="str">
        <f>IF(B39=0,B39,IF(A39&gt;0,FABRICAR!H33,NA()))</f>
        <v>PRENSA EX - 15</v>
      </c>
      <c r="I39">
        <f>IF(B39=0,B39,IF(A39&gt;0,FABRICAR!B33,NA()))</f>
        <v>0</v>
      </c>
      <c r="J39" s="75">
        <f>IF(B39=0,B39,'PROGRAM SALDO '!J35)</f>
        <v>170</v>
      </c>
      <c r="K39" s="82">
        <v>631</v>
      </c>
      <c r="L39" t="str">
        <f>IF(A39&gt;0,FABRICAR!J33,NA())</f>
        <v>PERF OVALADA</v>
      </c>
      <c r="M39" s="9">
        <f t="shared" ref="M39:M56" si="111">IFERROR(VLOOKUP(C39,PRODUCTOS,4,0),0)</f>
        <v>0.45300000000000001</v>
      </c>
      <c r="N39">
        <f>IF(A39&gt;0,FABRICAR!L33,NA())</f>
        <v>3050</v>
      </c>
      <c r="O39">
        <f>IF(B39=0,B39,IF(A39&gt;0,FABRICAR!M33,"")*9)</f>
        <v>1440</v>
      </c>
      <c r="P39" t="str">
        <f>IF(I39&gt;1,VLOOKUP(B39,PROGRAMACION1,8,0),IF(H39=H38,"",IF(AND(B39=B38,O39&gt;1),"",(IF(N39&gt;O39,O39,N39)))))</f>
        <v/>
      </c>
      <c r="Q39" s="3" t="str">
        <f t="shared" si="95"/>
        <v/>
      </c>
      <c r="R39" s="3" t="str">
        <f t="shared" si="94"/>
        <v/>
      </c>
      <c r="S39" s="3" t="str">
        <f t="shared" si="99"/>
        <v/>
      </c>
      <c r="T39" s="3" t="str">
        <f t="shared" si="100"/>
        <v/>
      </c>
      <c r="U39" s="3" t="str">
        <f t="shared" si="101"/>
        <v/>
      </c>
      <c r="V39" s="3" t="str">
        <f t="shared" si="102"/>
        <v/>
      </c>
      <c r="W39" s="3" t="str">
        <f t="shared" si="103"/>
        <v/>
      </c>
      <c r="X39" s="3">
        <f t="shared" si="104"/>
        <v>1440</v>
      </c>
      <c r="Y39" s="3">
        <f t="shared" si="105"/>
        <v>1440</v>
      </c>
      <c r="Z39" s="3">
        <f t="shared" si="106"/>
        <v>170</v>
      </c>
      <c r="AA39" s="3">
        <f t="shared" si="107"/>
        <v>0</v>
      </c>
      <c r="AB39" s="3">
        <f t="shared" si="108"/>
        <v>0</v>
      </c>
      <c r="AC39" s="3">
        <f t="shared" si="90"/>
        <v>0</v>
      </c>
      <c r="AD39" s="3">
        <f t="shared" si="22"/>
        <v>0</v>
      </c>
      <c r="AE39" s="3">
        <f t="shared" si="23"/>
        <v>0</v>
      </c>
      <c r="AF39" s="3">
        <f t="shared" si="24"/>
        <v>0</v>
      </c>
      <c r="AG39" s="3">
        <f t="shared" si="25"/>
        <v>0</v>
      </c>
      <c r="AH39" s="3">
        <f t="shared" si="26"/>
        <v>0</v>
      </c>
      <c r="AI39" s="3">
        <f t="shared" si="27"/>
        <v>0</v>
      </c>
      <c r="AJ39" s="3">
        <f t="shared" si="28"/>
        <v>0</v>
      </c>
      <c r="AK39" s="3">
        <f t="shared" si="29"/>
        <v>0</v>
      </c>
      <c r="AL39" s="3">
        <f t="shared" si="30"/>
        <v>0</v>
      </c>
      <c r="AM39" s="3">
        <f t="shared" si="31"/>
        <v>0</v>
      </c>
      <c r="AN39" s="3">
        <f t="shared" si="32"/>
        <v>0</v>
      </c>
      <c r="AO39" s="3">
        <f t="shared" si="33"/>
        <v>0</v>
      </c>
      <c r="AP39" s="3">
        <f t="shared" si="34"/>
        <v>0</v>
      </c>
      <c r="AQ39" s="3">
        <f t="shared" si="35"/>
        <v>0</v>
      </c>
      <c r="AR39" s="3">
        <f t="shared" si="36"/>
        <v>0</v>
      </c>
      <c r="AS39" s="3">
        <f t="shared" si="37"/>
        <v>0</v>
      </c>
      <c r="AT39" s="3">
        <f t="shared" si="38"/>
        <v>0</v>
      </c>
      <c r="AU39" s="3">
        <f t="shared" si="39"/>
        <v>0</v>
      </c>
      <c r="AV39" s="3">
        <f t="shared" si="40"/>
        <v>0</v>
      </c>
      <c r="AW39" s="3">
        <f t="shared" si="41"/>
        <v>0</v>
      </c>
      <c r="AX39" s="3">
        <f t="shared" si="42"/>
        <v>0</v>
      </c>
      <c r="AY39" s="3">
        <f t="shared" si="43"/>
        <v>0</v>
      </c>
      <c r="AZ39" s="3">
        <f t="shared" si="44"/>
        <v>0</v>
      </c>
      <c r="BA39" s="3">
        <f t="shared" si="45"/>
        <v>0</v>
      </c>
      <c r="BB39" s="3">
        <f t="shared" si="46"/>
        <v>0</v>
      </c>
      <c r="BC39" s="3">
        <f t="shared" si="47"/>
        <v>0</v>
      </c>
      <c r="BD39" s="3">
        <f>IF(AND(N39&gt;O39,B38=B39,J38+SUM(P38:BC38)&lt;J39+SUM(P39:BC39)),"",IF(I39&gt;1,VLOOKUP(B39,PROGRAMACION1,48,0),IF(AND(H38=H39,N38&gt;SUM(P38:BC38),BD38&gt;(O38/7)),"",IF(AND(BD38&lt;&gt;0,B38=B39,O39&gt;(SUM(P38:BC38))),"",(IF(N39&gt;O39+(SUM(P39:BC39)),O39,N39-(SUM($P39:BC39))))))))</f>
        <v>0</v>
      </c>
      <c r="BE39" s="3">
        <f t="shared" si="48"/>
        <v>0</v>
      </c>
      <c r="BF39" s="3">
        <f t="shared" si="49"/>
        <v>0</v>
      </c>
      <c r="BG39" s="3">
        <f t="shared" si="50"/>
        <v>0</v>
      </c>
      <c r="BH39" s="3">
        <f t="shared" si="51"/>
        <v>0</v>
      </c>
      <c r="BI39" s="3">
        <f t="shared" si="52"/>
        <v>0</v>
      </c>
      <c r="BJ39" s="3">
        <f t="shared" si="53"/>
        <v>0</v>
      </c>
      <c r="BK39" s="3">
        <f t="shared" si="54"/>
        <v>0</v>
      </c>
      <c r="BL39" s="3">
        <f t="shared" si="55"/>
        <v>0</v>
      </c>
      <c r="BM39" s="3">
        <f t="shared" si="56"/>
        <v>0</v>
      </c>
      <c r="BN39" s="3">
        <f t="shared" si="57"/>
        <v>0</v>
      </c>
      <c r="BO39" s="3">
        <f t="shared" si="58"/>
        <v>0</v>
      </c>
      <c r="BP39" s="3">
        <f t="shared" si="59"/>
        <v>0</v>
      </c>
      <c r="BQ39" s="3">
        <f t="shared" si="60"/>
        <v>0</v>
      </c>
      <c r="BR39" s="3">
        <f t="shared" si="61"/>
        <v>0</v>
      </c>
      <c r="BS39" s="3">
        <f t="shared" si="62"/>
        <v>0</v>
      </c>
      <c r="BT39" s="3">
        <f t="shared" si="63"/>
        <v>0</v>
      </c>
      <c r="BU39" s="3">
        <f t="shared" si="64"/>
        <v>0</v>
      </c>
      <c r="BV39" s="3">
        <f t="shared" si="65"/>
        <v>0</v>
      </c>
      <c r="BW39" s="3">
        <f t="shared" si="66"/>
        <v>0</v>
      </c>
      <c r="BX39" s="3">
        <f t="shared" si="67"/>
        <v>0</v>
      </c>
      <c r="BY39" s="3">
        <f t="shared" si="68"/>
        <v>0</v>
      </c>
      <c r="BZ39" s="3">
        <f t="shared" si="69"/>
        <v>0</v>
      </c>
      <c r="CA39" s="3">
        <f>IF(AND(N39&gt;O39,B38=B39,J38+SUM($P38:BZ38)&lt;J39+SUM(P39:BZ39)),"",IF(I39&gt;1,VLOOKUP(B39,PROGRAMACION1,71,0),IF(AND(H38=H39,N38&gt;SUM(P38:BZ38),CA38&gt;(O38/7)),"",IF(AND(CA38&lt;&gt;0,B38=B39,O39&gt;(SUM(P38:BZ38))),"",(IF(N39&gt;O39+(SUM(P39:BZ39)),O39,N39-(SUM(P39:BZ39))))))))</f>
        <v>0</v>
      </c>
      <c r="CB39" s="3">
        <f t="shared" si="70"/>
        <v>0</v>
      </c>
      <c r="CC39" s="3">
        <f t="shared" si="71"/>
        <v>0</v>
      </c>
      <c r="CD39" s="3">
        <f t="shared" si="72"/>
        <v>0</v>
      </c>
      <c r="CE39" s="3">
        <f t="shared" si="73"/>
        <v>0</v>
      </c>
      <c r="CF39" s="3">
        <f t="shared" si="74"/>
        <v>0</v>
      </c>
      <c r="CG39" s="3">
        <f t="shared" si="75"/>
        <v>0</v>
      </c>
      <c r="CH39" s="3">
        <f t="shared" si="76"/>
        <v>0</v>
      </c>
      <c r="CI39" s="3">
        <f t="shared" si="77"/>
        <v>0</v>
      </c>
      <c r="CJ39" s="3">
        <f t="shared" si="78"/>
        <v>0</v>
      </c>
    </row>
    <row r="40" spans="1:88" x14ac:dyDescent="0.25">
      <c r="A40" s="81">
        <v>33</v>
      </c>
      <c r="B40">
        <f>IF(A40&gt;0,FABRICAR!F34,NA())</f>
        <v>38998</v>
      </c>
      <c r="C40" t="str">
        <f>IF(A40&gt;0,FABRICAR!G34,NA())</f>
        <v>Eslabón Angular Estampado perf.18</v>
      </c>
      <c r="D40" s="1" t="str">
        <f t="shared" si="109"/>
        <v>38998T</v>
      </c>
      <c r="E40" t="str">
        <f>IF(A40&gt;0,FABRICAR!P34,"")</f>
        <v>T</v>
      </c>
      <c r="F40">
        <f t="shared" si="110"/>
        <v>0.45300000000000001</v>
      </c>
      <c r="G40">
        <v>24234</v>
      </c>
      <c r="H40" t="str">
        <f>IF(B40=0,B40,IF(A40&gt;0,FABRICAR!H34,NA()))</f>
        <v>PRENSA FR - 04</v>
      </c>
      <c r="I40">
        <f>IF(B40=0,B40,IF(A40&gt;0,FABRICAR!B34,NA()))</f>
        <v>0</v>
      </c>
      <c r="J40" s="75">
        <f>IF(B40=0,B40,'PROGRAM SALDO '!J36)</f>
        <v>3050</v>
      </c>
      <c r="K40" s="82">
        <v>632</v>
      </c>
      <c r="L40" t="str">
        <f>IF(A40&gt;0,FABRICAR!J34,NA())</f>
        <v>DOBLAR</v>
      </c>
      <c r="M40" s="9">
        <f t="shared" si="111"/>
        <v>0.45300000000000001</v>
      </c>
      <c r="N40">
        <f>IF(A40&gt;0,FABRICAR!L34,NA())</f>
        <v>3050</v>
      </c>
      <c r="O40">
        <f>IF(B40=0,B40,IF(A40&gt;0,FABRICAR!M34,"")*9)</f>
        <v>3447</v>
      </c>
      <c r="P40" t="str">
        <f t="shared" si="9"/>
        <v/>
      </c>
      <c r="Q40" s="3" t="str">
        <f t="shared" si="95"/>
        <v/>
      </c>
      <c r="R40" s="3" t="str">
        <f t="shared" si="94"/>
        <v/>
      </c>
      <c r="S40" s="3" t="str">
        <f t="shared" si="99"/>
        <v/>
      </c>
      <c r="T40" s="3" t="str">
        <f t="shared" si="100"/>
        <v/>
      </c>
      <c r="U40" s="3" t="str">
        <f t="shared" si="101"/>
        <v/>
      </c>
      <c r="V40" s="3" t="str">
        <f t="shared" si="102"/>
        <v/>
      </c>
      <c r="W40" s="3" t="str">
        <f t="shared" si="103"/>
        <v/>
      </c>
      <c r="X40" s="3" t="str">
        <f t="shared" si="104"/>
        <v/>
      </c>
      <c r="Y40" s="3" t="str">
        <f t="shared" si="105"/>
        <v/>
      </c>
      <c r="Z40" s="3" t="str">
        <f t="shared" si="106"/>
        <v/>
      </c>
      <c r="AA40" s="3">
        <f t="shared" si="107"/>
        <v>3050</v>
      </c>
      <c r="AB40" s="3">
        <f t="shared" si="108"/>
        <v>0</v>
      </c>
      <c r="AC40" s="3">
        <f t="shared" si="90"/>
        <v>0</v>
      </c>
      <c r="AD40" s="3">
        <f t="shared" si="22"/>
        <v>0</v>
      </c>
      <c r="AE40" s="3">
        <f t="shared" si="23"/>
        <v>0</v>
      </c>
      <c r="AF40" s="3">
        <f t="shared" si="24"/>
        <v>0</v>
      </c>
      <c r="AG40" s="3">
        <f t="shared" si="25"/>
        <v>0</v>
      </c>
      <c r="AH40" s="3">
        <f t="shared" si="26"/>
        <v>0</v>
      </c>
      <c r="AI40" s="3">
        <f t="shared" si="27"/>
        <v>0</v>
      </c>
      <c r="AJ40" s="3">
        <f t="shared" si="28"/>
        <v>0</v>
      </c>
      <c r="AK40" s="3">
        <f t="shared" si="29"/>
        <v>0</v>
      </c>
      <c r="AL40" s="3">
        <f t="shared" si="30"/>
        <v>0</v>
      </c>
      <c r="AM40" s="3">
        <f t="shared" si="31"/>
        <v>0</v>
      </c>
      <c r="AN40" s="3">
        <f t="shared" si="32"/>
        <v>0</v>
      </c>
      <c r="AO40" s="3">
        <f t="shared" si="33"/>
        <v>0</v>
      </c>
      <c r="AP40" s="3">
        <f t="shared" si="34"/>
        <v>0</v>
      </c>
      <c r="AQ40" s="3">
        <f t="shared" si="35"/>
        <v>0</v>
      </c>
      <c r="AR40" s="3">
        <f t="shared" si="36"/>
        <v>0</v>
      </c>
      <c r="AS40" s="3">
        <f t="shared" si="37"/>
        <v>0</v>
      </c>
      <c r="AT40" s="3">
        <f t="shared" si="38"/>
        <v>0</v>
      </c>
      <c r="AU40" s="3">
        <f t="shared" si="39"/>
        <v>0</v>
      </c>
      <c r="AV40" s="3">
        <f t="shared" si="40"/>
        <v>0</v>
      </c>
      <c r="AW40" s="3">
        <f t="shared" si="41"/>
        <v>0</v>
      </c>
      <c r="AX40" s="3">
        <f t="shared" si="42"/>
        <v>0</v>
      </c>
      <c r="AY40" s="3">
        <f t="shared" si="43"/>
        <v>0</v>
      </c>
      <c r="AZ40" s="3">
        <f t="shared" si="44"/>
        <v>0</v>
      </c>
      <c r="BA40" s="3">
        <f t="shared" si="45"/>
        <v>0</v>
      </c>
      <c r="BB40" s="3">
        <f t="shared" si="46"/>
        <v>0</v>
      </c>
      <c r="BC40" s="3">
        <f t="shared" si="47"/>
        <v>0</v>
      </c>
      <c r="BD40" s="3">
        <f>IF(AND(N40&gt;O40,B39=B40,J39+SUM(P39:BC39)&lt;J40+SUM(P40:BC40)),"",IF(I40&gt;1,VLOOKUP(B40,PROGRAMACION1,48,0),IF(AND(H39=H40,N39&gt;SUM(P39:BC39),BD39&gt;(O39/7)),"",IF(AND(BD39&lt;&gt;0,B39=B40,O40&gt;(SUM(P39:BC39))),"",(IF(N40&gt;O40+(SUM(P40:BC40)),O40,N40-(SUM($P40:BC40))))))))</f>
        <v>0</v>
      </c>
      <c r="BE40" s="3">
        <f t="shared" si="48"/>
        <v>0</v>
      </c>
      <c r="BF40" s="3">
        <f t="shared" si="49"/>
        <v>0</v>
      </c>
      <c r="BG40" s="3">
        <f t="shared" si="50"/>
        <v>0</v>
      </c>
      <c r="BH40" s="3">
        <f t="shared" si="51"/>
        <v>0</v>
      </c>
      <c r="BI40" s="3">
        <f t="shared" si="52"/>
        <v>0</v>
      </c>
      <c r="BJ40" s="3">
        <f t="shared" si="53"/>
        <v>0</v>
      </c>
      <c r="BK40" s="3">
        <f t="shared" si="54"/>
        <v>0</v>
      </c>
      <c r="BL40" s="3">
        <f t="shared" si="55"/>
        <v>0</v>
      </c>
      <c r="BM40" s="3">
        <f t="shared" si="56"/>
        <v>0</v>
      </c>
      <c r="BN40" s="3">
        <f t="shared" si="57"/>
        <v>0</v>
      </c>
      <c r="BO40" s="3">
        <f t="shared" si="58"/>
        <v>0</v>
      </c>
      <c r="BP40" s="3">
        <f t="shared" si="59"/>
        <v>0</v>
      </c>
      <c r="BQ40" s="3">
        <f t="shared" si="60"/>
        <v>0</v>
      </c>
      <c r="BR40" s="3">
        <f t="shared" si="61"/>
        <v>0</v>
      </c>
      <c r="BS40" s="3">
        <f t="shared" si="62"/>
        <v>0</v>
      </c>
      <c r="BT40" s="3">
        <f t="shared" si="63"/>
        <v>0</v>
      </c>
      <c r="BU40" s="3">
        <f t="shared" si="64"/>
        <v>0</v>
      </c>
      <c r="BV40" s="3">
        <f t="shared" si="65"/>
        <v>0</v>
      </c>
      <c r="BW40" s="3">
        <f t="shared" si="66"/>
        <v>0</v>
      </c>
      <c r="BX40" s="3">
        <f t="shared" si="67"/>
        <v>0</v>
      </c>
      <c r="BY40" s="3">
        <f t="shared" si="68"/>
        <v>0</v>
      </c>
      <c r="BZ40" s="3">
        <f t="shared" si="69"/>
        <v>0</v>
      </c>
      <c r="CA40" s="3">
        <f>IF(AND(N40&gt;O40,B39=B40,J39+SUM($P39:BZ39)&lt;J40+SUM(P40:BZ40)),"",IF(I40&gt;1,VLOOKUP(B40,PROGRAMACION1,71,0),IF(AND(H39=H40,N39&gt;SUM(P39:BZ39),CA39&gt;(O39/7)),"",IF(AND(CA39&lt;&gt;0,B39=B40,O40&gt;(SUM(P39:BZ39))),"",(IF(N40&gt;O40+(SUM(P40:BZ40)),O40,N40-(SUM(P40:BZ40))))))))</f>
        <v>0</v>
      </c>
      <c r="CB40" s="3">
        <f t="shared" si="70"/>
        <v>0</v>
      </c>
      <c r="CC40" s="3">
        <f t="shared" si="71"/>
        <v>0</v>
      </c>
      <c r="CD40" s="3">
        <f t="shared" si="72"/>
        <v>0</v>
      </c>
      <c r="CE40" s="3">
        <f t="shared" si="73"/>
        <v>0</v>
      </c>
      <c r="CF40" s="3">
        <f t="shared" si="74"/>
        <v>0</v>
      </c>
      <c r="CG40" s="3">
        <f t="shared" si="75"/>
        <v>0</v>
      </c>
      <c r="CH40" s="3">
        <f t="shared" si="76"/>
        <v>0</v>
      </c>
      <c r="CI40" s="3">
        <f t="shared" si="77"/>
        <v>0</v>
      </c>
      <c r="CJ40" s="3">
        <f t="shared" si="78"/>
        <v>0</v>
      </c>
    </row>
    <row r="41" spans="1:88" x14ac:dyDescent="0.25">
      <c r="A41" s="81">
        <v>34</v>
      </c>
      <c r="B41">
        <f>IF(A41&gt;0,FABRICAR!F35,NA())</f>
        <v>37877</v>
      </c>
      <c r="C41" t="str">
        <f>IF(A41&gt;0,FABRICAR!G35,NA())</f>
        <v>Perno Cuello Ret 5/8x45</v>
      </c>
      <c r="D41" s="1" t="str">
        <f t="shared" si="109"/>
        <v>378770</v>
      </c>
      <c r="E41">
        <f>IF(A41&gt;0,FABRICAR!P35,"")</f>
        <v>0</v>
      </c>
      <c r="F41" t="str">
        <f t="shared" si="110"/>
        <v/>
      </c>
      <c r="G41">
        <v>6546</v>
      </c>
      <c r="H41" t="str">
        <f>IF(B41=0,B41,IF(A41&gt;0,FABRICAR!H35,NA()))</f>
        <v>PRENSA FR - 12</v>
      </c>
      <c r="I41">
        <f>IF(B41=0,B41,IF(A41&gt;0,FABRICAR!B35,NA()))</f>
        <v>1</v>
      </c>
      <c r="J41" s="75">
        <f>IF(B41=0,B41,'PROGRAM SALDO '!J37)</f>
        <v>876</v>
      </c>
      <c r="K41" s="82">
        <v>633</v>
      </c>
      <c r="L41" t="str">
        <f>IF(A41&gt;0,FABRICAR!J35,NA())</f>
        <v>ESTAMPAR</v>
      </c>
      <c r="M41" s="9">
        <f t="shared" si="111"/>
        <v>0.105</v>
      </c>
      <c r="N41">
        <f>IF(A41&gt;0,FABRICAR!L35,NA())</f>
        <v>12900</v>
      </c>
      <c r="O41">
        <f>IF(B41=0,B41,IF(A41&gt;0,FABRICAR!M35,"")*9)</f>
        <v>3006</v>
      </c>
      <c r="P41">
        <f t="shared" si="9"/>
        <v>3006</v>
      </c>
      <c r="Q41" s="3">
        <f t="shared" si="95"/>
        <v>3006</v>
      </c>
      <c r="R41" s="3">
        <f t="shared" si="94"/>
        <v>3006</v>
      </c>
      <c r="S41" s="3">
        <f t="shared" si="99"/>
        <v>3006</v>
      </c>
      <c r="T41" s="3">
        <f t="shared" si="100"/>
        <v>876</v>
      </c>
      <c r="U41" s="3">
        <f t="shared" si="101"/>
        <v>0</v>
      </c>
      <c r="V41" s="3">
        <f t="shared" si="102"/>
        <v>0</v>
      </c>
      <c r="W41" s="3">
        <f t="shared" si="103"/>
        <v>0</v>
      </c>
      <c r="X41" s="3">
        <f t="shared" si="104"/>
        <v>0</v>
      </c>
      <c r="Y41" s="3">
        <f t="shared" si="105"/>
        <v>0</v>
      </c>
      <c r="Z41" s="3">
        <f t="shared" si="106"/>
        <v>0</v>
      </c>
      <c r="AA41" s="3">
        <f t="shared" si="107"/>
        <v>0</v>
      </c>
      <c r="AB41" s="3">
        <f t="shared" si="108"/>
        <v>0</v>
      </c>
      <c r="AC41" s="3">
        <f t="shared" si="90"/>
        <v>0</v>
      </c>
      <c r="AD41" s="3">
        <f t="shared" si="22"/>
        <v>0</v>
      </c>
      <c r="AE41" s="3">
        <f t="shared" si="23"/>
        <v>0</v>
      </c>
      <c r="AF41" s="3">
        <f t="shared" si="24"/>
        <v>0</v>
      </c>
      <c r="AG41" s="3">
        <f t="shared" si="25"/>
        <v>0</v>
      </c>
      <c r="AH41" s="3">
        <f t="shared" si="26"/>
        <v>0</v>
      </c>
      <c r="AI41" s="3">
        <f t="shared" si="27"/>
        <v>0</v>
      </c>
      <c r="AJ41" s="3">
        <f t="shared" si="28"/>
        <v>0</v>
      </c>
      <c r="AK41" s="3">
        <f t="shared" si="29"/>
        <v>0</v>
      </c>
      <c r="AL41" s="3">
        <f t="shared" si="30"/>
        <v>0</v>
      </c>
      <c r="AM41" s="3">
        <f t="shared" si="31"/>
        <v>0</v>
      </c>
      <c r="AN41" s="3">
        <f t="shared" si="32"/>
        <v>0</v>
      </c>
      <c r="AO41" s="3">
        <f t="shared" si="33"/>
        <v>0</v>
      </c>
      <c r="AP41" s="3">
        <f t="shared" si="34"/>
        <v>0</v>
      </c>
      <c r="AQ41" s="3">
        <f t="shared" si="35"/>
        <v>0</v>
      </c>
      <c r="AR41" s="3">
        <f t="shared" si="36"/>
        <v>0</v>
      </c>
      <c r="AS41" s="3">
        <f t="shared" si="37"/>
        <v>0</v>
      </c>
      <c r="AT41" s="3">
        <f t="shared" si="38"/>
        <v>0</v>
      </c>
      <c r="AU41" s="3">
        <f t="shared" si="39"/>
        <v>0</v>
      </c>
      <c r="AV41" s="3">
        <f t="shared" si="40"/>
        <v>0</v>
      </c>
      <c r="AW41" s="3">
        <f t="shared" si="41"/>
        <v>0</v>
      </c>
      <c r="AX41" s="3">
        <f t="shared" si="42"/>
        <v>0</v>
      </c>
      <c r="AY41" s="3">
        <f t="shared" si="43"/>
        <v>0</v>
      </c>
      <c r="AZ41" s="3">
        <f t="shared" si="44"/>
        <v>0</v>
      </c>
      <c r="BA41" s="3">
        <f t="shared" si="45"/>
        <v>0</v>
      </c>
      <c r="BB41" s="3">
        <f t="shared" si="46"/>
        <v>0</v>
      </c>
      <c r="BC41" s="3">
        <f t="shared" si="47"/>
        <v>0</v>
      </c>
      <c r="BD41" s="3">
        <f>IF(AND(N41&gt;O41,B40=B41,J40+SUM(P40:BC40)&lt;J41+SUM(P41:BC41)),"",IF(I41&gt;1,VLOOKUP(B41,PROGRAMACION1,48,0),IF(AND(H40=H41,N40&gt;SUM(P40:BC40),BD40&gt;(O40/7)),"",IF(AND(BD40&lt;&gt;0,B40=B41,O41&gt;(SUM(P40:BC40))),"",(IF(N41&gt;O41+(SUM(P41:BC41)),O41,N41-(SUM($P41:BC41))))))))</f>
        <v>0</v>
      </c>
      <c r="BE41" s="3">
        <f t="shared" si="48"/>
        <v>0</v>
      </c>
      <c r="BF41" s="3">
        <f t="shared" si="49"/>
        <v>0</v>
      </c>
      <c r="BG41" s="3">
        <f t="shared" si="50"/>
        <v>0</v>
      </c>
      <c r="BH41" s="3">
        <f t="shared" si="51"/>
        <v>0</v>
      </c>
      <c r="BI41" s="3">
        <f t="shared" si="52"/>
        <v>0</v>
      </c>
      <c r="BJ41" s="3">
        <f t="shared" si="53"/>
        <v>0</v>
      </c>
      <c r="BK41" s="3">
        <f t="shared" si="54"/>
        <v>0</v>
      </c>
      <c r="BL41" s="3">
        <f t="shared" si="55"/>
        <v>0</v>
      </c>
      <c r="BM41" s="3">
        <f t="shared" si="56"/>
        <v>0</v>
      </c>
      <c r="BN41" s="3">
        <f t="shared" si="57"/>
        <v>0</v>
      </c>
      <c r="BO41" s="3">
        <f t="shared" si="58"/>
        <v>0</v>
      </c>
      <c r="BP41" s="3">
        <f t="shared" si="59"/>
        <v>0</v>
      </c>
      <c r="BQ41" s="3">
        <f t="shared" si="60"/>
        <v>0</v>
      </c>
      <c r="BR41" s="3">
        <f t="shared" si="61"/>
        <v>0</v>
      </c>
      <c r="BS41" s="3">
        <f t="shared" si="62"/>
        <v>0</v>
      </c>
      <c r="BT41" s="3">
        <f t="shared" si="63"/>
        <v>0</v>
      </c>
      <c r="BU41" s="3">
        <f t="shared" si="64"/>
        <v>0</v>
      </c>
      <c r="BV41" s="3">
        <f t="shared" si="65"/>
        <v>0</v>
      </c>
      <c r="BW41" s="3">
        <f t="shared" si="66"/>
        <v>0</v>
      </c>
      <c r="BX41" s="3">
        <f t="shared" si="67"/>
        <v>0</v>
      </c>
      <c r="BY41" s="3">
        <f t="shared" si="68"/>
        <v>0</v>
      </c>
      <c r="BZ41" s="3">
        <f t="shared" si="69"/>
        <v>0</v>
      </c>
      <c r="CA41" s="3">
        <f>IF(AND(N41&gt;O41,B40=B41,J40+SUM($P40:BZ40)&lt;J41+SUM(P41:BZ41)),"",IF(I41&gt;1,VLOOKUP(B41,PROGRAMACION1,71,0),IF(AND(H40=H41,N40&gt;SUM(P40:BZ40),CA40&gt;(O40/7)),"",IF(AND(CA40&lt;&gt;0,B40=B41,O41&gt;(SUM(P40:BZ40))),"",(IF(N41&gt;O41+(SUM(P41:BZ41)),O41,N41-(SUM(P41:BZ41))))))))</f>
        <v>0</v>
      </c>
      <c r="CB41" s="3">
        <f t="shared" si="70"/>
        <v>0</v>
      </c>
      <c r="CC41" s="3">
        <f t="shared" si="71"/>
        <v>0</v>
      </c>
      <c r="CD41" s="3">
        <f t="shared" si="72"/>
        <v>0</v>
      </c>
      <c r="CE41" s="3">
        <f t="shared" si="73"/>
        <v>0</v>
      </c>
      <c r="CF41" s="3">
        <f t="shared" si="74"/>
        <v>0</v>
      </c>
      <c r="CG41" s="3">
        <f t="shared" si="75"/>
        <v>0</v>
      </c>
      <c r="CH41" s="3">
        <f t="shared" si="76"/>
        <v>0</v>
      </c>
      <c r="CI41" s="3">
        <f t="shared" si="77"/>
        <v>0</v>
      </c>
      <c r="CJ41" s="3">
        <f t="shared" si="78"/>
        <v>0</v>
      </c>
    </row>
    <row r="42" spans="1:88" x14ac:dyDescent="0.25">
      <c r="A42" s="81">
        <v>35</v>
      </c>
      <c r="B42">
        <f>IF(A42&gt;0,FABRICAR!F36,NA())</f>
        <v>37877</v>
      </c>
      <c r="C42" t="str">
        <f>IF(A42&gt;0,FABRICAR!G36,NA())</f>
        <v>Perno Cuello Ret 5/8x45</v>
      </c>
      <c r="D42" s="1" t="str">
        <f t="shared" si="109"/>
        <v>378770</v>
      </c>
      <c r="E42">
        <f>IF(A42&gt;0,FABRICAR!P36,"")</f>
        <v>0</v>
      </c>
      <c r="F42" t="str">
        <f t="shared" si="110"/>
        <v/>
      </c>
      <c r="G42">
        <v>45546</v>
      </c>
      <c r="H42" t="str">
        <f>IF(B42=0,B42,IF(A42&gt;0,FABRICAR!H36,NA()))</f>
        <v>FAMAE - 02</v>
      </c>
      <c r="I42">
        <f>IF(B42=0,B42,IF(A42&gt;0,FABRICAR!B36,NA()))</f>
        <v>0</v>
      </c>
      <c r="J42" s="75">
        <f>IF(B42=0,B42,'PROGRAM SALDO '!J38)</f>
        <v>3900</v>
      </c>
      <c r="K42" s="82">
        <v>634</v>
      </c>
      <c r="L42" t="str">
        <f>IF(A42&gt;0,FABRICAR!J36,NA())</f>
        <v>REBABAR</v>
      </c>
      <c r="M42" s="9">
        <f t="shared" si="111"/>
        <v>0.105</v>
      </c>
      <c r="N42">
        <f>IF(A42&gt;0,FABRICAR!L36,NA())</f>
        <v>12900</v>
      </c>
      <c r="O42">
        <f>IF(B42=0,B42,IF(A42&gt;0,FABRICAR!M36,"")*9)</f>
        <v>4500</v>
      </c>
      <c r="P42" t="str">
        <f t="shared" si="9"/>
        <v/>
      </c>
      <c r="Q42" s="3" t="str">
        <f t="shared" si="95"/>
        <v/>
      </c>
      <c r="R42" s="3">
        <f t="shared" si="94"/>
        <v>4500</v>
      </c>
      <c r="S42" s="3">
        <f t="shared" si="99"/>
        <v>4500</v>
      </c>
      <c r="T42" s="3">
        <f t="shared" si="100"/>
        <v>3900</v>
      </c>
      <c r="U42" s="3" t="str">
        <f t="shared" si="101"/>
        <v/>
      </c>
      <c r="V42" s="3" t="str">
        <f t="shared" si="102"/>
        <v/>
      </c>
      <c r="W42" s="3" t="str">
        <f t="shared" si="103"/>
        <v/>
      </c>
      <c r="X42" s="3" t="str">
        <f t="shared" si="104"/>
        <v/>
      </c>
      <c r="Y42" s="3" t="str">
        <f t="shared" si="105"/>
        <v/>
      </c>
      <c r="Z42" s="3" t="str">
        <f t="shared" si="106"/>
        <v/>
      </c>
      <c r="AA42" s="3" t="str">
        <f t="shared" si="107"/>
        <v/>
      </c>
      <c r="AB42" s="3" t="str">
        <f t="shared" si="108"/>
        <v/>
      </c>
      <c r="AC42" s="3" t="str">
        <f t="shared" si="90"/>
        <v/>
      </c>
      <c r="AD42" s="3" t="str">
        <f t="shared" si="22"/>
        <v/>
      </c>
      <c r="AE42" s="3" t="str">
        <f t="shared" si="23"/>
        <v/>
      </c>
      <c r="AF42" s="3" t="str">
        <f t="shared" si="24"/>
        <v/>
      </c>
      <c r="AG42" s="3" t="str">
        <f t="shared" si="25"/>
        <v/>
      </c>
      <c r="AH42" s="3" t="str">
        <f t="shared" si="26"/>
        <v/>
      </c>
      <c r="AI42" s="3" t="str">
        <f t="shared" si="27"/>
        <v/>
      </c>
      <c r="AJ42" s="3" t="str">
        <f t="shared" si="28"/>
        <v/>
      </c>
      <c r="AK42" s="3" t="str">
        <f t="shared" si="29"/>
        <v/>
      </c>
      <c r="AL42" s="3" t="str">
        <f t="shared" si="30"/>
        <v/>
      </c>
      <c r="AM42" s="3" t="str">
        <f t="shared" si="31"/>
        <v/>
      </c>
      <c r="AN42" s="3" t="str">
        <f t="shared" si="32"/>
        <v/>
      </c>
      <c r="AO42" s="3" t="str">
        <f t="shared" si="33"/>
        <v/>
      </c>
      <c r="AP42" s="3" t="str">
        <f t="shared" si="34"/>
        <v/>
      </c>
      <c r="AQ42" s="3" t="str">
        <f t="shared" si="35"/>
        <v/>
      </c>
      <c r="AR42" s="3" t="str">
        <f t="shared" si="36"/>
        <v/>
      </c>
      <c r="AS42" s="3" t="str">
        <f t="shared" si="37"/>
        <v/>
      </c>
      <c r="AT42" s="3" t="str">
        <f t="shared" si="38"/>
        <v/>
      </c>
      <c r="AU42" s="3" t="str">
        <f t="shared" si="39"/>
        <v/>
      </c>
      <c r="AV42" s="3" t="str">
        <f t="shared" si="40"/>
        <v/>
      </c>
      <c r="AW42" s="3" t="str">
        <f t="shared" si="41"/>
        <v/>
      </c>
      <c r="AX42" s="3" t="str">
        <f t="shared" si="42"/>
        <v/>
      </c>
      <c r="AY42" s="3" t="str">
        <f t="shared" si="43"/>
        <v/>
      </c>
      <c r="AZ42" s="3" t="str">
        <f t="shared" si="44"/>
        <v/>
      </c>
      <c r="BA42" s="3" t="str">
        <f t="shared" si="45"/>
        <v/>
      </c>
      <c r="BB42" s="3" t="str">
        <f t="shared" si="46"/>
        <v/>
      </c>
      <c r="BC42" s="3" t="str">
        <f t="shared" si="47"/>
        <v/>
      </c>
      <c r="BD42" s="3" t="str">
        <f>IF(AND(N42&gt;O42,B41=B42,J41+SUM(P41:BC41)&lt;J42+SUM(P42:BC42)),"",IF(I42&gt;1,VLOOKUP(B42,PROGRAMACION1,48,0),IF(AND(H41=H42,N41&gt;SUM(P41:BC41),BD41&gt;(O41/7)),"",IF(AND(BD41&lt;&gt;0,B41=B42,O42&gt;(SUM(P41:BC41))),"",(IF(N42&gt;O42+(SUM(P42:BC42)),O42,N42-(SUM($P42:BC42))))))))</f>
        <v/>
      </c>
      <c r="BE42" s="3" t="str">
        <f t="shared" si="48"/>
        <v/>
      </c>
      <c r="BF42" s="3" t="str">
        <f t="shared" si="49"/>
        <v/>
      </c>
      <c r="BG42" s="3" t="str">
        <f t="shared" si="50"/>
        <v/>
      </c>
      <c r="BH42" s="3" t="str">
        <f t="shared" si="51"/>
        <v/>
      </c>
      <c r="BI42" s="3" t="str">
        <f t="shared" si="52"/>
        <v/>
      </c>
      <c r="BJ42" s="3" t="str">
        <f t="shared" si="53"/>
        <v/>
      </c>
      <c r="BK42" s="3" t="str">
        <f t="shared" si="54"/>
        <v/>
      </c>
      <c r="BL42" s="3" t="str">
        <f t="shared" si="55"/>
        <v/>
      </c>
      <c r="BM42" s="3" t="str">
        <f t="shared" si="56"/>
        <v/>
      </c>
      <c r="BN42" s="3" t="str">
        <f t="shared" si="57"/>
        <v/>
      </c>
      <c r="BO42" s="3" t="str">
        <f t="shared" si="58"/>
        <v/>
      </c>
      <c r="BP42" s="3" t="str">
        <f t="shared" si="59"/>
        <v/>
      </c>
      <c r="BQ42" s="3" t="str">
        <f t="shared" si="60"/>
        <v/>
      </c>
      <c r="BR42" s="3" t="str">
        <f t="shared" si="61"/>
        <v/>
      </c>
      <c r="BS42" s="3" t="str">
        <f t="shared" si="62"/>
        <v/>
      </c>
      <c r="BT42" s="3" t="str">
        <f t="shared" si="63"/>
        <v/>
      </c>
      <c r="BU42" s="3" t="str">
        <f t="shared" si="64"/>
        <v/>
      </c>
      <c r="BV42" s="3" t="str">
        <f t="shared" si="65"/>
        <v/>
      </c>
      <c r="BW42" s="3" t="str">
        <f t="shared" si="66"/>
        <v/>
      </c>
      <c r="BX42" s="3" t="str">
        <f t="shared" si="67"/>
        <v/>
      </c>
      <c r="BY42" s="3" t="str">
        <f t="shared" si="68"/>
        <v/>
      </c>
      <c r="BZ42" s="3" t="str">
        <f t="shared" si="69"/>
        <v/>
      </c>
      <c r="CA42" s="3" t="str">
        <f>IF(AND(N42&gt;O42,B41=B42,J41+SUM($P41:BZ41)&lt;J42+SUM(P42:BZ42)),"",IF(I42&gt;1,VLOOKUP(B42,PROGRAMACION1,71,0),IF(AND(H41=H42,N41&gt;SUM(P41:BZ41),CA41&gt;(O41/7)),"",IF(AND(CA41&lt;&gt;0,B41=B42,O42&gt;(SUM(P41:BZ41))),"",(IF(N42&gt;O42+(SUM(P42:BZ42)),O42,N42-(SUM(P42:BZ42))))))))</f>
        <v/>
      </c>
      <c r="CB42" s="3" t="str">
        <f t="shared" si="70"/>
        <v/>
      </c>
      <c r="CC42" s="3" t="str">
        <f t="shared" si="71"/>
        <v/>
      </c>
      <c r="CD42" s="3" t="str">
        <f t="shared" si="72"/>
        <v/>
      </c>
      <c r="CE42" s="3" t="str">
        <f t="shared" si="73"/>
        <v/>
      </c>
      <c r="CF42" s="3" t="str">
        <f t="shared" si="74"/>
        <v/>
      </c>
      <c r="CG42" s="3" t="str">
        <f t="shared" si="75"/>
        <v/>
      </c>
      <c r="CH42" s="3" t="str">
        <f t="shared" si="76"/>
        <v/>
      </c>
      <c r="CI42" s="3" t="str">
        <f t="shared" si="77"/>
        <v/>
      </c>
      <c r="CJ42" s="3" t="str">
        <f t="shared" si="78"/>
        <v/>
      </c>
    </row>
    <row r="43" spans="1:88" x14ac:dyDescent="0.25">
      <c r="A43" s="81">
        <v>36</v>
      </c>
      <c r="B43">
        <f>IF(A43&gt;0,FABRICAR!F37,NA())</f>
        <v>37877</v>
      </c>
      <c r="C43" t="str">
        <f>IF(A43&gt;0,FABRICAR!G37,NA())</f>
        <v>Perno Cuello Ret 5/8x45</v>
      </c>
      <c r="D43" s="1" t="str">
        <f t="shared" si="109"/>
        <v>378770</v>
      </c>
      <c r="E43">
        <f>IF(A43&gt;0,FABRICAR!P37,"")</f>
        <v>0</v>
      </c>
      <c r="F43" t="str">
        <f t="shared" si="110"/>
        <v/>
      </c>
      <c r="G43">
        <v>7786</v>
      </c>
      <c r="H43" t="str">
        <f>IF(B43=0,B43,IF(A43&gt;0,FABRICAR!H37,NA()))</f>
        <v>LAMIN ZURZOLO</v>
      </c>
      <c r="I43">
        <f>IF(B43=0,B43,IF(A43&gt;0,FABRICAR!B37,NA()))</f>
        <v>0</v>
      </c>
      <c r="J43" s="75">
        <f>IF(B43=0,B43,'PROGRAM SALDO '!J39)</f>
        <v>750</v>
      </c>
      <c r="K43" s="82">
        <v>635</v>
      </c>
      <c r="L43" t="str">
        <f>IF(A43&gt;0,FABRICAR!J37,NA())</f>
        <v>LAMINAR</v>
      </c>
      <c r="M43" s="9">
        <f t="shared" si="111"/>
        <v>0.105</v>
      </c>
      <c r="N43">
        <f>IF(A43&gt;0,FABRICAR!L37,NA())</f>
        <v>12900</v>
      </c>
      <c r="O43">
        <f>IF(B43=0,B43,IF(A43&gt;0,FABRICAR!M37,"")*9)</f>
        <v>4050</v>
      </c>
      <c r="P43" t="str">
        <f t="shared" si="9"/>
        <v/>
      </c>
      <c r="Q43" s="3" t="str">
        <f t="shared" si="95"/>
        <v/>
      </c>
      <c r="R43" s="3" t="str">
        <f t="shared" si="94"/>
        <v/>
      </c>
      <c r="S43" s="3">
        <f t="shared" si="99"/>
        <v>4050</v>
      </c>
      <c r="T43" s="3">
        <f t="shared" si="100"/>
        <v>4050</v>
      </c>
      <c r="U43" s="3">
        <f t="shared" si="101"/>
        <v>4050</v>
      </c>
      <c r="V43" s="3">
        <f t="shared" si="102"/>
        <v>750</v>
      </c>
      <c r="W43" s="3">
        <f t="shared" si="103"/>
        <v>0</v>
      </c>
      <c r="X43" s="3">
        <f t="shared" si="104"/>
        <v>0</v>
      </c>
      <c r="Y43" s="3">
        <f t="shared" si="105"/>
        <v>0</v>
      </c>
      <c r="Z43" s="3">
        <f t="shared" si="106"/>
        <v>0</v>
      </c>
      <c r="AA43" s="3">
        <f t="shared" si="107"/>
        <v>0</v>
      </c>
      <c r="AB43" s="3">
        <f t="shared" si="108"/>
        <v>0</v>
      </c>
      <c r="AC43" s="3">
        <f t="shared" si="90"/>
        <v>0</v>
      </c>
      <c r="AD43" s="3">
        <f t="shared" si="22"/>
        <v>0</v>
      </c>
      <c r="AE43" s="3">
        <f t="shared" si="23"/>
        <v>0</v>
      </c>
      <c r="AF43" s="3">
        <f t="shared" si="24"/>
        <v>0</v>
      </c>
      <c r="AG43" s="3">
        <f t="shared" si="25"/>
        <v>0</v>
      </c>
      <c r="AH43" s="3">
        <f t="shared" si="26"/>
        <v>0</v>
      </c>
      <c r="AI43" s="3">
        <f t="shared" si="27"/>
        <v>0</v>
      </c>
      <c r="AJ43" s="3">
        <f t="shared" si="28"/>
        <v>0</v>
      </c>
      <c r="AK43" s="3">
        <f t="shared" si="29"/>
        <v>0</v>
      </c>
      <c r="AL43" s="3">
        <f t="shared" si="30"/>
        <v>0</v>
      </c>
      <c r="AM43" s="3">
        <f t="shared" si="31"/>
        <v>0</v>
      </c>
      <c r="AN43" s="3">
        <f t="shared" si="32"/>
        <v>0</v>
      </c>
      <c r="AO43" s="3">
        <f t="shared" si="33"/>
        <v>0</v>
      </c>
      <c r="AP43" s="3">
        <f t="shared" si="34"/>
        <v>0</v>
      </c>
      <c r="AQ43" s="3">
        <f t="shared" si="35"/>
        <v>0</v>
      </c>
      <c r="AR43" s="3">
        <f t="shared" si="36"/>
        <v>0</v>
      </c>
      <c r="AS43" s="3">
        <f t="shared" si="37"/>
        <v>0</v>
      </c>
      <c r="AT43" s="3">
        <f t="shared" si="38"/>
        <v>0</v>
      </c>
      <c r="AU43" s="3">
        <f t="shared" si="39"/>
        <v>0</v>
      </c>
      <c r="AV43" s="3">
        <f t="shared" si="40"/>
        <v>0</v>
      </c>
      <c r="AW43" s="3">
        <f t="shared" si="41"/>
        <v>0</v>
      </c>
      <c r="AX43" s="3">
        <f t="shared" si="42"/>
        <v>0</v>
      </c>
      <c r="AY43" s="3">
        <f t="shared" si="43"/>
        <v>0</v>
      </c>
      <c r="AZ43" s="3">
        <f t="shared" si="44"/>
        <v>0</v>
      </c>
      <c r="BA43" s="3">
        <f t="shared" si="45"/>
        <v>0</v>
      </c>
      <c r="BB43" s="3">
        <f t="shared" si="46"/>
        <v>0</v>
      </c>
      <c r="BC43" s="3">
        <f t="shared" si="47"/>
        <v>0</v>
      </c>
      <c r="BD43" s="3">
        <f>IF(AND(N43&gt;O43,B42=B43,J42+SUM(P42:BC42)&lt;J43+SUM(P43:BC43)),"",IF(I43&gt;1,VLOOKUP(B43,PROGRAMACION1,48,0),IF(AND(H42=H43,N42&gt;SUM(P42:BC42),BD42&gt;(O42/7)),"",IF(AND(BD42&lt;&gt;0,B42=B43,O43&gt;(SUM(P42:BC42))),"",(IF(N43&gt;O43+(SUM(P43:BC43)),O43,N43-(SUM($P43:BC43))))))))</f>
        <v>0</v>
      </c>
      <c r="BE43" s="3">
        <f t="shared" si="48"/>
        <v>0</v>
      </c>
      <c r="BF43" s="3">
        <f t="shared" si="49"/>
        <v>0</v>
      </c>
      <c r="BG43" s="3">
        <f t="shared" si="50"/>
        <v>0</v>
      </c>
      <c r="BH43" s="3">
        <f t="shared" si="51"/>
        <v>0</v>
      </c>
      <c r="BI43" s="3">
        <f t="shared" si="52"/>
        <v>0</v>
      </c>
      <c r="BJ43" s="3">
        <f t="shared" si="53"/>
        <v>0</v>
      </c>
      <c r="BK43" s="3">
        <f t="shared" si="54"/>
        <v>0</v>
      </c>
      <c r="BL43" s="3">
        <f t="shared" si="55"/>
        <v>0</v>
      </c>
      <c r="BM43" s="3">
        <f t="shared" si="56"/>
        <v>0</v>
      </c>
      <c r="BN43" s="3">
        <f t="shared" si="57"/>
        <v>0</v>
      </c>
      <c r="BO43" s="3">
        <f t="shared" si="58"/>
        <v>0</v>
      </c>
      <c r="BP43" s="3">
        <f t="shared" si="59"/>
        <v>0</v>
      </c>
      <c r="BQ43" s="3">
        <f t="shared" si="60"/>
        <v>0</v>
      </c>
      <c r="BR43" s="3">
        <f t="shared" si="61"/>
        <v>0</v>
      </c>
      <c r="BS43" s="3">
        <f t="shared" si="62"/>
        <v>0</v>
      </c>
      <c r="BT43" s="3">
        <f t="shared" si="63"/>
        <v>0</v>
      </c>
      <c r="BU43" s="3">
        <f t="shared" si="64"/>
        <v>0</v>
      </c>
      <c r="BV43" s="3">
        <f t="shared" si="65"/>
        <v>0</v>
      </c>
      <c r="BW43" s="3">
        <f t="shared" si="66"/>
        <v>0</v>
      </c>
      <c r="BX43" s="3">
        <f t="shared" si="67"/>
        <v>0</v>
      </c>
      <c r="BY43" s="3">
        <f t="shared" si="68"/>
        <v>0</v>
      </c>
      <c r="BZ43" s="3">
        <f t="shared" si="69"/>
        <v>0</v>
      </c>
      <c r="CA43" s="3">
        <f>IF(AND(N43&gt;O43,B42=B43,J42+SUM($P42:BZ42)&lt;J43+SUM(P43:BZ43)),"",IF(I43&gt;1,VLOOKUP(B43,PROGRAMACION1,71,0),IF(AND(H42=H43,N42&gt;SUM(P42:BZ42),CA42&gt;(O42/7)),"",IF(AND(CA42&lt;&gt;0,B42=B43,O43&gt;(SUM(P42:BZ42))),"",(IF(N43&gt;O43+(SUM(P43:BZ43)),O43,N43-(SUM(P43:BZ43))))))))</f>
        <v>0</v>
      </c>
      <c r="CB43" s="3">
        <f t="shared" si="70"/>
        <v>0</v>
      </c>
      <c r="CC43" s="3">
        <f t="shared" si="71"/>
        <v>0</v>
      </c>
      <c r="CD43" s="3">
        <f t="shared" si="72"/>
        <v>0</v>
      </c>
      <c r="CE43" s="3">
        <f t="shared" si="73"/>
        <v>0</v>
      </c>
      <c r="CF43" s="3">
        <f t="shared" si="74"/>
        <v>0</v>
      </c>
      <c r="CG43" s="3">
        <f t="shared" si="75"/>
        <v>0</v>
      </c>
      <c r="CH43" s="3">
        <f t="shared" si="76"/>
        <v>0</v>
      </c>
      <c r="CI43" s="3">
        <f t="shared" si="77"/>
        <v>0</v>
      </c>
      <c r="CJ43" s="3">
        <f t="shared" si="78"/>
        <v>0</v>
      </c>
    </row>
    <row r="44" spans="1:88" x14ac:dyDescent="0.25">
      <c r="A44" s="81">
        <v>37</v>
      </c>
      <c r="B44">
        <f>IF(A44&gt;0,FABRICAR!F38,NA())</f>
        <v>37877</v>
      </c>
      <c r="C44" t="str">
        <f>IF(A44&gt;0,FABRICAR!G38,NA())</f>
        <v>Perno Cuello Ret 5/8x45</v>
      </c>
      <c r="D44" s="1" t="str">
        <f t="shared" si="109"/>
        <v>37877T</v>
      </c>
      <c r="E44" t="str">
        <f>IF(A44&gt;0,FABRICAR!P38,"")</f>
        <v>T</v>
      </c>
      <c r="F44">
        <f>IF(B44=0,B44,IF(E44="T",M44,""))</f>
        <v>0.105</v>
      </c>
      <c r="H44" t="str">
        <f>IF(B44=0,B44,IF(A44&gt;0,FABRICAR!H38,NA()))</f>
        <v>TERR PER - 04</v>
      </c>
      <c r="I44">
        <f>IF(B44=0,B44,IF(A44&gt;0,FABRICAR!B38,NA()))</f>
        <v>0</v>
      </c>
      <c r="J44" s="75">
        <f>IF(B44=0,B44,'PROGRAM SALDO '!J40)</f>
        <v>858</v>
      </c>
      <c r="K44" s="82">
        <v>636</v>
      </c>
      <c r="L44" t="str">
        <f>IF(A44&gt;0,FABRICAR!J38,NA())</f>
        <v>REPASAR</v>
      </c>
      <c r="M44" s="9">
        <f t="shared" si="111"/>
        <v>0.105</v>
      </c>
      <c r="N44">
        <f>IF(A44&gt;0,FABRICAR!L38,NA())</f>
        <v>12900</v>
      </c>
      <c r="O44">
        <f>IF(B44=0,B44,IF(A44&gt;0,FABRICAR!M38,"")*9)</f>
        <v>2007</v>
      </c>
      <c r="P44" t="str">
        <f t="shared" si="9"/>
        <v/>
      </c>
      <c r="Q44" s="3" t="str">
        <f t="shared" si="10"/>
        <v/>
      </c>
      <c r="R44" s="3" t="str">
        <f t="shared" si="79"/>
        <v/>
      </c>
      <c r="S44" s="3" t="str">
        <f t="shared" si="80"/>
        <v/>
      </c>
      <c r="T44" s="3">
        <f t="shared" si="81"/>
        <v>2007</v>
      </c>
      <c r="U44" s="3">
        <f t="shared" si="82"/>
        <v>2007</v>
      </c>
      <c r="V44" s="3">
        <f t="shared" si="83"/>
        <v>2007</v>
      </c>
      <c r="W44" s="3">
        <f t="shared" si="84"/>
        <v>2007</v>
      </c>
      <c r="X44" s="3">
        <f t="shared" si="85"/>
        <v>2007</v>
      </c>
      <c r="Y44" s="3">
        <f t="shared" si="86"/>
        <v>2007</v>
      </c>
      <c r="Z44" s="3">
        <f t="shared" si="87"/>
        <v>858</v>
      </c>
      <c r="AA44" s="3" t="str">
        <f t="shared" si="88"/>
        <v/>
      </c>
      <c r="AB44" s="3" t="str">
        <f t="shared" si="89"/>
        <v/>
      </c>
      <c r="AC44" s="3" t="str">
        <f t="shared" si="90"/>
        <v/>
      </c>
      <c r="AD44" s="3" t="str">
        <f t="shared" si="22"/>
        <v/>
      </c>
      <c r="AE44" s="3" t="str">
        <f t="shared" si="23"/>
        <v/>
      </c>
      <c r="AF44" s="3" t="str">
        <f t="shared" si="24"/>
        <v/>
      </c>
      <c r="AG44" s="3" t="str">
        <f t="shared" si="25"/>
        <v/>
      </c>
      <c r="AH44" s="3" t="str">
        <f t="shared" si="26"/>
        <v/>
      </c>
      <c r="AI44" s="3" t="str">
        <f t="shared" si="27"/>
        <v/>
      </c>
      <c r="AJ44" s="3" t="str">
        <f t="shared" si="28"/>
        <v/>
      </c>
      <c r="AK44" s="3" t="str">
        <f t="shared" si="29"/>
        <v/>
      </c>
      <c r="AL44" s="3" t="str">
        <f t="shared" si="30"/>
        <v/>
      </c>
      <c r="AM44" s="3" t="str">
        <f t="shared" si="31"/>
        <v/>
      </c>
      <c r="AN44" s="3" t="str">
        <f t="shared" si="32"/>
        <v/>
      </c>
      <c r="AO44" s="3" t="str">
        <f t="shared" si="33"/>
        <v/>
      </c>
      <c r="AP44" s="3" t="str">
        <f t="shared" si="34"/>
        <v/>
      </c>
      <c r="AQ44" s="3" t="str">
        <f t="shared" si="35"/>
        <v/>
      </c>
      <c r="AR44" s="3" t="str">
        <f t="shared" si="36"/>
        <v/>
      </c>
      <c r="AS44" s="3" t="str">
        <f t="shared" si="37"/>
        <v/>
      </c>
      <c r="AT44" s="3" t="str">
        <f t="shared" si="38"/>
        <v/>
      </c>
      <c r="AU44" s="3" t="str">
        <f t="shared" si="39"/>
        <v/>
      </c>
      <c r="AV44" s="3" t="str">
        <f t="shared" si="40"/>
        <v/>
      </c>
      <c r="AW44" s="3" t="str">
        <f t="shared" si="41"/>
        <v/>
      </c>
      <c r="AX44" s="3" t="str">
        <f t="shared" si="42"/>
        <v/>
      </c>
      <c r="AY44" s="3" t="str">
        <f t="shared" si="43"/>
        <v/>
      </c>
      <c r="AZ44" s="3" t="str">
        <f t="shared" si="44"/>
        <v/>
      </c>
      <c r="BA44" s="3" t="str">
        <f t="shared" si="45"/>
        <v/>
      </c>
      <c r="BB44" s="3" t="str">
        <f t="shared" si="46"/>
        <v/>
      </c>
      <c r="BC44" s="3" t="str">
        <f t="shared" si="47"/>
        <v/>
      </c>
      <c r="BD44" s="3" t="str">
        <f>IF(AND(N44&gt;O44,B43=B44,J43+SUM(P43:BC43)&lt;J44+SUM(P44:BC44)),"",IF(I44&gt;1,VLOOKUP(B44,PROGRAMACION1,48,0),IF(AND(H43=H44,N43&gt;SUM(P43:BC43),BD43&gt;(O43/7)),"",IF(AND(BD43&lt;&gt;0,B43=B44,O44&gt;(SUM(P43:BC43))),"",(IF(N44&gt;O44+(SUM(P44:BC44)),O44,N44-(SUM($P44:BC44))))))))</f>
        <v/>
      </c>
      <c r="BE44" s="3" t="str">
        <f t="shared" si="48"/>
        <v/>
      </c>
      <c r="BF44" s="3" t="str">
        <f t="shared" si="49"/>
        <v/>
      </c>
      <c r="BG44" s="3" t="str">
        <f t="shared" si="50"/>
        <v/>
      </c>
      <c r="BH44" s="3" t="str">
        <f t="shared" si="51"/>
        <v/>
      </c>
      <c r="BI44" s="3" t="str">
        <f t="shared" si="52"/>
        <v/>
      </c>
      <c r="BJ44" s="3" t="str">
        <f t="shared" si="53"/>
        <v/>
      </c>
      <c r="BK44" s="3" t="str">
        <f t="shared" si="54"/>
        <v/>
      </c>
      <c r="BL44" s="3" t="str">
        <f t="shared" si="55"/>
        <v/>
      </c>
      <c r="BM44" s="3" t="str">
        <f t="shared" si="56"/>
        <v/>
      </c>
      <c r="BN44" s="3" t="str">
        <f t="shared" si="57"/>
        <v/>
      </c>
      <c r="BO44" s="3" t="str">
        <f t="shared" si="58"/>
        <v/>
      </c>
      <c r="BP44" s="3" t="str">
        <f t="shared" si="59"/>
        <v/>
      </c>
      <c r="BQ44" s="3" t="str">
        <f t="shared" si="60"/>
        <v/>
      </c>
      <c r="BR44" s="3" t="str">
        <f t="shared" si="61"/>
        <v/>
      </c>
      <c r="BS44" s="3" t="str">
        <f t="shared" si="62"/>
        <v/>
      </c>
      <c r="BT44" s="3" t="str">
        <f t="shared" si="63"/>
        <v/>
      </c>
      <c r="BU44" s="3" t="str">
        <f t="shared" si="64"/>
        <v/>
      </c>
      <c r="BV44" s="3" t="str">
        <f t="shared" si="65"/>
        <v/>
      </c>
      <c r="BW44" s="3" t="str">
        <f t="shared" si="66"/>
        <v/>
      </c>
      <c r="BX44" s="3" t="str">
        <f t="shared" si="67"/>
        <v/>
      </c>
      <c r="BY44" s="3" t="str">
        <f t="shared" si="68"/>
        <v/>
      </c>
      <c r="BZ44" s="3" t="str">
        <f t="shared" si="69"/>
        <v/>
      </c>
      <c r="CA44" s="3" t="str">
        <f>IF(AND(N44&gt;O44,B43=B44,J43+SUM($P43:BZ43)&lt;J44+SUM(P44:BZ44)),"",IF(I44&gt;1,VLOOKUP(B44,PROGRAMACION1,71,0),IF(AND(H43=H44,N43&gt;SUM(P43:BZ43),CA43&gt;(O43/7)),"",IF(AND(CA43&lt;&gt;0,B43=B44,O44&gt;(SUM(P43:BZ43))),"",(IF(N44&gt;O44+(SUM(P44:BZ44)),O44,N44-(SUM(P44:BZ44))))))))</f>
        <v/>
      </c>
      <c r="CB44" s="3" t="str">
        <f t="shared" si="70"/>
        <v/>
      </c>
      <c r="CC44" s="3" t="str">
        <f t="shared" si="71"/>
        <v/>
      </c>
      <c r="CD44" s="3" t="str">
        <f t="shared" si="72"/>
        <v/>
      </c>
      <c r="CE44" s="3" t="str">
        <f t="shared" si="73"/>
        <v/>
      </c>
      <c r="CF44" s="3" t="str">
        <f t="shared" si="74"/>
        <v/>
      </c>
      <c r="CG44" s="3" t="str">
        <f t="shared" si="75"/>
        <v/>
      </c>
      <c r="CH44" s="3" t="str">
        <f t="shared" si="76"/>
        <v/>
      </c>
      <c r="CI44" s="3" t="str">
        <f t="shared" si="77"/>
        <v/>
      </c>
      <c r="CJ44" s="3" t="str">
        <f t="shared" si="78"/>
        <v/>
      </c>
    </row>
    <row r="45" spans="1:88" x14ac:dyDescent="0.25">
      <c r="A45" s="81">
        <v>38</v>
      </c>
      <c r="B45">
        <f>IF(A45&gt;0,FABRICAR!F39,NA())</f>
        <v>0</v>
      </c>
      <c r="C45">
        <f>IF(A45&gt;0,FABRICAR!G39,NA())</f>
        <v>0</v>
      </c>
      <c r="D45" s="1" t="e">
        <f t="shared" si="109"/>
        <v>#N/A</v>
      </c>
      <c r="E45" t="e">
        <f>IF(A45&gt;0,FABRICAR!P39,"")</f>
        <v>#N/A</v>
      </c>
      <c r="F45">
        <f t="shared" ref="F45:F56" si="112">IF(B45=0,B45,IF(E45="T",M45,""))</f>
        <v>0</v>
      </c>
      <c r="H45">
        <f>IF(B45=0,B45,IF(A45&gt;0,FABRICAR!H39,NA()))</f>
        <v>0</v>
      </c>
      <c r="I45">
        <f>IF(B45=0,B45,IF(A45&gt;0,FABRICAR!B39,NA()))</f>
        <v>0</v>
      </c>
      <c r="J45" s="75">
        <f>IF(B45=0,B45,'PROGRAM SALDO '!J41)</f>
        <v>0</v>
      </c>
      <c r="K45" s="82">
        <v>637</v>
      </c>
      <c r="L45">
        <f>IF(A45&gt;0,FABRICAR!J39,NA())</f>
        <v>0</v>
      </c>
      <c r="M45" s="9">
        <f t="shared" si="111"/>
        <v>0</v>
      </c>
      <c r="N45">
        <f>IF(A45&gt;0,FABRICAR!L39,NA())</f>
        <v>0</v>
      </c>
      <c r="O45">
        <f>IF(B45=0,B45,IF(A45&gt;0,FABRICAR!M39,"")*9)</f>
        <v>0</v>
      </c>
      <c r="P45">
        <f t="shared" si="9"/>
        <v>0</v>
      </c>
      <c r="Q45" s="3">
        <f t="shared" si="10"/>
        <v>0</v>
      </c>
      <c r="R45" s="3">
        <f t="shared" si="79"/>
        <v>0</v>
      </c>
      <c r="S45" s="3">
        <f t="shared" si="80"/>
        <v>0</v>
      </c>
      <c r="T45" s="3">
        <f t="shared" si="81"/>
        <v>0</v>
      </c>
      <c r="U45" s="3">
        <f t="shared" si="82"/>
        <v>0</v>
      </c>
      <c r="V45" s="3">
        <f t="shared" si="83"/>
        <v>0</v>
      </c>
      <c r="W45" s="3">
        <f t="shared" si="84"/>
        <v>0</v>
      </c>
      <c r="X45" s="3">
        <f t="shared" si="85"/>
        <v>0</v>
      </c>
      <c r="Y45" s="3">
        <f t="shared" si="86"/>
        <v>0</v>
      </c>
      <c r="Z45" s="3">
        <f t="shared" si="87"/>
        <v>0</v>
      </c>
      <c r="AA45" s="3">
        <f t="shared" si="88"/>
        <v>0</v>
      </c>
      <c r="AB45" s="3">
        <f t="shared" si="89"/>
        <v>0</v>
      </c>
      <c r="AC45" s="3">
        <f t="shared" si="90"/>
        <v>0</v>
      </c>
      <c r="AD45" s="3">
        <f t="shared" si="22"/>
        <v>0</v>
      </c>
      <c r="AE45" s="3">
        <f t="shared" si="23"/>
        <v>0</v>
      </c>
      <c r="AF45" s="3">
        <f t="shared" si="24"/>
        <v>0</v>
      </c>
      <c r="AG45" s="3">
        <f t="shared" si="25"/>
        <v>0</v>
      </c>
      <c r="AH45" s="3">
        <f t="shared" si="26"/>
        <v>0</v>
      </c>
      <c r="AI45" s="3">
        <f t="shared" si="27"/>
        <v>0</v>
      </c>
      <c r="AJ45" s="3">
        <f t="shared" si="28"/>
        <v>0</v>
      </c>
      <c r="AK45" s="3">
        <f t="shared" si="29"/>
        <v>0</v>
      </c>
      <c r="AL45" s="3">
        <f t="shared" si="30"/>
        <v>0</v>
      </c>
      <c r="AM45" s="3">
        <f t="shared" si="31"/>
        <v>0</v>
      </c>
      <c r="AN45" s="3">
        <f t="shared" si="32"/>
        <v>0</v>
      </c>
      <c r="AO45" s="3">
        <f t="shared" si="33"/>
        <v>0</v>
      </c>
      <c r="AP45" s="3">
        <f t="shared" si="34"/>
        <v>0</v>
      </c>
      <c r="AQ45" s="3">
        <f t="shared" si="35"/>
        <v>0</v>
      </c>
      <c r="AR45" s="3">
        <f t="shared" si="36"/>
        <v>0</v>
      </c>
      <c r="AS45" s="3">
        <f t="shared" si="37"/>
        <v>0</v>
      </c>
      <c r="AT45" s="3">
        <f t="shared" si="38"/>
        <v>0</v>
      </c>
      <c r="AU45" s="3">
        <f t="shared" si="39"/>
        <v>0</v>
      </c>
      <c r="AV45" s="3">
        <f t="shared" si="40"/>
        <v>0</v>
      </c>
      <c r="AW45" s="3">
        <f t="shared" si="41"/>
        <v>0</v>
      </c>
      <c r="AX45" s="3">
        <f t="shared" si="42"/>
        <v>0</v>
      </c>
      <c r="AY45" s="3">
        <f t="shared" si="43"/>
        <v>0</v>
      </c>
      <c r="AZ45" s="3">
        <f t="shared" si="44"/>
        <v>0</v>
      </c>
      <c r="BA45" s="3">
        <f t="shared" si="45"/>
        <v>0</v>
      </c>
      <c r="BB45" s="3">
        <f t="shared" si="46"/>
        <v>0</v>
      </c>
      <c r="BC45" s="3">
        <f t="shared" si="47"/>
        <v>0</v>
      </c>
      <c r="BD45" s="3">
        <f>IF(AND(N45&gt;O45,B44=B45,J44+SUM(P44:BC44)&lt;J45+SUM(P45:BC45)),"",IF(I45&gt;1,VLOOKUP(B45,PROGRAMACION1,48,0),IF(AND(H44=H45,N44&gt;SUM(P44:BC44),BD44&gt;(O44/7)),"",IF(AND(BD44&lt;&gt;0,B44=B45,O45&gt;(SUM(P44:BC44))),"",(IF(N45&gt;O45+(SUM(P45:BC45)),O45,N45-(SUM($P45:BC45))))))))</f>
        <v>0</v>
      </c>
      <c r="BE45" s="3">
        <f t="shared" si="48"/>
        <v>0</v>
      </c>
      <c r="BF45" s="3">
        <f t="shared" si="49"/>
        <v>0</v>
      </c>
      <c r="BG45" s="3">
        <f t="shared" si="50"/>
        <v>0</v>
      </c>
      <c r="BH45" s="3">
        <f t="shared" si="51"/>
        <v>0</v>
      </c>
      <c r="BI45" s="3">
        <f t="shared" si="52"/>
        <v>0</v>
      </c>
      <c r="BJ45" s="3">
        <f t="shared" si="53"/>
        <v>0</v>
      </c>
      <c r="BK45" s="3">
        <f t="shared" si="54"/>
        <v>0</v>
      </c>
      <c r="BL45" s="3">
        <f t="shared" si="55"/>
        <v>0</v>
      </c>
      <c r="BM45" s="3">
        <f t="shared" si="56"/>
        <v>0</v>
      </c>
      <c r="BN45" s="3">
        <f t="shared" si="57"/>
        <v>0</v>
      </c>
      <c r="BO45" s="3">
        <f t="shared" si="58"/>
        <v>0</v>
      </c>
      <c r="BP45" s="3">
        <f t="shared" si="59"/>
        <v>0</v>
      </c>
      <c r="BQ45" s="3">
        <f t="shared" si="60"/>
        <v>0</v>
      </c>
      <c r="BR45" s="3">
        <f t="shared" si="61"/>
        <v>0</v>
      </c>
      <c r="BS45" s="3">
        <f t="shared" si="62"/>
        <v>0</v>
      </c>
      <c r="BT45" s="3">
        <f t="shared" si="63"/>
        <v>0</v>
      </c>
      <c r="BU45" s="3">
        <f t="shared" si="64"/>
        <v>0</v>
      </c>
      <c r="BV45" s="3">
        <f t="shared" si="65"/>
        <v>0</v>
      </c>
      <c r="BW45" s="3">
        <f t="shared" si="66"/>
        <v>0</v>
      </c>
      <c r="BX45" s="3">
        <f t="shared" si="67"/>
        <v>0</v>
      </c>
      <c r="BY45" s="3">
        <f t="shared" si="68"/>
        <v>0</v>
      </c>
      <c r="BZ45" s="3">
        <f t="shared" si="69"/>
        <v>0</v>
      </c>
      <c r="CA45" s="3">
        <f>IF(AND(N45&gt;O45,B44=B45,J44+SUM($P44:BZ44)&lt;J45+SUM(P45:BZ45)),"",IF(I45&gt;1,VLOOKUP(B45,PROGRAMACION1,71,0),IF(AND(H44=H45,N44&gt;SUM(P44:BZ44),CA44&gt;(O44/7)),"",IF(AND(CA44&lt;&gt;0,B44=B45,O45&gt;(SUM(P44:BZ44))),"",(IF(N45&gt;O45+(SUM(P45:BZ45)),O45,N45-(SUM(P45:BZ45))))))))</f>
        <v>0</v>
      </c>
      <c r="CB45" s="3">
        <f t="shared" si="70"/>
        <v>0</v>
      </c>
      <c r="CC45" s="3">
        <f t="shared" si="71"/>
        <v>0</v>
      </c>
      <c r="CD45" s="3">
        <f t="shared" si="72"/>
        <v>0</v>
      </c>
      <c r="CE45" s="3">
        <f t="shared" si="73"/>
        <v>0</v>
      </c>
      <c r="CF45" s="3">
        <f t="shared" si="74"/>
        <v>0</v>
      </c>
      <c r="CG45" s="3">
        <f t="shared" si="75"/>
        <v>0</v>
      </c>
      <c r="CH45" s="3">
        <f t="shared" si="76"/>
        <v>0</v>
      </c>
      <c r="CI45" s="3">
        <f t="shared" si="77"/>
        <v>0</v>
      </c>
      <c r="CJ45" s="3">
        <f t="shared" si="78"/>
        <v>0</v>
      </c>
    </row>
    <row r="46" spans="1:88" x14ac:dyDescent="0.25">
      <c r="A46" s="81">
        <v>39</v>
      </c>
      <c r="B46">
        <f>IF(A46&gt;0,FABRICAR!F40,NA())</f>
        <v>0</v>
      </c>
      <c r="C46">
        <f>IF(A46&gt;0,FABRICAR!G40,NA())</f>
        <v>0</v>
      </c>
      <c r="D46" s="1" t="e">
        <f t="shared" si="109"/>
        <v>#N/A</v>
      </c>
      <c r="E46" t="e">
        <f>IF(A46&gt;0,FABRICAR!P40,"")</f>
        <v>#N/A</v>
      </c>
      <c r="F46">
        <f t="shared" si="112"/>
        <v>0</v>
      </c>
      <c r="H46">
        <f>IF(B46=0,B46,IF(A46&gt;0,FABRICAR!H40,NA()))</f>
        <v>0</v>
      </c>
      <c r="I46">
        <f>IF(B46=0,B46,IF(A46&gt;0,FABRICAR!B40,NA()))</f>
        <v>0</v>
      </c>
      <c r="J46" s="75">
        <f>IF(B46=0,B46,'PROGRAM SALDO '!J42)</f>
        <v>0</v>
      </c>
      <c r="K46" s="82">
        <v>638</v>
      </c>
      <c r="L46">
        <f>IF(A46&gt;0,FABRICAR!J40,NA())</f>
        <v>0</v>
      </c>
      <c r="M46" s="9">
        <f t="shared" si="111"/>
        <v>0</v>
      </c>
      <c r="N46">
        <f>IF(A46&gt;0,FABRICAR!L40,NA())</f>
        <v>0</v>
      </c>
      <c r="O46">
        <f>IF(B46=0,B46,IF(A46&gt;0,FABRICAR!M40,"")*9)</f>
        <v>0</v>
      </c>
      <c r="P46" t="str">
        <f t="shared" ref="P46:P51" si="113">IF(I46&gt;1,VLOOKUP(B46,PROGRAMACION1,12,0),IF(H46=H45,"",IF(AND(B46=B45,O46&gt;1),"",(IF(N46&gt;O46,O46,N46)))))</f>
        <v/>
      </c>
      <c r="Q46" s="3">
        <f>IF($I$46&gt;1,VLOOKUP($B$46,PROGRAMACION1,13,0),IF(AND($H$45=$H$46,$N$45&gt;SUM($P$45:P45),Q45&gt;($O$45/7)),"",IF(AND(Q45&lt;&gt;0,$B$45=$B$46,$O$46&gt;(SUM($P$45:P45))),"",(IF($N$46&gt;$O$46+(SUM($P$46:P46)),$O$46,$N$46-(SUM($P$46:P46)))))))</f>
        <v>0</v>
      </c>
      <c r="R46" s="3">
        <f>IF($I$46&gt;1,VLOOKUP($B$46,PROGRAMACION1,13,0),IF(AND($H$45=$H$46,$N$45&gt;SUM($P$45:Q45),R45&gt;($O$45/7)),"",IF(AND(R45&lt;&gt;0,$B$45=$B$46,$O$46&gt;(SUM($P$45:Q45))),"",(IF($N$46&gt;$O$46+(SUM($P$46:Q46)),$O$46,$N$46-(SUM($P$46:Q46)))))))</f>
        <v>0</v>
      </c>
      <c r="S46" s="3">
        <f>IF($I$46&gt;1,VLOOKUP($B$46,PROGRAMACION1,13,0),IF(AND($H$45=$H$46,$N$45&gt;SUM($P$45:R45),S45&gt;($O$45/7)),"",IF(AND(S45&lt;&gt;0,$B$45=$B$46,$O$46&gt;(SUM($P$45:R45))),"",(IF($N$46&gt;$O$46+(SUM($P$46:R46)),$O$46,$N$46-(SUM($P$46:R46)))))))</f>
        <v>0</v>
      </c>
      <c r="T46" s="3">
        <f>IF($I$46&gt;1,VLOOKUP($B$46,PROGRAMACION1,13,0),IF(AND($H$45=$H$46,$N$45&gt;SUM($P$45:S45),T45&gt;($O$45/7)),"",IF(AND(T45&lt;&gt;0,$B$45=$B$46,$O$46&gt;(SUM($P$45:S45))),"",(IF($N$46&gt;$O$46+(SUM($P$46:S46)),$O$46,$N$46-(SUM($P$46:S46)))))))</f>
        <v>0</v>
      </c>
      <c r="U46" s="3">
        <f>IF($I$46&gt;1,VLOOKUP($B$46,PROGRAMACION1,13,0),IF(AND($H$45=$H$46,$N$45&gt;SUM($P$45:T45),U45&gt;($O$45/7)),"",IF(AND(U45&lt;&gt;0,$B$45=$B$46,$O$46&gt;(SUM($P$45:T45))),"",(IF($N$46&gt;$O$46+(SUM($P$46:T46)),$O$46,$N$46-(SUM($P$46:T46)))))))</f>
        <v>0</v>
      </c>
      <c r="V46" s="3">
        <f>IF($I$46&gt;1,VLOOKUP($B$46,PROGRAMACION1,13,0),IF(AND($H$45=$H$46,$N$45&gt;SUM($P$45:U45),V45&gt;($O$45/7)),"",IF(AND(V45&lt;&gt;0,$B$45=$B$46,$O$46&gt;(SUM($P$45:U45))),"",(IF($N$46&gt;$O$46+(SUM($P$46:U46)),$O$46,$N$46-(SUM($P$46:U46)))))))</f>
        <v>0</v>
      </c>
      <c r="W46" s="3">
        <f>IF($I$46&gt;1,VLOOKUP($B$46,PROGRAMACION1,13,0),IF(AND($H$45=$H$46,$N$45&gt;SUM($P$45:V45),W45&gt;($O$45/7)),"",IF(AND(W45&lt;&gt;0,$B$45=$B$46,$O$46&gt;(SUM($P$45:V45))),"",(IF($N$46&gt;$O$46+(SUM($P$46:V46)),$O$46,$N$46-(SUM($P$46:V46)))))))</f>
        <v>0</v>
      </c>
      <c r="X46" s="3">
        <f>IF($I$46&gt;1,VLOOKUP($B$46,PROGRAMACION1,13,0),IF(AND($H$45=$H$46,$N$45&gt;SUM($P$45:W45),X45&gt;($O$45/7)),"",IF(AND(X45&lt;&gt;0,$B$45=$B$46,$O$46&gt;(SUM($P$45:W45))),"",(IF($N$46&gt;$O$46+(SUM($P$46:W46)),$O$46,$N$46-(SUM($P$46:W46)))))))</f>
        <v>0</v>
      </c>
      <c r="Y46" s="3">
        <f>IF($I$46&gt;1,VLOOKUP($B$46,PROGRAMACION1,13,0),IF(AND($H$45=$H$46,$N$45&gt;SUM($P$45:X45),Y45&gt;($O$45/7)),"",IF(AND(Y45&lt;&gt;0,$B$45=$B$46,$O$46&gt;(SUM($P$45:X45))),"",(IF($N$46&gt;$O$46+(SUM($P$46:X46)),$O$46,$N$46-(SUM($P$46:X46)))))))</f>
        <v>0</v>
      </c>
      <c r="Z46" s="3">
        <f>IF($I$46&gt;1,VLOOKUP($B$46,PROGRAMACION1,13,0),IF(AND($H$45=$H$46,$N$45&gt;SUM($P$45:Y45),Z45&gt;($O$45/7)),"",IF(AND(Z45&lt;&gt;0,$B$45=$B$46,$O$46&gt;(SUM($P$45:Y45))),"",(IF($N$46&gt;$O$46+(SUM($P$46:Y46)),$O$46,$N$46-(SUM($P$46:Y46)))))))</f>
        <v>0</v>
      </c>
      <c r="AA46" s="3">
        <f>IF($I$46&gt;1,VLOOKUP($B$46,PROGRAMACION1,13,0),IF(AND($H$45=$H$46,$N$45&gt;SUM($P$45:Z45),AA45&gt;($O$45/7)),"",IF(AND(AA45&lt;&gt;0,$B$45=$B$46,$O$46&gt;(SUM($P$45:Z45))),"",(IF($N$46&gt;$O$46+(SUM($P$46:Z46)),$O$46,$N$46-(SUM($P$46:Z46)))))))</f>
        <v>0</v>
      </c>
      <c r="AB46" s="3">
        <f>IF($I$46&gt;1,VLOOKUP($B$46,PROGRAMACION1,13,0),IF(AND($H$45=$H$46,$N$45&gt;SUM($P$45:AA45),AB45&gt;($O$45/7)),"",IF(AND(AB45&lt;&gt;0,$B$45=$B$46,$O$46&gt;(SUM($P$45:AA45))),"",(IF($N$46&gt;$O$46+(SUM($P$46:AA46)),$O$46,$N$46-(SUM($P$46:AA46)))))))</f>
        <v>0</v>
      </c>
      <c r="AC46" s="3">
        <f>IF($I$46&gt;1,VLOOKUP($B$46,PROGRAMACION1,13,0),IF(AND($H$45=$H$46,$N$45&gt;SUM($P$45:AB45),AC45&gt;($O$45/7)),"",IF(AND(AC45&lt;&gt;0,$B$45=$B$46,$O$46&gt;(SUM($P$45:AB45))),"",(IF($N$46&gt;$O$46+(SUM($P$46:AB46)),$O$46,$N$46-(SUM($P$46:AB46)))))))</f>
        <v>0</v>
      </c>
      <c r="AD46" s="3">
        <f>IF($I$46&gt;1,VLOOKUP($B$46,PROGRAMACION1,13,0),IF(AND($H$45=$H$46,$N$45&gt;SUM($P$45:AC45),AD45&gt;($O$45/7)),"",IF(AND(AD45&lt;&gt;0,$B$45=$B$46,$O$46&gt;(SUM($P$45:AC45))),"",(IF($N$46&gt;$O$46+(SUM($P$46:AC46)),$O$46,$N$46-(SUM($P$46:AC46)))))))</f>
        <v>0</v>
      </c>
      <c r="AE46" s="3">
        <f>IF($I$46&gt;1,VLOOKUP($B$46,PROGRAMACION1,13,0),IF(AND($H$45=$H$46,$N$45&gt;SUM($P$45:AD45),AE45&gt;($O$45/7)),"",IF(AND(AE45&lt;&gt;0,$B$45=$B$46,$O$46&gt;(SUM($P$45:AD45))),"",(IF($N$46&gt;$O$46+(SUM($P$46:AD46)),$O$46,$N$46-(SUM($P$46:AD46)))))))</f>
        <v>0</v>
      </c>
      <c r="AF46" s="3">
        <f>IF($I$46&gt;1,VLOOKUP($B$46,PROGRAMACION1,13,0),IF(AND($H$45=$H$46,$N$45&gt;SUM($P$45:AE45),AF45&gt;($O$45/7)),"",IF(AND(AF45&lt;&gt;0,$B$45=$B$46,$O$46&gt;(SUM($P$45:AE45))),"",(IF($N$46&gt;$O$46+(SUM($P$46:AE46)),$O$46,$N$46-(SUM($P$46:AE46)))))))</f>
        <v>0</v>
      </c>
      <c r="AG46" s="3">
        <f>IF($I$46&gt;1,VLOOKUP($B$46,PROGRAMACION1,13,0),IF(AND($H$45=$H$46,$N$45&gt;SUM($P$45:AF45),AG45&gt;($O$45/7)),"",IF(AND(AG45&lt;&gt;0,$B$45=$B$46,$O$46&gt;(SUM($P$45:AF45))),"",(IF($N$46&gt;$O$46+(SUM($P$46:AF46)),$O$46,$N$46-(SUM($P$46:AF46)))))))</f>
        <v>0</v>
      </c>
      <c r="AH46" s="3">
        <f>IF($I$46&gt;1,VLOOKUP($B$46,PROGRAMACION1,13,0),IF(AND($H$45=$H$46,$N$45&gt;SUM($P$45:AG45),AH45&gt;($O$45/7)),"",IF(AND(AH45&lt;&gt;0,$B$45=$B$46,$O$46&gt;(SUM($P$45:AG45))),"",(IF($N$46&gt;$O$46+(SUM($P$46:AG46)),$O$46,$N$46-(SUM($P$46:AG46)))))))</f>
        <v>0</v>
      </c>
      <c r="AI46" s="3">
        <f>IF($I$46&gt;1,VLOOKUP($B$46,PROGRAMACION1,13,0),IF(AND($H$45=$H$46,$N$45&gt;SUM($P$45:AH45),AI45&gt;($O$45/7)),"",IF(AND(AI45&lt;&gt;0,$B$45=$B$46,$O$46&gt;(SUM($P$45:AH45))),"",(IF($N$46&gt;$O$46+(SUM($P$46:AH46)),$O$46,$N$46-(SUM($P$46:AH46)))))))</f>
        <v>0</v>
      </c>
      <c r="AJ46" s="3">
        <f>IF($I$46&gt;1,VLOOKUP($B$46,PROGRAMACION1,13,0),IF(AND($H$45=$H$46,$N$45&gt;SUM($P$45:AI45),AJ45&gt;($O$45/7)),"",IF(AND(AJ45&lt;&gt;0,$B$45=$B$46,$O$46&gt;(SUM($P$45:AI45))),"",(IF($N$46&gt;$O$46+(SUM($P$46:AI46)),$O$46,$N$46-(SUM($P$46:AI46)))))))</f>
        <v>0</v>
      </c>
      <c r="AK46" s="3">
        <f>IF($I$46&gt;1,VLOOKUP($B$46,PROGRAMACION1,13,0),IF(AND($H$45=$H$46,$N$45&gt;SUM($P$45:AJ45),AK45&gt;($O$45/7)),"",IF(AND(AK45&lt;&gt;0,$B$45=$B$46,$O$46&gt;(SUM($P$45:AJ45))),"",(IF($N$46&gt;$O$46+(SUM($P$46:AJ46)),$O$46,$N$46-(SUM($P$46:AJ46)))))))</f>
        <v>0</v>
      </c>
      <c r="AL46" s="3">
        <f>IF($I$46&gt;1,VLOOKUP($B$46,PROGRAMACION1,13,0),IF(AND($H$45=$H$46,$N$45&gt;SUM($P$45:AK45),AL45&gt;($O$45/7)),"",IF(AND(AL45&lt;&gt;0,$B$45=$B$46,$O$46&gt;(SUM($P$45:AK45))),"",(IF($N$46&gt;$O$46+(SUM($P$46:AK46)),$O$46,$N$46-(SUM($P$46:AK46)))))))</f>
        <v>0</v>
      </c>
      <c r="AM46" s="3">
        <f>IF($I$46&gt;1,VLOOKUP($B$46,PROGRAMACION1,13,0),IF(AND($H$45=$H$46,$N$45&gt;SUM($P$45:AL45),AM45&gt;($O$45/7)),"",IF(AND(AM45&lt;&gt;0,$B$45=$B$46,$O$46&gt;(SUM($P$45:AL45))),"",(IF($N$46&gt;$O$46+(SUM($P$46:AL46)),$O$46,$N$46-(SUM($P$46:AL46)))))))</f>
        <v>0</v>
      </c>
      <c r="AN46" s="3">
        <f>IF($I$46&gt;1,VLOOKUP($B$46,PROGRAMACION1,13,0),IF(AND($H$45=$H$46,$N$45&gt;SUM($P$45:AM45),AN45&gt;($O$45/7)),"",IF(AND(AN45&lt;&gt;0,$B$45=$B$46,$O$46&gt;(SUM($P$45:AM45))),"",(IF($N$46&gt;$O$46+(SUM($P$46:AM46)),$O$46,$N$46-(SUM($P$46:AM46)))))))</f>
        <v>0</v>
      </c>
      <c r="AO46" s="3">
        <f>IF($I$46&gt;1,VLOOKUP($B$46,PROGRAMACION1,13,0),IF(AND($H$45=$H$46,$N$45&gt;SUM($P$45:AN45),AO45&gt;($O$45/7)),"",IF(AND(AO45&lt;&gt;0,$B$45=$B$46,$O$46&gt;(SUM($P$45:AN45))),"",(IF($N$46&gt;$O$46+(SUM($P$46:AN46)),$O$46,$N$46-(SUM($P$46:AN46)))))))</f>
        <v>0</v>
      </c>
      <c r="AP46" s="3">
        <f>IF($I$46&gt;1,VLOOKUP($B$46,PROGRAMACION1,13,0),IF(AND($H$45=$H$46,$N$45&gt;SUM($P$45:AO45),AP45&gt;($O$45/7)),"",IF(AND(AP45&lt;&gt;0,$B$45=$B$46,$O$46&gt;(SUM($P$45:AO45))),"",(IF($N$46&gt;$O$46+(SUM($P$46:AO46)),$O$46,$N$46-(SUM($P$46:AO46)))))))</f>
        <v>0</v>
      </c>
      <c r="AQ46" s="3">
        <f>IF($I$46&gt;1,VLOOKUP($B$46,PROGRAMACION1,13,0),IF(AND($H$45=$H$46,$N$45&gt;SUM($P$45:AP45),AQ45&gt;($O$45/7)),"",IF(AND(AQ45&lt;&gt;0,$B$45=$B$46,$O$46&gt;(SUM($P$45:AP45))),"",(IF($N$46&gt;$O$46+(SUM($P$46:AP46)),$O$46,$N$46-(SUM($P$46:AP46)))))))</f>
        <v>0</v>
      </c>
      <c r="AR46" s="3">
        <f>IF($I$46&gt;1,VLOOKUP($B$46,PROGRAMACION1,13,0),IF(AND($H$45=$H$46,$N$45&gt;SUM($P$45:AQ45),AR45&gt;($O$45/7)),"",IF(AND(AR45&lt;&gt;0,$B$45=$B$46,$O$46&gt;(SUM($P$45:AQ45))),"",(IF($N$46&gt;$O$46+(SUM($P$46:AQ46)),$O$46,$N$46-(SUM($P$46:AQ46)))))))</f>
        <v>0</v>
      </c>
      <c r="AS46" s="3">
        <f>IF($I$46&gt;1,VLOOKUP($B$46,PROGRAMACION1,13,0),IF(AND($H$45=$H$46,$N$45&gt;SUM($P$45:AR45),AS45&gt;($O$45/7)),"",IF(AND(AS45&lt;&gt;0,$B$45=$B$46,$O$46&gt;(SUM($P$45:AR45))),"",(IF($N$46&gt;$O$46+(SUM($P$46:AR46)),$O$46,$N$46-(SUM($P$46:AR46)))))))</f>
        <v>0</v>
      </c>
      <c r="AT46" s="3">
        <f>IF($I$46&gt;1,VLOOKUP($B$46,PROGRAMACION1,13,0),IF(AND($H$45=$H$46,$N$45&gt;SUM($P$45:AS45),AT45&gt;($O$45/7)),"",IF(AND(AT45&lt;&gt;0,$B$45=$B$46,$O$46&gt;(SUM($P$45:AS45))),"",(IF($N$46&gt;$O$46+(SUM($P$46:AS46)),$O$46,$N$46-(SUM($P$46:AS46)))))))</f>
        <v>0</v>
      </c>
      <c r="AU46" s="3">
        <f>IF($I$46&gt;1,VLOOKUP($B$46,PROGRAMACION1,13,0),IF(AND($H$45=$H$46,$N$45&gt;SUM($P$45:AT45),AU45&gt;($O$45/7)),"",IF(AND(AU45&lt;&gt;0,$B$45=$B$46,$O$46&gt;(SUM($P$45:AT45))),"",(IF($N$46&gt;$O$46+(SUM($P$46:AT46)),$O$46,$N$46-(SUM($P$46:AT46)))))))</f>
        <v>0</v>
      </c>
      <c r="AV46" s="3">
        <f>IF($I$46&gt;1,VLOOKUP($B$46,PROGRAMACION1,13,0),IF(AND($H$45=$H$46,$N$45&gt;SUM($P$45:AU45),AV45&gt;($O$45/7)),"",IF(AND(AV45&lt;&gt;0,$B$45=$B$46,$O$46&gt;(SUM($P$45:AU45))),"",(IF($N$46&gt;$O$46+(SUM($P$46:AU46)),$O$46,$N$46-(SUM($P$46:AU46)))))))</f>
        <v>0</v>
      </c>
      <c r="AW46" s="3">
        <f>IF($I$46&gt;1,VLOOKUP($B$46,PROGRAMACION1,13,0),IF(AND($H$45=$H$46,$N$45&gt;SUM($P$45:AV45),AW45&gt;($O$45/7)),"",IF(AND(AW45&lt;&gt;0,$B$45=$B$46,$O$46&gt;(SUM($P$45:AV45))),"",(IF($N$46&gt;$O$46+(SUM($P$46:AV46)),$O$46,$N$46-(SUM($P$46:AV46)))))))</f>
        <v>0</v>
      </c>
      <c r="AX46" s="3">
        <f>IF($I$46&gt;1,VLOOKUP($B$46,PROGRAMACION1,13,0),IF(AND($H$45=$H$46,$N$45&gt;SUM($P$45:AW45),AX45&gt;($O$45/7)),"",IF(AND(AX45&lt;&gt;0,$B$45=$B$46,$O$46&gt;(SUM($P$45:AW45))),"",(IF($N$46&gt;$O$46+(SUM($P$46:AW46)),$O$46,$N$46-(SUM($P$46:AW46)))))))</f>
        <v>0</v>
      </c>
      <c r="AY46" s="3">
        <f>IF($I$46&gt;1,VLOOKUP($B$46,PROGRAMACION1,13,0),IF(AND($H$45=$H$46,$N$45&gt;SUM($P$45:AX45),AY45&gt;($O$45/7)),"",IF(AND(AY45&lt;&gt;0,$B$45=$B$46,$O$46&gt;(SUM($P$45:AX45))),"",(IF($N$46&gt;$O$46+(SUM($P$46:AX46)),$O$46,$N$46-(SUM($P$46:AX46)))))))</f>
        <v>0</v>
      </c>
      <c r="AZ46" s="3">
        <f>IF($I$46&gt;1,VLOOKUP($B$46,PROGRAMACION1,13,0),IF(AND($H$45=$H$46,$N$45&gt;SUM($P$45:AY45),AZ45&gt;($O$45/7)),"",IF(AND(AZ45&lt;&gt;0,$B$45=$B$46,$O$46&gt;(SUM($P$45:AY45))),"",(IF($N$46&gt;$O$46+(SUM($P$46:AY46)),$O$46,$N$46-(SUM($P$46:AY46)))))))</f>
        <v>0</v>
      </c>
      <c r="BA46" s="3">
        <f>IF($I$46&gt;1,VLOOKUP($B$46,PROGRAMACION1,13,0),IF(AND($H$45=$H$46,$N$45&gt;SUM($P$45:AZ45),BA45&gt;($O$45/7)),"",IF(AND(BA45&lt;&gt;0,$B$45=$B$46,$O$46&gt;(SUM($P$45:AZ45))),"",(IF($N$46&gt;$O$46+(SUM($P$46:AZ46)),$O$46,$N$46-(SUM($P$46:AZ46)))))))</f>
        <v>0</v>
      </c>
      <c r="BB46" s="3">
        <f>IF($I$46&gt;1,VLOOKUP($B$46,PROGRAMACION1,13,0),IF(AND($H$45=$H$46,$N$45&gt;SUM($P$45:BA45),BB45&gt;($O$45/7)),"",IF(AND(BB45&lt;&gt;0,$B$45=$B$46,$O$46&gt;(SUM($P$45:BA45))),"",(IF($N$46&gt;$O$46+(SUM($P$46:BA46)),$O$46,$N$46-(SUM($P$46:BA46)))))))</f>
        <v>0</v>
      </c>
      <c r="BC46" s="3">
        <f>IF($I$46&gt;1,VLOOKUP($B$46,PROGRAMACION1,13,0),IF(AND($H$45=$H$46,$N$45&gt;SUM($P$45:BB45),BC45&gt;($O$45/7)),"",IF(AND(BC45&lt;&gt;0,$B$45=$B$46,$O$46&gt;(SUM($P$45:BB45))),"",(IF($N$46&gt;$O$46+(SUM($P$46:BB46)),$O$46,$N$46-(SUM($P$46:BB46)))))))</f>
        <v>0</v>
      </c>
      <c r="BD46" s="3">
        <f>IF($I$46&gt;1,VLOOKUP($B$46,PROGRAMACION1,13,0),IF(AND($H$45=$H$46,$N$45&gt;SUM($P$45:BC45),BD45&gt;($O$45/7)),"",IF(AND(BD45&lt;&gt;0,$B$45=$B$46,$O$46&gt;(SUM($P$45:BC45))),"",(IF($N$46&gt;$O$46+(SUM($P$46:BC46)),$O$46,$N$46-(SUM($P$46:BC46)))))))</f>
        <v>0</v>
      </c>
      <c r="BE46" s="3">
        <f>IF($I$46&gt;1,VLOOKUP($B$46,PROGRAMACION1,13,0),IF(AND($H$45=$H$46,$N$45&gt;SUM($P$45:BD45),BE45&gt;($O$45/7)),"",IF(AND(BE45&lt;&gt;0,$B$45=$B$46,$O$46&gt;(SUM($P$45:BD45))),"",(IF($N$46&gt;$O$46+(SUM($P$46:BD46)),$O$46,$N$46-(SUM($P$46:BD46)))))))</f>
        <v>0</v>
      </c>
      <c r="BF46" s="3">
        <f>IF($I$46&gt;1,VLOOKUP($B$46,PROGRAMACION1,13,0),IF(AND($H$45=$H$46,$N$45&gt;SUM($P$45:BE45),BF45&gt;($O$45/7)),"",IF(AND(BF45&lt;&gt;0,$B$45=$B$46,$O$46&gt;(SUM($P$45:BE45))),"",(IF($N$46&gt;$O$46+(SUM($P$46:BE46)),$O$46,$N$46-(SUM($P$46:BE46)))))))</f>
        <v>0</v>
      </c>
      <c r="BG46" s="3">
        <f>IF($I$46&gt;1,VLOOKUP($B$46,PROGRAMACION1,13,0),IF(AND($H$45=$H$46,$N$45&gt;SUM($P$45:BF45),BG45&gt;($O$45/7)),"",IF(AND(BG45&lt;&gt;0,$B$45=$B$46,$O$46&gt;(SUM($P$45:BF45))),"",(IF($N$46&gt;$O$46+(SUM($P$46:BF46)),$O$46,$N$46-(SUM($P$46:BF46)))))))</f>
        <v>0</v>
      </c>
      <c r="BH46" s="3">
        <f>IF($I$46&gt;1,VLOOKUP($B$46,PROGRAMACION1,13,0),IF(AND($H$45=$H$46,$N$45&gt;SUM($P$45:BG45),BH45&gt;($O$45/7)),"",IF(AND(BH45&lt;&gt;0,$B$45=$B$46,$O$46&gt;(SUM($P$45:BG45))),"",(IF($N$46&gt;$O$46+(SUM($P$46:BG46)),$O$46,$N$46-(SUM($P$46:BG46)))))))</f>
        <v>0</v>
      </c>
      <c r="BI46" s="3">
        <f>IF($I$46&gt;1,VLOOKUP($B$46,PROGRAMACION1,13,0),IF(AND($H$45=$H$46,$N$45&gt;SUM($P$45:BH45),BI45&gt;($O$45/7)),"",IF(AND(BI45&lt;&gt;0,$B$45=$B$46,$O$46&gt;(SUM($P$45:BH45))),"",(IF($N$46&gt;$O$46+(SUM($P$46:BH46)),$O$46,$N$46-(SUM($P$46:BH46)))))))</f>
        <v>0</v>
      </c>
      <c r="BJ46" s="3">
        <f>IF($I$46&gt;1,VLOOKUP($B$46,PROGRAMACION1,13,0),IF(AND($H$45=$H$46,$N$45&gt;SUM($P$45:BI45),BJ45&gt;($O$45/7)),"",IF(AND(BJ45&lt;&gt;0,$B$45=$B$46,$O$46&gt;(SUM($P$45:BI45))),"",(IF($N$46&gt;$O$46+(SUM($P$46:BI46)),$O$46,$N$46-(SUM($P$46:BI46)))))))</f>
        <v>0</v>
      </c>
      <c r="BK46" s="3">
        <f>IF($I$46&gt;1,VLOOKUP($B$46,PROGRAMACION1,13,0),IF(AND($H$45=$H$46,$N$45&gt;SUM($P$45:BJ45),BK45&gt;($O$45/7)),"",IF(AND(BK45&lt;&gt;0,$B$45=$B$46,$O$46&gt;(SUM($P$45:BJ45))),"",(IF($N$46&gt;$O$46+(SUM($P$46:BJ46)),$O$46,$N$46-(SUM($P$46:BJ46)))))))</f>
        <v>0</v>
      </c>
      <c r="BL46" s="3">
        <f>IF($I$46&gt;1,VLOOKUP($B$46,PROGRAMACION1,13,0),IF(AND($H$45=$H$46,$N$45&gt;SUM($P$45:BK45),BL45&gt;($O$45/7)),"",IF(AND(BL45&lt;&gt;0,$B$45=$B$46,$O$46&gt;(SUM($P$45:BK45))),"",(IF($N$46&gt;$O$46+(SUM($P$46:BK46)),$O$46,$N$46-(SUM($P$46:BK46)))))))</f>
        <v>0</v>
      </c>
      <c r="BM46" s="3">
        <f>IF($I$46&gt;1,VLOOKUP($B$46,PROGRAMACION1,13,0),IF(AND($H$45=$H$46,$N$45&gt;SUM($P$45:BL45),BM45&gt;($O$45/7)),"",IF(AND(BM45&lt;&gt;0,$B$45=$B$46,$O$46&gt;(SUM($P$45:BL45))),"",(IF($N$46&gt;$O$46+(SUM($P$46:BL46)),$O$46,$N$46-(SUM($P$46:BL46)))))))</f>
        <v>0</v>
      </c>
      <c r="BN46" s="3">
        <f>IF($I$46&gt;1,VLOOKUP($B$46,PROGRAMACION1,13,0),IF(AND($H$45=$H$46,$N$45&gt;SUM($P$45:BM45),BN45&gt;($O$45/7)),"",IF(AND(BN45&lt;&gt;0,$B$45=$B$46,$O$46&gt;(SUM($P$45:BM45))),"",(IF($N$46&gt;$O$46+(SUM($P$46:BM46)),$O$46,$N$46-(SUM($P$46:BM46)))))))</f>
        <v>0</v>
      </c>
      <c r="BO46" s="3">
        <f>IF($I$46&gt;1,VLOOKUP($B$46,PROGRAMACION1,13,0),IF(AND($H$45=$H$46,$N$45&gt;SUM($P$45:BN45),BO45&gt;($O$45/7)),"",IF(AND(BO45&lt;&gt;0,$B$45=$B$46,$O$46&gt;(SUM($P$45:BN45))),"",(IF($N$46&gt;$O$46+(SUM($P$46:BN46)),$O$46,$N$46-(SUM($P$46:BN46)))))))</f>
        <v>0</v>
      </c>
      <c r="BP46" s="3">
        <f>IF($I$46&gt;1,VLOOKUP($B$46,PROGRAMACION1,13,0),IF(AND($H$45=$H$46,$N$45&gt;SUM($P$45:BO45),BP45&gt;($O$45/7)),"",IF(AND(BP45&lt;&gt;0,$B$45=$B$46,$O$46&gt;(SUM($P$45:BO45))),"",(IF($N$46&gt;$O$46+(SUM($P$46:BO46)),$O$46,$N$46-(SUM($P$46:BO46)))))))</f>
        <v>0</v>
      </c>
      <c r="BQ46" s="3">
        <f>IF($I$46&gt;1,VLOOKUP($B$46,PROGRAMACION1,13,0),IF(AND($H$45=$H$46,$N$45&gt;SUM($P$45:BP45),BQ45&gt;($O$45/7)),"",IF(AND(BQ45&lt;&gt;0,$B$45=$B$46,$O$46&gt;(SUM($P$45:BP45))),"",(IF($N$46&gt;$O$46+(SUM($P$46:BP46)),$O$46,$N$46-(SUM($P$46:BP46)))))))</f>
        <v>0</v>
      </c>
      <c r="BR46" s="3">
        <f>IF($I$46&gt;1,VLOOKUP($B$46,PROGRAMACION1,13,0),IF(AND($H$45=$H$46,$N$45&gt;SUM($P$45:BQ45),BR45&gt;($O$45/7)),"",IF(AND(BR45&lt;&gt;0,$B$45=$B$46,$O$46&gt;(SUM($P$45:BQ45))),"",(IF($N$46&gt;$O$46+(SUM($P$46:BQ46)),$O$46,$N$46-(SUM($P$46:BQ46)))))))</f>
        <v>0</v>
      </c>
      <c r="BS46" s="3">
        <f>IF($I$46&gt;1,VLOOKUP($B$46,PROGRAMACION1,13,0),IF(AND($H$45=$H$46,$N$45&gt;SUM($P$45:BR45),BS45&gt;($O$45/7)),"",IF(AND(BS45&lt;&gt;0,$B$45=$B$46,$O$46&gt;(SUM($P$45:BR45))),"",(IF($N$46&gt;$O$46+(SUM($P$46:BR46)),$O$46,$N$46-(SUM($P$46:BR46)))))))</f>
        <v>0</v>
      </c>
      <c r="BT46" s="3">
        <f>IF($I$46&gt;1,VLOOKUP($B$46,PROGRAMACION1,13,0),IF(AND($H$45=$H$46,$N$45&gt;SUM($P$45:BS45),BT45&gt;($O$45/7)),"",IF(AND(BT45&lt;&gt;0,$B$45=$B$46,$O$46&gt;(SUM($P$45:BS45))),"",(IF($N$46&gt;$O$46+(SUM($P$46:BS46)),$O$46,$N$46-(SUM($P$46:BS46)))))))</f>
        <v>0</v>
      </c>
      <c r="BU46" s="3">
        <f>IF($I$46&gt;1,VLOOKUP($B$46,PROGRAMACION1,13,0),IF(AND($H$45=$H$46,$N$45&gt;SUM($P$45:BT45),BU45&gt;($O$45/7)),"",IF(AND(BU45&lt;&gt;0,$B$45=$B$46,$O$46&gt;(SUM($P$45:BT45))),"",(IF($N$46&gt;$O$46+(SUM($P$46:BT46)),$O$46,$N$46-(SUM($P$46:BT46)))))))</f>
        <v>0</v>
      </c>
      <c r="BV46" s="3">
        <f>IF($I$46&gt;1,VLOOKUP($B$46,PROGRAMACION1,13,0),IF(AND($H$45=$H$46,$N$45&gt;SUM($P$45:BU45),BV45&gt;($O$45/7)),"",IF(AND(BV45&lt;&gt;0,$B$45=$B$46,$O$46&gt;(SUM($P$45:BU45))),"",(IF($N$46&gt;$O$46+(SUM($P$46:BU46)),$O$46,$N$46-(SUM($P$46:BU46)))))))</f>
        <v>0</v>
      </c>
      <c r="BW46" s="3">
        <f>IF($I$46&gt;1,VLOOKUP($B$46,PROGRAMACION1,13,0),IF(AND($H$45=$H$46,$N$45&gt;SUM($P$45:BV45),BW45&gt;($O$45/7)),"",IF(AND(BW45&lt;&gt;0,$B$45=$B$46,$O$46&gt;(SUM($P$45:BV45))),"",(IF($N$46&gt;$O$46+(SUM($P$46:BV46)),$O$46,$N$46-(SUM($P$46:BV46)))))))</f>
        <v>0</v>
      </c>
    </row>
    <row r="47" spans="1:88" x14ac:dyDescent="0.25">
      <c r="A47" s="81">
        <v>40</v>
      </c>
      <c r="B47">
        <f>IF(A47&gt;0,FABRICAR!F41,NA())</f>
        <v>0</v>
      </c>
      <c r="C47">
        <f>IF(A47&gt;0,FABRICAR!G41,NA())</f>
        <v>0</v>
      </c>
      <c r="D47" s="1" t="e">
        <f t="shared" si="109"/>
        <v>#N/A</v>
      </c>
      <c r="E47" t="e">
        <f>IF(A47&gt;0,FABRICAR!P41,"")</f>
        <v>#N/A</v>
      </c>
      <c r="F47">
        <f t="shared" si="112"/>
        <v>0</v>
      </c>
      <c r="H47">
        <f>IF(B47=0,B47,IF(A47&gt;0,FABRICAR!H41,NA()))</f>
        <v>0</v>
      </c>
      <c r="I47">
        <f>IF(B47=0,B47,IF(A47&gt;0,FABRICAR!B41,NA()))</f>
        <v>0</v>
      </c>
      <c r="J47" s="75">
        <f>IF(B47=0,B47,'PROGRAM SALDO '!J43)</f>
        <v>0</v>
      </c>
      <c r="K47" s="82">
        <v>639</v>
      </c>
      <c r="L47">
        <f>IF(A47&gt;0,FABRICAR!J41,NA())</f>
        <v>0</v>
      </c>
      <c r="M47" s="9">
        <f t="shared" si="111"/>
        <v>0</v>
      </c>
      <c r="N47">
        <f>IF(A47&gt;0,FABRICAR!L41,NA())</f>
        <v>0</v>
      </c>
      <c r="O47">
        <f>IF(B47=0,B47,IF(A47&gt;0,FABRICAR!M41,"")*9)</f>
        <v>0</v>
      </c>
      <c r="P47" t="str">
        <f t="shared" si="113"/>
        <v/>
      </c>
      <c r="Q47" s="3">
        <f>IF($I$47&gt;1,VLOOKUP($B$47,PROGRAMACION1,13,0),IF(AND($H$46=$H$47,$N$46&gt;SUM($P$46:P46),Q46&gt;($O$46/7)),"",IF(AND(Q46&lt;&gt;0,$B$46=$B$47,$O$47&gt;(SUM($P$46:P46))),"",(IF($N$47&gt;$O$47+(SUM($P$47:P47)),$O$47,$N$47-(SUM($P$47:P47)))))))</f>
        <v>0</v>
      </c>
      <c r="R47" s="3">
        <f>IF($I$47&gt;1,VLOOKUP($B$47,PROGRAMACION1,13,0),IF(AND($H$46=$H$47,$N$46&gt;SUM($P$46:Q46),R46&gt;($O$46/7)),"",IF(AND(R46&lt;&gt;0,$B$46=$B$47,$O$47&gt;(SUM($P$46:Q46))),"",(IF($N$47&gt;$O$47+(SUM($P$47:Q47)),$O$47,$N$47-(SUM($P$47:Q47)))))))</f>
        <v>0</v>
      </c>
      <c r="S47" s="3">
        <f>IF($I$47&gt;1,VLOOKUP($B$47,PROGRAMACION1,13,0),IF(AND($H$46=$H$47,$N$46&gt;SUM($P$46:R46),S46&gt;($O$46/7)),"",IF(AND(S46&lt;&gt;0,$B$46=$B$47,$O$47&gt;(SUM($P$46:R46))),"",(IF($N$47&gt;$O$47+(SUM($P$47:R47)),$O$47,$N$47-(SUM($P$47:R47)))))))</f>
        <v>0</v>
      </c>
      <c r="T47" s="3">
        <f>IF($I$47&gt;1,VLOOKUP($B$47,PROGRAMACION1,13,0),IF(AND($H$46=$H$47,$N$46&gt;SUM($P$46:S46),T46&gt;($O$46/7)),"",IF(AND(T46&lt;&gt;0,$B$46=$B$47,$O$47&gt;(SUM($P$46:S46))),"",(IF($N$47&gt;$O$47+(SUM($P$47:S47)),$O$47,$N$47-(SUM($P$47:S47)))))))</f>
        <v>0</v>
      </c>
      <c r="U47" s="3">
        <f>IF($I$47&gt;1,VLOOKUP($B$47,PROGRAMACION1,13,0),IF(AND($H$46=$H$47,$N$46&gt;SUM($P$46:T46),U46&gt;($O$46/7)),"",IF(AND(U46&lt;&gt;0,$B$46=$B$47,$O$47&gt;(SUM($P$46:T46))),"",(IF($N$47&gt;$O$47+(SUM($P$47:T47)),$O$47,$N$47-(SUM($P$47:T47)))))))</f>
        <v>0</v>
      </c>
      <c r="V47" s="3">
        <f>IF($I$47&gt;1,VLOOKUP($B$47,PROGRAMACION1,13,0),IF(AND($H$46=$H$47,$N$46&gt;SUM($P$46:U46),V46&gt;($O$46/7)),"",IF(AND(V46&lt;&gt;0,$B$46=$B$47,$O$47&gt;(SUM($P$46:U46))),"",(IF($N$47&gt;$O$47+(SUM($P$47:U47)),$O$47,$N$47-(SUM($P$47:U47)))))))</f>
        <v>0</v>
      </c>
      <c r="W47" s="3">
        <f>IF($I$47&gt;1,VLOOKUP($B$47,PROGRAMACION1,13,0),IF(AND($H$46=$H$47,$N$46&gt;SUM($P$46:V46),W46&gt;($O$46/7)),"",IF(AND(W46&lt;&gt;0,$B$46=$B$47,$O$47&gt;(SUM($P$46:V46))),"",(IF($N$47&gt;$O$47+(SUM($P$47:V47)),$O$47,$N$47-(SUM($P$47:V47)))))))</f>
        <v>0</v>
      </c>
      <c r="X47" s="3">
        <f>IF($I$47&gt;1,VLOOKUP($B$47,PROGRAMACION1,13,0),IF(AND($H$46=$H$47,$N$46&gt;SUM($P$46:W46),X46&gt;($O$46/7)),"",IF(AND(X46&lt;&gt;0,$B$46=$B$47,$O$47&gt;(SUM($P$46:W46))),"",(IF($N$47&gt;$O$47+(SUM($P$47:W47)),$O$47,$N$47-(SUM($P$47:W47)))))))</f>
        <v>0</v>
      </c>
      <c r="Y47" s="3">
        <f>IF($I$47&gt;1,VLOOKUP($B$47,PROGRAMACION1,13,0),IF(AND($H$46=$H$47,$N$46&gt;SUM($P$46:X46),Y46&gt;($O$46/7)),"",IF(AND(Y46&lt;&gt;0,$B$46=$B$47,$O$47&gt;(SUM($P$46:X46))),"",(IF($N$47&gt;$O$47+(SUM($P$47:X47)),$O$47,$N$47-(SUM($P$47:X47)))))))</f>
        <v>0</v>
      </c>
      <c r="Z47" s="3">
        <f>IF($I$47&gt;1,VLOOKUP($B$47,PROGRAMACION1,13,0),IF(AND($H$46=$H$47,$N$46&gt;SUM($P$46:Y46),Z46&gt;($O$46/7)),"",IF(AND(Z46&lt;&gt;0,$B$46=$B$47,$O$47&gt;(SUM($P$46:Y46))),"",(IF($N$47&gt;$O$47+(SUM($P$47:Y47)),$O$47,$N$47-(SUM($P$47:Y47)))))))</f>
        <v>0</v>
      </c>
      <c r="AA47" s="3">
        <f>IF($I$47&gt;1,VLOOKUP($B$47,PROGRAMACION1,13,0),IF(AND($H$46=$H$47,$N$46&gt;SUM($P$46:Z46),AA46&gt;($O$46/7)),"",IF(AND(AA46&lt;&gt;0,$B$46=$B$47,$O$47&gt;(SUM($P$46:Z46))),"",(IF($N$47&gt;$O$47+(SUM($P$47:Z47)),$O$47,$N$47-(SUM($P$47:Z47)))))))</f>
        <v>0</v>
      </c>
      <c r="AB47" s="3">
        <f>IF($I$47&gt;1,VLOOKUP($B$47,PROGRAMACION1,13,0),IF(AND($H$46=$H$47,$N$46&gt;SUM($P$46:AA46),AB46&gt;($O$46/7)),"",IF(AND(AB46&lt;&gt;0,$B$46=$B$47,$O$47&gt;(SUM($P$46:AA46))),"",(IF($N$47&gt;$O$47+(SUM($P$47:AA47)),$O$47,$N$47-(SUM($P$47:AA47)))))))</f>
        <v>0</v>
      </c>
      <c r="AC47" s="3">
        <f>IF($I$47&gt;1,VLOOKUP($B$47,PROGRAMACION1,13,0),IF(AND($H$46=$H$47,$N$46&gt;SUM($P$46:AB46),AC46&gt;($O$46/7)),"",IF(AND(AC46&lt;&gt;0,$B$46=$B$47,$O$47&gt;(SUM($P$46:AB46))),"",(IF($N$47&gt;$O$47+(SUM($P$47:AB47)),$O$47,$N$47-(SUM($P$47:AB47)))))))</f>
        <v>0</v>
      </c>
      <c r="AD47" s="3">
        <f>IF($I$47&gt;1,VLOOKUP($B$47,PROGRAMACION1,13,0),IF(AND($H$46=$H$47,$N$46&gt;SUM($P$46:AC46),AD46&gt;($O$46/7)),"",IF(AND(AD46&lt;&gt;0,$B$46=$B$47,$O$47&gt;(SUM($P$46:AC46))),"",(IF($N$47&gt;$O$47+(SUM($P$47:AC47)),$O$47,$N$47-(SUM($P$47:AC47)))))))</f>
        <v>0</v>
      </c>
      <c r="AE47" s="3">
        <f>IF($I$47&gt;1,VLOOKUP($B$47,PROGRAMACION1,13,0),IF(AND($H$46=$H$47,$N$46&gt;SUM($P$46:AD46),AE46&gt;($O$46/7)),"",IF(AND(AE46&lt;&gt;0,$B$46=$B$47,$O$47&gt;(SUM($P$46:AD46))),"",(IF($N$47&gt;$O$47+(SUM($P$47:AD47)),$O$47,$N$47-(SUM($P$47:AD47)))))))</f>
        <v>0</v>
      </c>
      <c r="AF47" s="3">
        <f>IF($I$47&gt;1,VLOOKUP($B$47,PROGRAMACION1,13,0),IF(AND($H$46=$H$47,$N$46&gt;SUM($P$46:AE46),AF46&gt;($O$46/7)),"",IF(AND(AF46&lt;&gt;0,$B$46=$B$47,$O$47&gt;(SUM($P$46:AE46))),"",(IF($N$47&gt;$O$47+(SUM($P$47:AE47)),$O$47,$N$47-(SUM($P$47:AE47)))))))</f>
        <v>0</v>
      </c>
      <c r="AG47" s="3">
        <f>IF($I$47&gt;1,VLOOKUP($B$47,PROGRAMACION1,13,0),IF(AND($H$46=$H$47,$N$46&gt;SUM($P$46:AF46),AG46&gt;($O$46/7)),"",IF(AND(AG46&lt;&gt;0,$B$46=$B$47,$O$47&gt;(SUM($P$46:AF46))),"",(IF($N$47&gt;$O$47+(SUM($P$47:AF47)),$O$47,$N$47-(SUM($P$47:AF47)))))))</f>
        <v>0</v>
      </c>
      <c r="AH47" s="3">
        <f>IF($I$47&gt;1,VLOOKUP($B$47,PROGRAMACION1,13,0),IF(AND($H$46=$H$47,$N$46&gt;SUM($P$46:AG46),AH46&gt;($O$46/7)),"",IF(AND(AH46&lt;&gt;0,$B$46=$B$47,$O$47&gt;(SUM($P$46:AG46))),"",(IF($N$47&gt;$O$47+(SUM($P$47:AG47)),$O$47,$N$47-(SUM($P$47:AG47)))))))</f>
        <v>0</v>
      </c>
      <c r="AI47" s="3">
        <f>IF($I$47&gt;1,VLOOKUP($B$47,PROGRAMACION1,13,0),IF(AND($H$46=$H$47,$N$46&gt;SUM($P$46:AH46),AI46&gt;($O$46/7)),"",IF(AND(AI46&lt;&gt;0,$B$46=$B$47,$O$47&gt;(SUM($P$46:AH46))),"",(IF($N$47&gt;$O$47+(SUM($P$47:AH47)),$O$47,$N$47-(SUM($P$47:AH47)))))))</f>
        <v>0</v>
      </c>
      <c r="AJ47" s="3">
        <f>IF($I$47&gt;1,VLOOKUP($B$47,PROGRAMACION1,13,0),IF(AND($H$46=$H$47,$N$46&gt;SUM($P$46:AI46),AJ46&gt;($O$46/7)),"",IF(AND(AJ46&lt;&gt;0,$B$46=$B$47,$O$47&gt;(SUM($P$46:AI46))),"",(IF($N$47&gt;$O$47+(SUM($P$47:AI47)),$O$47,$N$47-(SUM($P$47:AI47)))))))</f>
        <v>0</v>
      </c>
      <c r="AK47" s="3">
        <f>IF($I$47&gt;1,VLOOKUP($B$47,PROGRAMACION1,13,0),IF(AND($H$46=$H$47,$N$46&gt;SUM($P$46:AJ46),AK46&gt;($O$46/7)),"",IF(AND(AK46&lt;&gt;0,$B$46=$B$47,$O$47&gt;(SUM($P$46:AJ46))),"",(IF($N$47&gt;$O$47+(SUM($P$47:AJ47)),$O$47,$N$47-(SUM($P$47:AJ47)))))))</f>
        <v>0</v>
      </c>
      <c r="AL47" s="3">
        <f>IF($I$47&gt;1,VLOOKUP($B$47,PROGRAMACION1,13,0),IF(AND($H$46=$H$47,$N$46&gt;SUM($P$46:AK46),AL46&gt;($O$46/7)),"",IF(AND(AL46&lt;&gt;0,$B$46=$B$47,$O$47&gt;(SUM($P$46:AK46))),"",(IF($N$47&gt;$O$47+(SUM($P$47:AK47)),$O$47,$N$47-(SUM($P$47:AK47)))))))</f>
        <v>0</v>
      </c>
      <c r="AM47" s="3">
        <f>IF($I$47&gt;1,VLOOKUP($B$47,PROGRAMACION1,13,0),IF(AND($H$46=$H$47,$N$46&gt;SUM($P$46:AL46),AM46&gt;($O$46/7)),"",IF(AND(AM46&lt;&gt;0,$B$46=$B$47,$O$47&gt;(SUM($P$46:AL46))),"",(IF($N$47&gt;$O$47+(SUM($P$47:AL47)),$O$47,$N$47-(SUM($P$47:AL47)))))))</f>
        <v>0</v>
      </c>
      <c r="AN47" s="3">
        <f>IF($I$47&gt;1,VLOOKUP($B$47,PROGRAMACION1,13,0),IF(AND($H$46=$H$47,$N$46&gt;SUM($P$46:AM46),AN46&gt;($O$46/7)),"",IF(AND(AN46&lt;&gt;0,$B$46=$B$47,$O$47&gt;(SUM($P$46:AM46))),"",(IF($N$47&gt;$O$47+(SUM($P$47:AM47)),$O$47,$N$47-(SUM($P$47:AM47)))))))</f>
        <v>0</v>
      </c>
      <c r="AO47" s="3">
        <f>IF($I$47&gt;1,VLOOKUP($B$47,PROGRAMACION1,13,0),IF(AND($H$46=$H$47,$N$46&gt;SUM($P$46:AN46),AO46&gt;($O$46/7)),"",IF(AND(AO46&lt;&gt;0,$B$46=$B$47,$O$47&gt;(SUM($P$46:AN46))),"",(IF($N$47&gt;$O$47+(SUM($P$47:AN47)),$O$47,$N$47-(SUM($P$47:AN47)))))))</f>
        <v>0</v>
      </c>
      <c r="AP47" s="3">
        <f>IF($I$47&gt;1,VLOOKUP($B$47,PROGRAMACION1,13,0),IF(AND($H$46=$H$47,$N$46&gt;SUM($P$46:AO46),AP46&gt;($O$46/7)),"",IF(AND(AP46&lt;&gt;0,$B$46=$B$47,$O$47&gt;(SUM($P$46:AO46))),"",(IF($N$47&gt;$O$47+(SUM($P$47:AO47)),$O$47,$N$47-(SUM($P$47:AO47)))))))</f>
        <v>0</v>
      </c>
      <c r="AQ47" s="3">
        <f>IF($I$47&gt;1,VLOOKUP($B$47,PROGRAMACION1,13,0),IF(AND($H$46=$H$47,$N$46&gt;SUM($P$46:AP46),AQ46&gt;($O$46/7)),"",IF(AND(AQ46&lt;&gt;0,$B$46=$B$47,$O$47&gt;(SUM($P$46:AP46))),"",(IF($N$47&gt;$O$47+(SUM($P$47:AP47)),$O$47,$N$47-(SUM($P$47:AP47)))))))</f>
        <v>0</v>
      </c>
      <c r="AR47" s="3">
        <f>IF($I$47&gt;1,VLOOKUP($B$47,PROGRAMACION1,13,0),IF(AND($H$46=$H$47,$N$46&gt;SUM($P$46:AQ46),AR46&gt;($O$46/7)),"",IF(AND(AR46&lt;&gt;0,$B$46=$B$47,$O$47&gt;(SUM($P$46:AQ46))),"",(IF($N$47&gt;$O$47+(SUM($P$47:AQ47)),$O$47,$N$47-(SUM($P$47:AQ47)))))))</f>
        <v>0</v>
      </c>
      <c r="AS47" s="3">
        <f>IF($I$47&gt;1,VLOOKUP($B$47,PROGRAMACION1,13,0),IF(AND($H$46=$H$47,$N$46&gt;SUM($P$46:AR46),AS46&gt;($O$46/7)),"",IF(AND(AS46&lt;&gt;0,$B$46=$B$47,$O$47&gt;(SUM($P$46:AR46))),"",(IF($N$47&gt;$O$47+(SUM($P$47:AR47)),$O$47,$N$47-(SUM($P$47:AR47)))))))</f>
        <v>0</v>
      </c>
      <c r="AT47" s="3">
        <f>IF($I$47&gt;1,VLOOKUP($B$47,PROGRAMACION1,13,0),IF(AND($H$46=$H$47,$N$46&gt;SUM($P$46:AS46),AT46&gt;($O$46/7)),"",IF(AND(AT46&lt;&gt;0,$B$46=$B$47,$O$47&gt;(SUM($P$46:AS46))),"",(IF($N$47&gt;$O$47+(SUM($P$47:AS47)),$O$47,$N$47-(SUM($P$47:AS47)))))))</f>
        <v>0</v>
      </c>
      <c r="AU47" s="3">
        <f>IF($I$47&gt;1,VLOOKUP($B$47,PROGRAMACION1,13,0),IF(AND($H$46=$H$47,$N$46&gt;SUM($P$46:AT46),AU46&gt;($O$46/7)),"",IF(AND(AU46&lt;&gt;0,$B$46=$B$47,$O$47&gt;(SUM($P$46:AT46))),"",(IF($N$47&gt;$O$47+(SUM($P$47:AT47)),$O$47,$N$47-(SUM($P$47:AT47)))))))</f>
        <v>0</v>
      </c>
      <c r="AV47" s="3">
        <f>IF($I$47&gt;1,VLOOKUP($B$47,PROGRAMACION1,13,0),IF(AND($H$46=$H$47,$N$46&gt;SUM($P$46:AU46),AV46&gt;($O$46/7)),"",IF(AND(AV46&lt;&gt;0,$B$46=$B$47,$O$47&gt;(SUM($P$46:AU46))),"",(IF($N$47&gt;$O$47+(SUM($P$47:AU47)),$O$47,$N$47-(SUM($P$47:AU47)))))))</f>
        <v>0</v>
      </c>
      <c r="AW47" s="3">
        <f>IF($I$47&gt;1,VLOOKUP($B$47,PROGRAMACION1,13,0),IF(AND($H$46=$H$47,$N$46&gt;SUM($P$46:AV46),AW46&gt;($O$46/7)),"",IF(AND(AW46&lt;&gt;0,$B$46=$B$47,$O$47&gt;(SUM($P$46:AV46))),"",(IF($N$47&gt;$O$47+(SUM($P$47:AV47)),$O$47,$N$47-(SUM($P$47:AV47)))))))</f>
        <v>0</v>
      </c>
      <c r="AX47" s="3">
        <f>IF($I$47&gt;1,VLOOKUP($B$47,PROGRAMACION1,13,0),IF(AND($H$46=$H$47,$N$46&gt;SUM($P$46:AW46),AX46&gt;($O$46/7)),"",IF(AND(AX46&lt;&gt;0,$B$46=$B$47,$O$47&gt;(SUM($P$46:AW46))),"",(IF($N$47&gt;$O$47+(SUM($P$47:AW47)),$O$47,$N$47-(SUM($P$47:AW47)))))))</f>
        <v>0</v>
      </c>
      <c r="AY47" s="3">
        <f>IF($I$47&gt;1,VLOOKUP($B$47,PROGRAMACION1,13,0),IF(AND($H$46=$H$47,$N$46&gt;SUM($P$46:AX46),AY46&gt;($O$46/7)),"",IF(AND(AY46&lt;&gt;0,$B$46=$B$47,$O$47&gt;(SUM($P$46:AX46))),"",(IF($N$47&gt;$O$47+(SUM($P$47:AX47)),$O$47,$N$47-(SUM($P$47:AX47)))))))</f>
        <v>0</v>
      </c>
      <c r="AZ47" s="3">
        <f>IF($I$47&gt;1,VLOOKUP($B$47,PROGRAMACION1,13,0),IF(AND($H$46=$H$47,$N$46&gt;SUM($P$46:AY46),AZ46&gt;($O$46/7)),"",IF(AND(AZ46&lt;&gt;0,$B$46=$B$47,$O$47&gt;(SUM($P$46:AY46))),"",(IF($N$47&gt;$O$47+(SUM($P$47:AY47)),$O$47,$N$47-(SUM($P$47:AY47)))))))</f>
        <v>0</v>
      </c>
      <c r="BA47" s="3">
        <f>IF($I$47&gt;1,VLOOKUP($B$47,PROGRAMACION1,13,0),IF(AND($H$46=$H$47,$N$46&gt;SUM($P$46:AZ46),BA46&gt;($O$46/7)),"",IF(AND(BA46&lt;&gt;0,$B$46=$B$47,$O$47&gt;(SUM($P$46:AZ46))),"",(IF($N$47&gt;$O$47+(SUM($P$47:AZ47)),$O$47,$N$47-(SUM($P$47:AZ47)))))))</f>
        <v>0</v>
      </c>
      <c r="BB47" s="3">
        <f>IF($I$47&gt;1,VLOOKUP($B$47,PROGRAMACION1,13,0),IF(AND($H$46=$H$47,$N$46&gt;SUM($P$46:BA46),BB46&gt;($O$46/7)),"",IF(AND(BB46&lt;&gt;0,$B$46=$B$47,$O$47&gt;(SUM($P$46:BA46))),"",(IF($N$47&gt;$O$47+(SUM($P$47:BA47)),$O$47,$N$47-(SUM($P$47:BA47)))))))</f>
        <v>0</v>
      </c>
      <c r="BC47" s="3">
        <f>IF($I$47&gt;1,VLOOKUP($B$47,PROGRAMACION1,13,0),IF(AND($H$46=$H$47,$N$46&gt;SUM($P$46:BB46),BC46&gt;($O$46/7)),"",IF(AND(BC46&lt;&gt;0,$B$46=$B$47,$O$47&gt;(SUM($P$46:BB46))),"",(IF($N$47&gt;$O$47+(SUM($P$47:BB47)),$O$47,$N$47-(SUM($P$47:BB47)))))))</f>
        <v>0</v>
      </c>
      <c r="BD47" s="3">
        <f>IF($I$47&gt;1,VLOOKUP($B$47,PROGRAMACION1,13,0),IF(AND($H$46=$H$47,$N$46&gt;SUM($P$46:BC46),BD46&gt;($O$46/7)),"",IF(AND(BD46&lt;&gt;0,$B$46=$B$47,$O$47&gt;(SUM($P$46:BC46))),"",(IF($N$47&gt;$O$47+(SUM($P$47:BC47)),$O$47,$N$47-(SUM($P$47:BC47)))))))</f>
        <v>0</v>
      </c>
      <c r="BE47" s="3">
        <f>IF($I$47&gt;1,VLOOKUP($B$47,PROGRAMACION1,13,0),IF(AND($H$46=$H$47,$N$46&gt;SUM($P$46:BD46),BE46&gt;($O$46/7)),"",IF(AND(BE46&lt;&gt;0,$B$46=$B$47,$O$47&gt;(SUM($P$46:BD46))),"",(IF($N$47&gt;$O$47+(SUM($P$47:BD47)),$O$47,$N$47-(SUM($P$47:BD47)))))))</f>
        <v>0</v>
      </c>
      <c r="BF47" s="3">
        <f>IF($I$47&gt;1,VLOOKUP($B$47,PROGRAMACION1,13,0),IF(AND($H$46=$H$47,$N$46&gt;SUM($P$46:BE46),BF46&gt;($O$46/7)),"",IF(AND(BF46&lt;&gt;0,$B$46=$B$47,$O$47&gt;(SUM($P$46:BE46))),"",(IF($N$47&gt;$O$47+(SUM($P$47:BE47)),$O$47,$N$47-(SUM($P$47:BE47)))))))</f>
        <v>0</v>
      </c>
      <c r="BG47" s="3">
        <f>IF($I$47&gt;1,VLOOKUP($B$47,PROGRAMACION1,13,0),IF(AND($H$46=$H$47,$N$46&gt;SUM($P$46:BF46),BG46&gt;($O$46/7)),"",IF(AND(BG46&lt;&gt;0,$B$46=$B$47,$O$47&gt;(SUM($P$46:BF46))),"",(IF($N$47&gt;$O$47+(SUM($P$47:BF47)),$O$47,$N$47-(SUM($P$47:BF47)))))))</f>
        <v>0</v>
      </c>
      <c r="BH47" s="3">
        <f>IF($I$47&gt;1,VLOOKUP($B$47,PROGRAMACION1,13,0),IF(AND($H$46=$H$47,$N$46&gt;SUM($P$46:BG46),BH46&gt;($O$46/7)),"",IF(AND(BH46&lt;&gt;0,$B$46=$B$47,$O$47&gt;(SUM($P$46:BG46))),"",(IF($N$47&gt;$O$47+(SUM($P$47:BG47)),$O$47,$N$47-(SUM($P$47:BG47)))))))</f>
        <v>0</v>
      </c>
      <c r="BI47" s="3">
        <f>IF($I$47&gt;1,VLOOKUP($B$47,PROGRAMACION1,13,0),IF(AND($H$46=$H$47,$N$46&gt;SUM($P$46:BH46),BI46&gt;($O$46/7)),"",IF(AND(BI46&lt;&gt;0,$B$46=$B$47,$O$47&gt;(SUM($P$46:BH46))),"",(IF($N$47&gt;$O$47+(SUM($P$47:BH47)),$O$47,$N$47-(SUM($P$47:BH47)))))))</f>
        <v>0</v>
      </c>
      <c r="BJ47" s="3">
        <f>IF($I$47&gt;1,VLOOKUP($B$47,PROGRAMACION1,13,0),IF(AND($H$46=$H$47,$N$46&gt;SUM($P$46:BI46),BJ46&gt;($O$46/7)),"",IF(AND(BJ46&lt;&gt;0,$B$46=$B$47,$O$47&gt;(SUM($P$46:BI46))),"",(IF($N$47&gt;$O$47+(SUM($P$47:BI47)),$O$47,$N$47-(SUM($P$47:BI47)))))))</f>
        <v>0</v>
      </c>
      <c r="BK47" s="3">
        <f>IF($I$47&gt;1,VLOOKUP($B$47,PROGRAMACION1,13,0),IF(AND($H$46=$H$47,$N$46&gt;SUM($P$46:BJ46),BK46&gt;($O$46/7)),"",IF(AND(BK46&lt;&gt;0,$B$46=$B$47,$O$47&gt;(SUM($P$46:BJ46))),"",(IF($N$47&gt;$O$47+(SUM($P$47:BJ47)),$O$47,$N$47-(SUM($P$47:BJ47)))))))</f>
        <v>0</v>
      </c>
      <c r="BL47" s="3">
        <f>IF($I$47&gt;1,VLOOKUP($B$47,PROGRAMACION1,13,0),IF(AND($H$46=$H$47,$N$46&gt;SUM($P$46:BK46),BL46&gt;($O$46/7)),"",IF(AND(BL46&lt;&gt;0,$B$46=$B$47,$O$47&gt;(SUM($P$46:BK46))),"",(IF($N$47&gt;$O$47+(SUM($P$47:BK47)),$O$47,$N$47-(SUM($P$47:BK47)))))))</f>
        <v>0</v>
      </c>
      <c r="BM47" s="3">
        <f>IF($I$47&gt;1,VLOOKUP($B$47,PROGRAMACION1,13,0),IF(AND($H$46=$H$47,$N$46&gt;SUM($P$46:BL46),BM46&gt;($O$46/7)),"",IF(AND(BM46&lt;&gt;0,$B$46=$B$47,$O$47&gt;(SUM($P$46:BL46))),"",(IF($N$47&gt;$O$47+(SUM($P$47:BL47)),$O$47,$N$47-(SUM($P$47:BL47)))))))</f>
        <v>0</v>
      </c>
      <c r="BN47" s="3">
        <f>IF($I$47&gt;1,VLOOKUP($B$47,PROGRAMACION1,13,0),IF(AND($H$46=$H$47,$N$46&gt;SUM($P$46:BM46),BN46&gt;($O$46/7)),"",IF(AND(BN46&lt;&gt;0,$B$46=$B$47,$O$47&gt;(SUM($P$46:BM46))),"",(IF($N$47&gt;$O$47+(SUM($P$47:BM47)),$O$47,$N$47-(SUM($P$47:BM47)))))))</f>
        <v>0</v>
      </c>
      <c r="BO47" s="3">
        <f>IF($I$47&gt;1,VLOOKUP($B$47,PROGRAMACION1,13,0),IF(AND($H$46=$H$47,$N$46&gt;SUM($P$46:BN46),BO46&gt;($O$46/7)),"",IF(AND(BO46&lt;&gt;0,$B$46=$B$47,$O$47&gt;(SUM($P$46:BN46))),"",(IF($N$47&gt;$O$47+(SUM($P$47:BN47)),$O$47,$N$47-(SUM($P$47:BN47)))))))</f>
        <v>0</v>
      </c>
      <c r="BP47" s="3">
        <f>IF($I$47&gt;1,VLOOKUP($B$47,PROGRAMACION1,13,0),IF(AND($H$46=$H$47,$N$46&gt;SUM($P$46:BO46),BP46&gt;($O$46/7)),"",IF(AND(BP46&lt;&gt;0,$B$46=$B$47,$O$47&gt;(SUM($P$46:BO46))),"",(IF($N$47&gt;$O$47+(SUM($P$47:BO47)),$O$47,$N$47-(SUM($P$47:BO47)))))))</f>
        <v>0</v>
      </c>
      <c r="BQ47" s="3">
        <f>IF($I$47&gt;1,VLOOKUP($B$47,PROGRAMACION1,13,0),IF(AND($H$46=$H$47,$N$46&gt;SUM($P$46:BP46),BQ46&gt;($O$46/7)),"",IF(AND(BQ46&lt;&gt;0,$B$46=$B$47,$O$47&gt;(SUM($P$46:BP46))),"",(IF($N$47&gt;$O$47+(SUM($P$47:BP47)),$O$47,$N$47-(SUM($P$47:BP47)))))))</f>
        <v>0</v>
      </c>
      <c r="BR47" s="3">
        <f>IF($I$47&gt;1,VLOOKUP($B$47,PROGRAMACION1,13,0),IF(AND($H$46=$H$47,$N$46&gt;SUM($P$46:BQ46),BR46&gt;($O$46/7)),"",IF(AND(BR46&lt;&gt;0,$B$46=$B$47,$O$47&gt;(SUM($P$46:BQ46))),"",(IF($N$47&gt;$O$47+(SUM($P$47:BQ47)),$O$47,$N$47-(SUM($P$47:BQ47)))))))</f>
        <v>0</v>
      </c>
      <c r="BS47" s="3">
        <f>IF($I$47&gt;1,VLOOKUP($B$47,PROGRAMACION1,13,0),IF(AND($H$46=$H$47,$N$46&gt;SUM($P$46:BR46),BS46&gt;($O$46/7)),"",IF(AND(BS46&lt;&gt;0,$B$46=$B$47,$O$47&gt;(SUM($P$46:BR46))),"",(IF($N$47&gt;$O$47+(SUM($P$47:BR47)),$O$47,$N$47-(SUM($P$47:BR47)))))))</f>
        <v>0</v>
      </c>
      <c r="BT47" s="3">
        <f>IF($I$47&gt;1,VLOOKUP($B$47,PROGRAMACION1,13,0),IF(AND($H$46=$H$47,$N$46&gt;SUM($P$46:BS46),BT46&gt;($O$46/7)),"",IF(AND(BT46&lt;&gt;0,$B$46=$B$47,$O$47&gt;(SUM($P$46:BS46))),"",(IF($N$47&gt;$O$47+(SUM($P$47:BS47)),$O$47,$N$47-(SUM($P$47:BS47)))))))</f>
        <v>0</v>
      </c>
      <c r="BU47" s="3">
        <f>IF($I$47&gt;1,VLOOKUP($B$47,PROGRAMACION1,13,0),IF(AND($H$46=$H$47,$N$46&gt;SUM($P$46:BT46),BU46&gt;($O$46/7)),"",IF(AND(BU46&lt;&gt;0,$B$46=$B$47,$O$47&gt;(SUM($P$46:BT46))),"",(IF($N$47&gt;$O$47+(SUM($P$47:BT47)),$O$47,$N$47-(SUM($P$47:BT47)))))))</f>
        <v>0</v>
      </c>
      <c r="BV47" s="3">
        <f>IF($I$47&gt;1,VLOOKUP($B$47,PROGRAMACION1,13,0),IF(AND($H$46=$H$47,$N$46&gt;SUM($P$46:BU46),BV46&gt;($O$46/7)),"",IF(AND(BV46&lt;&gt;0,$B$46=$B$47,$O$47&gt;(SUM($P$46:BU46))),"",(IF($N$47&gt;$O$47+(SUM($P$47:BU47)),$O$47,$N$47-(SUM($P$47:BU47)))))))</f>
        <v>0</v>
      </c>
      <c r="BW47" s="3">
        <f>IF($I$47&gt;1,VLOOKUP($B$47,PROGRAMACION1,13,0),IF(AND($H$46=$H$47,$N$46&gt;SUM($P$46:BV46),BW46&gt;($O$46/7)),"",IF(AND(BW46&lt;&gt;0,$B$46=$B$47,$O$47&gt;(SUM($P$46:BV46))),"",(IF($N$47&gt;$O$47+(SUM($P$47:BV47)),$O$47,$N$47-(SUM($P$47:BV47)))))))</f>
        <v>0</v>
      </c>
    </row>
    <row r="48" spans="1:88" x14ac:dyDescent="0.25">
      <c r="A48" s="81">
        <v>41</v>
      </c>
      <c r="B48">
        <f>IF(A48&gt;0,FABRICAR!F42,NA())</f>
        <v>0</v>
      </c>
      <c r="C48">
        <f>IF(A48&gt;0,FABRICAR!G42,NA())</f>
        <v>0</v>
      </c>
      <c r="D48" s="1" t="e">
        <f t="shared" si="109"/>
        <v>#N/A</v>
      </c>
      <c r="E48" t="e">
        <f>IF(A48&gt;0,FABRICAR!P42,"")</f>
        <v>#N/A</v>
      </c>
      <c r="F48">
        <f t="shared" si="112"/>
        <v>0</v>
      </c>
      <c r="H48">
        <f>IF(B48=0,B48,IF(A48&gt;0,FABRICAR!H42,NA()))</f>
        <v>0</v>
      </c>
      <c r="I48">
        <f>IF(B48=0,B48,IF(A48&gt;0,FABRICAR!B42,NA()))</f>
        <v>0</v>
      </c>
      <c r="J48" s="75">
        <f>IF(B48=0,B48,'PROGRAM SALDO '!J44)</f>
        <v>0</v>
      </c>
      <c r="K48" s="82">
        <v>640</v>
      </c>
      <c r="L48">
        <f>IF(A48&gt;0,FABRICAR!J42,NA())</f>
        <v>0</v>
      </c>
      <c r="M48" s="9">
        <f t="shared" si="111"/>
        <v>0</v>
      </c>
      <c r="N48">
        <f>IF(A48&gt;0,FABRICAR!L42,NA())</f>
        <v>0</v>
      </c>
      <c r="O48">
        <f>IF(B48=0,B48,IF(A48&gt;0,FABRICAR!M42,"")*9)</f>
        <v>0</v>
      </c>
      <c r="P48" t="str">
        <f t="shared" si="113"/>
        <v/>
      </c>
      <c r="Q48" s="3">
        <f>IF($I$48&gt;1,VLOOKUP($B$48,PROGRAMACION1,13,0),IF(AND($H$47=$H$48,$N$47&gt;SUM($P$47:P47),Q47&gt;($O$47/7)),"",IF(AND(Q47&lt;&gt;0,$B$47=$B$48,$O$48&gt;(SUM($P$47:P47))),"",(IF($N$48&gt;$O$48+(SUM($P$48:P48)),$O$48,$N$48-(SUM($P$48:P48)))))))</f>
        <v>0</v>
      </c>
      <c r="R48" s="3">
        <f>IF($I$48&gt;1,VLOOKUP($B$48,PROGRAMACION1,13,0),IF(AND($H$47=$H$48,$N$47&gt;SUM($P$47:Q47),R47&gt;($O$47/7)),"",IF(AND(R47&lt;&gt;0,$B$47=$B$48,$O$48&gt;(SUM($P$47:Q47))),"",(IF($N$48&gt;$O$48+(SUM($P$48:Q48)),$O$48,$N$48-(SUM($P$48:Q48)))))))</f>
        <v>0</v>
      </c>
      <c r="S48" s="3">
        <f>IF($I$48&gt;1,VLOOKUP($B$48,PROGRAMACION1,13,0),IF(AND($H$47=$H$48,$N$47&gt;SUM($P$47:R47),S47&gt;($O$47/7)),"",IF(AND(S47&lt;&gt;0,$B$47=$B$48,$O$48&gt;(SUM($P$47:R47))),"",(IF($N$48&gt;$O$48+(SUM($P$48:R48)),$O$48,$N$48-(SUM($P$48:R48)))))))</f>
        <v>0</v>
      </c>
      <c r="T48" s="3">
        <f>IF($I$48&gt;1,VLOOKUP($B$48,PROGRAMACION1,13,0),IF(AND($H$47=$H$48,$N$47&gt;SUM($P$47:S47),T47&gt;($O$47/7)),"",IF(AND(T47&lt;&gt;0,$B$47=$B$48,$O$48&gt;(SUM($P$47:S47))),"",(IF($N$48&gt;$O$48+(SUM($P$48:S48)),$O$48,$N$48-(SUM($P$48:S48)))))))</f>
        <v>0</v>
      </c>
      <c r="U48" s="3">
        <f>IF($I$48&gt;1,VLOOKUP($B$48,PROGRAMACION1,13,0),IF(AND($H$47=$H$48,$N$47&gt;SUM($P$47:T47),U47&gt;($O$47/7)),"",IF(AND(U47&lt;&gt;0,$B$47=$B$48,$O$48&gt;(SUM($P$47:T47))),"",(IF($N$48&gt;$O$48+(SUM($P$48:T48)),$O$48,$N$48-(SUM($P$48:T48)))))))</f>
        <v>0</v>
      </c>
      <c r="V48" s="3">
        <f>IF($I$48&gt;1,VLOOKUP($B$48,PROGRAMACION1,13,0),IF(AND($H$47=$H$48,$N$47&gt;SUM($P$47:U47),V47&gt;($O$47/7)),"",IF(AND(V47&lt;&gt;0,$B$47=$B$48,$O$48&gt;(SUM($P$47:U47))),"",(IF($N$48&gt;$O$48+(SUM($P$48:U48)),$O$48,$N$48-(SUM($P$48:U48)))))))</f>
        <v>0</v>
      </c>
      <c r="W48" s="3">
        <f>IF($I$48&gt;1,VLOOKUP($B$48,PROGRAMACION1,13,0),IF(AND($H$47=$H$48,$N$47&gt;SUM($P$47:V47),W47&gt;($O$47/7)),"",IF(AND(W47&lt;&gt;0,$B$47=$B$48,$O$48&gt;(SUM($P$47:V47))),"",(IF($N$48&gt;$O$48+(SUM($P$48:V48)),$O$48,$N$48-(SUM($P$48:V48)))))))</f>
        <v>0</v>
      </c>
      <c r="X48" s="3">
        <f>IF($I$48&gt;1,VLOOKUP($B$48,PROGRAMACION1,13,0),IF(AND($H$47=$H$48,$N$47&gt;SUM($P$47:W47),X47&gt;($O$47/7)),"",IF(AND(X47&lt;&gt;0,$B$47=$B$48,$O$48&gt;(SUM($P$47:W47))),"",(IF($N$48&gt;$O$48+(SUM($P$48:W48)),$O$48,$N$48-(SUM($P$48:W48)))))))</f>
        <v>0</v>
      </c>
      <c r="Y48" s="3">
        <f>IF($I$48&gt;1,VLOOKUP($B$48,PROGRAMACION1,13,0),IF(AND($H$47=$H$48,$N$47&gt;SUM($P$47:X47),Y47&gt;($O$47/7)),"",IF(AND(Y47&lt;&gt;0,$B$47=$B$48,$O$48&gt;(SUM($P$47:X47))),"",(IF($N$48&gt;$O$48+(SUM($P$48:X48)),$O$48,$N$48-(SUM($P$48:X48)))))))</f>
        <v>0</v>
      </c>
      <c r="Z48" s="3">
        <f>IF($I$48&gt;1,VLOOKUP($B$48,PROGRAMACION1,13,0),IF(AND($H$47=$H$48,$N$47&gt;SUM($P$47:Y47),Z47&gt;($O$47/7)),"",IF(AND(Z47&lt;&gt;0,$B$47=$B$48,$O$48&gt;(SUM($P$47:Y47))),"",(IF($N$48&gt;$O$48+(SUM($P$48:Y48)),$O$48,$N$48-(SUM($P$48:Y48)))))))</f>
        <v>0</v>
      </c>
      <c r="AA48" s="3">
        <f>IF($I$48&gt;1,VLOOKUP($B$48,PROGRAMACION1,13,0),IF(AND($H$47=$H$48,$N$47&gt;SUM($P$47:Z47),AA47&gt;($O$47/7)),"",IF(AND(AA47&lt;&gt;0,$B$47=$B$48,$O$48&gt;(SUM($P$47:Z47))),"",(IF($N$48&gt;$O$48+(SUM($P$48:Z48)),$O$48,$N$48-(SUM($P$48:Z48)))))))</f>
        <v>0</v>
      </c>
      <c r="AB48" s="3">
        <f>IF($I$48&gt;1,VLOOKUP($B$48,PROGRAMACION1,13,0),IF(AND($H$47=$H$48,$N$47&gt;SUM($P$47:AA47),AB47&gt;($O$47/7)),"",IF(AND(AB47&lt;&gt;0,$B$47=$B$48,$O$48&gt;(SUM($P$47:AA47))),"",(IF($N$48&gt;$O$48+(SUM($P$48:AA48)),$O$48,$N$48-(SUM($P$48:AA48)))))))</f>
        <v>0</v>
      </c>
      <c r="AC48" s="3">
        <f>IF($I$48&gt;1,VLOOKUP($B$48,PROGRAMACION1,13,0),IF(AND($H$47=$H$48,$N$47&gt;SUM($P$47:AB47),AC47&gt;($O$47/7)),"",IF(AND(AC47&lt;&gt;0,$B$47=$B$48,$O$48&gt;(SUM($P$47:AB47))),"",(IF($N$48&gt;$O$48+(SUM($P$48:AB48)),$O$48,$N$48-(SUM($P$48:AB48)))))))</f>
        <v>0</v>
      </c>
      <c r="AD48" s="3">
        <f>IF($I$48&gt;1,VLOOKUP($B$48,PROGRAMACION1,13,0),IF(AND($H$47=$H$48,$N$47&gt;SUM($P$47:AC47),AD47&gt;($O$47/7)),"",IF(AND(AD47&lt;&gt;0,$B$47=$B$48,$O$48&gt;(SUM($P$47:AC47))),"",(IF($N$48&gt;$O$48+(SUM($P$48:AC48)),$O$48,$N$48-(SUM($P$48:AC48)))))))</f>
        <v>0</v>
      </c>
      <c r="AE48" s="3">
        <f>IF($I$48&gt;1,VLOOKUP($B$48,PROGRAMACION1,13,0),IF(AND($H$47=$H$48,$N$47&gt;SUM($P$47:AD47),AE47&gt;($O$47/7)),"",IF(AND(AE47&lt;&gt;0,$B$47=$B$48,$O$48&gt;(SUM($P$47:AD47))),"",(IF($N$48&gt;$O$48+(SUM($P$48:AD48)),$O$48,$N$48-(SUM($P$48:AD48)))))))</f>
        <v>0</v>
      </c>
      <c r="AF48" s="3">
        <f>IF($I$48&gt;1,VLOOKUP($B$48,PROGRAMACION1,13,0),IF(AND($H$47=$H$48,$N$47&gt;SUM($P$47:AE47),AF47&gt;($O$47/7)),"",IF(AND(AF47&lt;&gt;0,$B$47=$B$48,$O$48&gt;(SUM($P$47:AE47))),"",(IF($N$48&gt;$O$48+(SUM($P$48:AE48)),$O$48,$N$48-(SUM($P$48:AE48)))))))</f>
        <v>0</v>
      </c>
      <c r="AG48" s="3">
        <f>IF($I$48&gt;1,VLOOKUP($B$48,PROGRAMACION1,13,0),IF(AND($H$47=$H$48,$N$47&gt;SUM($P$47:AF47),AG47&gt;($O$47/7)),"",IF(AND(AG47&lt;&gt;0,$B$47=$B$48,$O$48&gt;(SUM($P$47:AF47))),"",(IF($N$48&gt;$O$48+(SUM($P$48:AF48)),$O$48,$N$48-(SUM($P$48:AF48)))))))</f>
        <v>0</v>
      </c>
      <c r="AH48" s="3">
        <f>IF($I$48&gt;1,VLOOKUP($B$48,PROGRAMACION1,13,0),IF(AND($H$47=$H$48,$N$47&gt;SUM($P$47:AG47),AH47&gt;($O$47/7)),"",IF(AND(AH47&lt;&gt;0,$B$47=$B$48,$O$48&gt;(SUM($P$47:AG47))),"",(IF($N$48&gt;$O$48+(SUM($P$48:AG48)),$O$48,$N$48-(SUM($P$48:AG48)))))))</f>
        <v>0</v>
      </c>
      <c r="AI48" s="3">
        <f>IF($I$48&gt;1,VLOOKUP($B$48,PROGRAMACION1,13,0),IF(AND($H$47=$H$48,$N$47&gt;SUM($P$47:AH47),AI47&gt;($O$47/7)),"",IF(AND(AI47&lt;&gt;0,$B$47=$B$48,$O$48&gt;(SUM($P$47:AH47))),"",(IF($N$48&gt;$O$48+(SUM($P$48:AH48)),$O$48,$N$48-(SUM($P$48:AH48)))))))</f>
        <v>0</v>
      </c>
      <c r="AJ48" s="3">
        <f>IF($I$48&gt;1,VLOOKUP($B$48,PROGRAMACION1,13,0),IF(AND($H$47=$H$48,$N$47&gt;SUM($P$47:AI47),AJ47&gt;($O$47/7)),"",IF(AND(AJ47&lt;&gt;0,$B$47=$B$48,$O$48&gt;(SUM($P$47:AI47))),"",(IF($N$48&gt;$O$48+(SUM($P$48:AI48)),$O$48,$N$48-(SUM($P$48:AI48)))))))</f>
        <v>0</v>
      </c>
      <c r="AK48" s="3">
        <f>IF($I$48&gt;1,VLOOKUP($B$48,PROGRAMACION1,13,0),IF(AND($H$47=$H$48,$N$47&gt;SUM($P$47:AJ47),AK47&gt;($O$47/7)),"",IF(AND(AK47&lt;&gt;0,$B$47=$B$48,$O$48&gt;(SUM($P$47:AJ47))),"",(IF($N$48&gt;$O$48+(SUM($P$48:AJ48)),$O$48,$N$48-(SUM($P$48:AJ48)))))))</f>
        <v>0</v>
      </c>
      <c r="AL48" s="3">
        <f>IF($I$48&gt;1,VLOOKUP($B$48,PROGRAMACION1,13,0),IF(AND($H$47=$H$48,$N$47&gt;SUM($P$47:AK47),AL47&gt;($O$47/7)),"",IF(AND(AL47&lt;&gt;0,$B$47=$B$48,$O$48&gt;(SUM($P$47:AK47))),"",(IF($N$48&gt;$O$48+(SUM($P$48:AK48)),$O$48,$N$48-(SUM($P$48:AK48)))))))</f>
        <v>0</v>
      </c>
      <c r="AM48" s="3">
        <f>IF($I$48&gt;1,VLOOKUP($B$48,PROGRAMACION1,13,0),IF(AND($H$47=$H$48,$N$47&gt;SUM($P$47:AL47),AM47&gt;($O$47/7)),"",IF(AND(AM47&lt;&gt;0,$B$47=$B$48,$O$48&gt;(SUM($P$47:AL47))),"",(IF($N$48&gt;$O$48+(SUM($P$48:AL48)),$O$48,$N$48-(SUM($P$48:AL48)))))))</f>
        <v>0</v>
      </c>
      <c r="AN48" s="3">
        <f>IF($I$48&gt;1,VLOOKUP($B$48,PROGRAMACION1,13,0),IF(AND($H$47=$H$48,$N$47&gt;SUM($P$47:AM47),AN47&gt;($O$47/7)),"",IF(AND(AN47&lt;&gt;0,$B$47=$B$48,$O$48&gt;(SUM($P$47:AM47))),"",(IF($N$48&gt;$O$48+(SUM($P$48:AM48)),$O$48,$N$48-(SUM($P$48:AM48)))))))</f>
        <v>0</v>
      </c>
      <c r="AO48" s="3">
        <f>IF($I$48&gt;1,VLOOKUP($B$48,PROGRAMACION1,13,0),IF(AND($H$47=$H$48,$N$47&gt;SUM($P$47:AN47),AO47&gt;($O$47/7)),"",IF(AND(AO47&lt;&gt;0,$B$47=$B$48,$O$48&gt;(SUM($P$47:AN47))),"",(IF($N$48&gt;$O$48+(SUM($P$48:AN48)),$O$48,$N$48-(SUM($P$48:AN48)))))))</f>
        <v>0</v>
      </c>
      <c r="AP48" s="3">
        <f>IF($I$48&gt;1,VLOOKUP($B$48,PROGRAMACION1,13,0),IF(AND($H$47=$H$48,$N$47&gt;SUM($P$47:AO47),AP47&gt;($O$47/7)),"",IF(AND(AP47&lt;&gt;0,$B$47=$B$48,$O$48&gt;(SUM($P$47:AO47))),"",(IF($N$48&gt;$O$48+(SUM($P$48:AO48)),$O$48,$N$48-(SUM($P$48:AO48)))))))</f>
        <v>0</v>
      </c>
      <c r="AQ48" s="3">
        <f>IF($I$48&gt;1,VLOOKUP($B$48,PROGRAMACION1,13,0),IF(AND($H$47=$H$48,$N$47&gt;SUM($P$47:AP47),AQ47&gt;($O$47/7)),"",IF(AND(AQ47&lt;&gt;0,$B$47=$B$48,$O$48&gt;(SUM($P$47:AP47))),"",(IF($N$48&gt;$O$48+(SUM($P$48:AP48)),$O$48,$N$48-(SUM($P$48:AP48)))))))</f>
        <v>0</v>
      </c>
      <c r="AR48" s="3">
        <f>IF($I$48&gt;1,VLOOKUP($B$48,PROGRAMACION1,13,0),IF(AND($H$47=$H$48,$N$47&gt;SUM($P$47:AQ47),AR47&gt;($O$47/7)),"",IF(AND(AR47&lt;&gt;0,$B$47=$B$48,$O$48&gt;(SUM($P$47:AQ47))),"",(IF($N$48&gt;$O$48+(SUM($P$48:AQ48)),$O$48,$N$48-(SUM($P$48:AQ48)))))))</f>
        <v>0</v>
      </c>
      <c r="AS48" s="3">
        <f>IF($I$48&gt;1,VLOOKUP($B$48,PROGRAMACION1,13,0),IF(AND($H$47=$H$48,$N$47&gt;SUM($P$47:AR47),AS47&gt;($O$47/7)),"",IF(AND(AS47&lt;&gt;0,$B$47=$B$48,$O$48&gt;(SUM($P$47:AR47))),"",(IF($N$48&gt;$O$48+(SUM($P$48:AR48)),$O$48,$N$48-(SUM($P$48:AR48)))))))</f>
        <v>0</v>
      </c>
      <c r="AT48" s="3">
        <f>IF($I$48&gt;1,VLOOKUP($B$48,PROGRAMACION1,13,0),IF(AND($H$47=$H$48,$N$47&gt;SUM($P$47:AS47),AT47&gt;($O$47/7)),"",IF(AND(AT47&lt;&gt;0,$B$47=$B$48,$O$48&gt;(SUM($P$47:AS47))),"",(IF($N$48&gt;$O$48+(SUM($P$48:AS48)),$O$48,$N$48-(SUM($P$48:AS48)))))))</f>
        <v>0</v>
      </c>
      <c r="AU48" s="3">
        <f>IF($I$48&gt;1,VLOOKUP($B$48,PROGRAMACION1,13,0),IF(AND($H$47=$H$48,$N$47&gt;SUM($P$47:AT47),AU47&gt;($O$47/7)),"",IF(AND(AU47&lt;&gt;0,$B$47=$B$48,$O$48&gt;(SUM($P$47:AT47))),"",(IF($N$48&gt;$O$48+(SUM($P$48:AT48)),$O$48,$N$48-(SUM($P$48:AT48)))))))</f>
        <v>0</v>
      </c>
      <c r="AV48" s="3">
        <f>IF($I$48&gt;1,VLOOKUP($B$48,PROGRAMACION1,13,0),IF(AND($H$47=$H$48,$N$47&gt;SUM($P$47:AU47),AV47&gt;($O$47/7)),"",IF(AND(AV47&lt;&gt;0,$B$47=$B$48,$O$48&gt;(SUM($P$47:AU47))),"",(IF($N$48&gt;$O$48+(SUM($P$48:AU48)),$O$48,$N$48-(SUM($P$48:AU48)))))))</f>
        <v>0</v>
      </c>
      <c r="AW48" s="3">
        <f>IF($I$48&gt;1,VLOOKUP($B$48,PROGRAMACION1,13,0),IF(AND($H$47=$H$48,$N$47&gt;SUM($P$47:AV47),AW47&gt;($O$47/7)),"",IF(AND(AW47&lt;&gt;0,$B$47=$B$48,$O$48&gt;(SUM($P$47:AV47))),"",(IF($N$48&gt;$O$48+(SUM($P$48:AV48)),$O$48,$N$48-(SUM($P$48:AV48)))))))</f>
        <v>0</v>
      </c>
      <c r="AX48" s="3">
        <f>IF($I$48&gt;1,VLOOKUP($B$48,PROGRAMACION1,13,0),IF(AND($H$47=$H$48,$N$47&gt;SUM($P$47:AW47),AX47&gt;($O$47/7)),"",IF(AND(AX47&lt;&gt;0,$B$47=$B$48,$O$48&gt;(SUM($P$47:AW47))),"",(IF($N$48&gt;$O$48+(SUM($P$48:AW48)),$O$48,$N$48-(SUM($P$48:AW48)))))))</f>
        <v>0</v>
      </c>
      <c r="AY48" s="3">
        <f>IF($I$48&gt;1,VLOOKUP($B$48,PROGRAMACION1,13,0),IF(AND($H$47=$H$48,$N$47&gt;SUM($P$47:AX47),AY47&gt;($O$47/7)),"",IF(AND(AY47&lt;&gt;0,$B$47=$B$48,$O$48&gt;(SUM($P$47:AX47))),"",(IF($N$48&gt;$O$48+(SUM($P$48:AX48)),$O$48,$N$48-(SUM($P$48:AX48)))))))</f>
        <v>0</v>
      </c>
      <c r="AZ48" s="3">
        <f>IF($I$48&gt;1,VLOOKUP($B$48,PROGRAMACION1,13,0),IF(AND($H$47=$H$48,$N$47&gt;SUM($P$47:AY47),AZ47&gt;($O$47/7)),"",IF(AND(AZ47&lt;&gt;0,$B$47=$B$48,$O$48&gt;(SUM($P$47:AY47))),"",(IF($N$48&gt;$O$48+(SUM($P$48:AY48)),$O$48,$N$48-(SUM($P$48:AY48)))))))</f>
        <v>0</v>
      </c>
      <c r="BA48" s="3">
        <f>IF($I$48&gt;1,VLOOKUP($B$48,PROGRAMACION1,13,0),IF(AND($H$47=$H$48,$N$47&gt;SUM($P$47:AZ47),BA47&gt;($O$47/7)),"",IF(AND(BA47&lt;&gt;0,$B$47=$B$48,$O$48&gt;(SUM($P$47:AZ47))),"",(IF($N$48&gt;$O$48+(SUM($P$48:AZ48)),$O$48,$N$48-(SUM($P$48:AZ48)))))))</f>
        <v>0</v>
      </c>
      <c r="BB48" s="3">
        <f>IF($I$48&gt;1,VLOOKUP($B$48,PROGRAMACION1,13,0),IF(AND($H$47=$H$48,$N$47&gt;SUM($P$47:BA47),BB47&gt;($O$47/7)),"",IF(AND(BB47&lt;&gt;0,$B$47=$B$48,$O$48&gt;(SUM($P$47:BA47))),"",(IF($N$48&gt;$O$48+(SUM($P$48:BA48)),$O$48,$N$48-(SUM($P$48:BA48)))))))</f>
        <v>0</v>
      </c>
      <c r="BC48" s="3">
        <f>IF($I$48&gt;1,VLOOKUP($B$48,PROGRAMACION1,13,0),IF(AND($H$47=$H$48,$N$47&gt;SUM($P$47:BB47),BC47&gt;($O$47/7)),"",IF(AND(BC47&lt;&gt;0,$B$47=$B$48,$O$48&gt;(SUM($P$47:BB47))),"",(IF($N$48&gt;$O$48+(SUM($P$48:BB48)),$O$48,$N$48-(SUM($P$48:BB48)))))))</f>
        <v>0</v>
      </c>
      <c r="BD48" s="3">
        <f>IF($I$48&gt;1,VLOOKUP($B$48,PROGRAMACION1,13,0),IF(AND($H$47=$H$48,$N$47&gt;SUM($P$47:BC47),BD47&gt;($O$47/7)),"",IF(AND(BD47&lt;&gt;0,$B$47=$B$48,$O$48&gt;(SUM($P$47:BC47))),"",(IF($N$48&gt;$O$48+(SUM($P$48:BC48)),$O$48,$N$48-(SUM($P$48:BC48)))))))</f>
        <v>0</v>
      </c>
      <c r="BE48" s="3">
        <f>IF($I$48&gt;1,VLOOKUP($B$48,PROGRAMACION1,13,0),IF(AND($H$47=$H$48,$N$47&gt;SUM($P$47:BD47),BE47&gt;($O$47/7)),"",IF(AND(BE47&lt;&gt;0,$B$47=$B$48,$O$48&gt;(SUM($P$47:BD47))),"",(IF($N$48&gt;$O$48+(SUM($P$48:BD48)),$O$48,$N$48-(SUM($P$48:BD48)))))))</f>
        <v>0</v>
      </c>
      <c r="BF48" s="3">
        <f>IF($I$48&gt;1,VLOOKUP($B$48,PROGRAMACION1,13,0),IF(AND($H$47=$H$48,$N$47&gt;SUM($P$47:BE47),BF47&gt;($O$47/7)),"",IF(AND(BF47&lt;&gt;0,$B$47=$B$48,$O$48&gt;(SUM($P$47:BE47))),"",(IF($N$48&gt;$O$48+(SUM($P$48:BE48)),$O$48,$N$48-(SUM($P$48:BE48)))))))</f>
        <v>0</v>
      </c>
      <c r="BG48" s="3">
        <f>IF($I$48&gt;1,VLOOKUP($B$48,PROGRAMACION1,13,0),IF(AND($H$47=$H$48,$N$47&gt;SUM($P$47:BF47),BG47&gt;($O$47/7)),"",IF(AND(BG47&lt;&gt;0,$B$47=$B$48,$O$48&gt;(SUM($P$47:BF47))),"",(IF($N$48&gt;$O$48+(SUM($P$48:BF48)),$O$48,$N$48-(SUM($P$48:BF48)))))))</f>
        <v>0</v>
      </c>
      <c r="BH48" s="3">
        <f>IF($I$48&gt;1,VLOOKUP($B$48,PROGRAMACION1,13,0),IF(AND($H$47=$H$48,$N$47&gt;SUM($P$47:BG47),BH47&gt;($O$47/7)),"",IF(AND(BH47&lt;&gt;0,$B$47=$B$48,$O$48&gt;(SUM($P$47:BG47))),"",(IF($N$48&gt;$O$48+(SUM($P$48:BG48)),$O$48,$N$48-(SUM($P$48:BG48)))))))</f>
        <v>0</v>
      </c>
      <c r="BI48" s="3">
        <f>IF($I$48&gt;1,VLOOKUP($B$48,PROGRAMACION1,13,0),IF(AND($H$47=$H$48,$N$47&gt;SUM($P$47:BH47),BI47&gt;($O$47/7)),"",IF(AND(BI47&lt;&gt;0,$B$47=$B$48,$O$48&gt;(SUM($P$47:BH47))),"",(IF($N$48&gt;$O$48+(SUM($P$48:BH48)),$O$48,$N$48-(SUM($P$48:BH48)))))))</f>
        <v>0</v>
      </c>
      <c r="BJ48" s="3">
        <f>IF($I$48&gt;1,VLOOKUP($B$48,PROGRAMACION1,13,0),IF(AND($H$47=$H$48,$N$47&gt;SUM($P$47:BI47),BJ47&gt;($O$47/7)),"",IF(AND(BJ47&lt;&gt;0,$B$47=$B$48,$O$48&gt;(SUM($P$47:BI47))),"",(IF($N$48&gt;$O$48+(SUM($P$48:BI48)),$O$48,$N$48-(SUM($P$48:BI48)))))))</f>
        <v>0</v>
      </c>
      <c r="BK48" s="3">
        <f>IF($I$48&gt;1,VLOOKUP($B$48,PROGRAMACION1,13,0),IF(AND($H$47=$H$48,$N$47&gt;SUM($P$47:BJ47),BK47&gt;($O$47/7)),"",IF(AND(BK47&lt;&gt;0,$B$47=$B$48,$O$48&gt;(SUM($P$47:BJ47))),"",(IF($N$48&gt;$O$48+(SUM($P$48:BJ48)),$O$48,$N$48-(SUM($P$48:BJ48)))))))</f>
        <v>0</v>
      </c>
      <c r="BL48" s="3">
        <f>IF($I$48&gt;1,VLOOKUP($B$48,PROGRAMACION1,13,0),IF(AND($H$47=$H$48,$N$47&gt;SUM($P$47:BK47),BL47&gt;($O$47/7)),"",IF(AND(BL47&lt;&gt;0,$B$47=$B$48,$O$48&gt;(SUM($P$47:BK47))),"",(IF($N$48&gt;$O$48+(SUM($P$48:BK48)),$O$48,$N$48-(SUM($P$48:BK48)))))))</f>
        <v>0</v>
      </c>
      <c r="BM48" s="3">
        <f>IF($I$48&gt;1,VLOOKUP($B$48,PROGRAMACION1,13,0),IF(AND($H$47=$H$48,$N$47&gt;SUM($P$47:BL47),BM47&gt;($O$47/7)),"",IF(AND(BM47&lt;&gt;0,$B$47=$B$48,$O$48&gt;(SUM($P$47:BL47))),"",(IF($N$48&gt;$O$48+(SUM($P$48:BL48)),$O$48,$N$48-(SUM($P$48:BL48)))))))</f>
        <v>0</v>
      </c>
      <c r="BN48" s="3">
        <f>IF($I$48&gt;1,VLOOKUP($B$48,PROGRAMACION1,13,0),IF(AND($H$47=$H$48,$N$47&gt;SUM($P$47:BM47),BN47&gt;($O$47/7)),"",IF(AND(BN47&lt;&gt;0,$B$47=$B$48,$O$48&gt;(SUM($P$47:BM47))),"",(IF($N$48&gt;$O$48+(SUM($P$48:BM48)),$O$48,$N$48-(SUM($P$48:BM48)))))))</f>
        <v>0</v>
      </c>
      <c r="BO48" s="3">
        <f>IF($I$48&gt;1,VLOOKUP($B$48,PROGRAMACION1,13,0),IF(AND($H$47=$H$48,$N$47&gt;SUM($P$47:BN47),BO47&gt;($O$47/7)),"",IF(AND(BO47&lt;&gt;0,$B$47=$B$48,$O$48&gt;(SUM($P$47:BN47))),"",(IF($N$48&gt;$O$48+(SUM($P$48:BN48)),$O$48,$N$48-(SUM($P$48:BN48)))))))</f>
        <v>0</v>
      </c>
      <c r="BP48" s="3">
        <f>IF($I$48&gt;1,VLOOKUP($B$48,PROGRAMACION1,13,0),IF(AND($H$47=$H$48,$N$47&gt;SUM($P$47:BO47),BP47&gt;($O$47/7)),"",IF(AND(BP47&lt;&gt;0,$B$47=$B$48,$O$48&gt;(SUM($P$47:BO47))),"",(IF($N$48&gt;$O$48+(SUM($P$48:BO48)),$O$48,$N$48-(SUM($P$48:BO48)))))))</f>
        <v>0</v>
      </c>
      <c r="BQ48" s="3">
        <f>IF($I$48&gt;1,VLOOKUP($B$48,PROGRAMACION1,13,0),IF(AND($H$47=$H$48,$N$47&gt;SUM($P$47:BP47),BQ47&gt;($O$47/7)),"",IF(AND(BQ47&lt;&gt;0,$B$47=$B$48,$O$48&gt;(SUM($P$47:BP47))),"",(IF($N$48&gt;$O$48+(SUM($P$48:BP48)),$O$48,$N$48-(SUM($P$48:BP48)))))))</f>
        <v>0</v>
      </c>
      <c r="BR48" s="3">
        <f>IF($I$48&gt;1,VLOOKUP($B$48,PROGRAMACION1,13,0),IF(AND($H$47=$H$48,$N$47&gt;SUM($P$47:BQ47),BR47&gt;($O$47/7)),"",IF(AND(BR47&lt;&gt;0,$B$47=$B$48,$O$48&gt;(SUM($P$47:BQ47))),"",(IF($N$48&gt;$O$48+(SUM($P$48:BQ48)),$O$48,$N$48-(SUM($P$48:BQ48)))))))</f>
        <v>0</v>
      </c>
      <c r="BS48" s="3">
        <f>IF($I$48&gt;1,VLOOKUP($B$48,PROGRAMACION1,13,0),IF(AND($H$47=$H$48,$N$47&gt;SUM($P$47:BR47),BS47&gt;($O$47/7)),"",IF(AND(BS47&lt;&gt;0,$B$47=$B$48,$O$48&gt;(SUM($P$47:BR47))),"",(IF($N$48&gt;$O$48+(SUM($P$48:BR48)),$O$48,$N$48-(SUM($P$48:BR48)))))))</f>
        <v>0</v>
      </c>
      <c r="BT48" s="3">
        <f>IF($I$48&gt;1,VLOOKUP($B$48,PROGRAMACION1,13,0),IF(AND($H$47=$H$48,$N$47&gt;SUM($P$47:BS47),BT47&gt;($O$47/7)),"",IF(AND(BT47&lt;&gt;0,$B$47=$B$48,$O$48&gt;(SUM($P$47:BS47))),"",(IF($N$48&gt;$O$48+(SUM($P$48:BS48)),$O$48,$N$48-(SUM($P$48:BS48)))))))</f>
        <v>0</v>
      </c>
      <c r="BU48" s="3">
        <f>IF($I$48&gt;1,VLOOKUP($B$48,PROGRAMACION1,13,0),IF(AND($H$47=$H$48,$N$47&gt;SUM($P$47:BT47),BU47&gt;($O$47/7)),"",IF(AND(BU47&lt;&gt;0,$B$47=$B$48,$O$48&gt;(SUM($P$47:BT47))),"",(IF($N$48&gt;$O$48+(SUM($P$48:BT48)),$O$48,$N$48-(SUM($P$48:BT48)))))))</f>
        <v>0</v>
      </c>
      <c r="BV48" s="3">
        <f>IF($I$48&gt;1,VLOOKUP($B$48,PROGRAMACION1,13,0),IF(AND($H$47=$H$48,$N$47&gt;SUM($P$47:BU47),BV47&gt;($O$47/7)),"",IF(AND(BV47&lt;&gt;0,$B$47=$B$48,$O$48&gt;(SUM($P$47:BU47))),"",(IF($N$48&gt;$O$48+(SUM($P$48:BU48)),$O$48,$N$48-(SUM($P$48:BU48)))))))</f>
        <v>0</v>
      </c>
      <c r="BW48" s="3">
        <f>IF($I$48&gt;1,VLOOKUP($B$48,PROGRAMACION1,13,0),IF(AND($H$47=$H$48,$N$47&gt;SUM($P$47:BV47),BW47&gt;($O$47/7)),"",IF(AND(BW47&lt;&gt;0,$B$47=$B$48,$O$48&gt;(SUM($P$47:BV47))),"",(IF($N$48&gt;$O$48+(SUM($P$48:BV48)),$O$48,$N$48-(SUM($P$48:BV48)))))))</f>
        <v>0</v>
      </c>
    </row>
    <row r="49" spans="1:75" x14ac:dyDescent="0.25">
      <c r="A49" s="81">
        <v>42</v>
      </c>
      <c r="B49">
        <f>IF(A49&gt;0,FABRICAR!F43,NA())</f>
        <v>0</v>
      </c>
      <c r="C49">
        <f>IF(A49&gt;0,FABRICAR!G43,NA())</f>
        <v>0</v>
      </c>
      <c r="D49" s="1" t="e">
        <f t="shared" si="109"/>
        <v>#N/A</v>
      </c>
      <c r="E49" t="e">
        <f>IF(A49&gt;0,FABRICAR!P43,"")</f>
        <v>#N/A</v>
      </c>
      <c r="F49">
        <f t="shared" si="112"/>
        <v>0</v>
      </c>
      <c r="H49">
        <f>IF(B49=0,B49,IF(A49&gt;0,FABRICAR!H43,NA()))</f>
        <v>0</v>
      </c>
      <c r="I49">
        <f>IF(B49=0,B49,IF(A49&gt;0,FABRICAR!B43,NA()))</f>
        <v>0</v>
      </c>
      <c r="J49" s="75">
        <f>IF(B49=0,B49,'PROGRAM SALDO '!J45)</f>
        <v>0</v>
      </c>
      <c r="K49" s="82">
        <v>641</v>
      </c>
      <c r="L49">
        <f>IF(A49&gt;0,FABRICAR!J43,NA())</f>
        <v>0</v>
      </c>
      <c r="M49" s="9">
        <f t="shared" si="111"/>
        <v>0</v>
      </c>
      <c r="N49">
        <f>IF(A49&gt;0,FABRICAR!L43,NA())</f>
        <v>0</v>
      </c>
      <c r="O49">
        <f>IF(B49=0,B49,IF(A49&gt;0,FABRICAR!M43,"")*9)</f>
        <v>0</v>
      </c>
      <c r="P49" t="str">
        <f t="shared" si="113"/>
        <v/>
      </c>
      <c r="Q49" s="3">
        <f>IF($I$49&gt;1,VLOOKUP($B$49,PROGRAMACION1,13,0),IF(AND($H$48=$H$49,$N$48&gt;SUM($P$48:P48),Q48&gt;($O$48/7)),"",IF(AND(Q48&lt;&gt;0,$B$48=$B$49,$O$49&gt;(SUM($P$48:P48))),"",(IF($N$49&gt;$O$49+(SUM($P$49:P49)),$O$49,$N$49-(SUM($P$49:P49)))))))</f>
        <v>0</v>
      </c>
      <c r="R49" s="3">
        <f>IF($I$49&gt;1,VLOOKUP($B$49,PROGRAMACION1,13,0),IF(AND($H$48=$H$49,$N$48&gt;SUM($P$48:Q48),R48&gt;($O$48/7)),"",IF(AND(R48&lt;&gt;0,$B$48=$B$49,$O$49&gt;(SUM($P$48:Q48))),"",(IF($N$49&gt;$O$49+(SUM($P$49:Q49)),$O$49,$N$49-(SUM($P$49:Q49)))))))</f>
        <v>0</v>
      </c>
      <c r="S49" s="3">
        <f>IF($I$49&gt;1,VLOOKUP($B$49,PROGRAMACION1,13,0),IF(AND($H$48=$H$49,$N$48&gt;SUM($P$48:R48),S48&gt;($O$48/7)),"",IF(AND(S48&lt;&gt;0,$B$48=$B$49,$O$49&gt;(SUM($P$48:R48))),"",(IF($N$49&gt;$O$49+(SUM($P$49:R49)),$O$49,$N$49-(SUM($P$49:R49)))))))</f>
        <v>0</v>
      </c>
      <c r="T49" s="3">
        <f>IF($I$49&gt;1,VLOOKUP($B$49,PROGRAMACION1,13,0),IF(AND($H$48=$H$49,$N$48&gt;SUM($P$48:S48),T48&gt;($O$48/7)),"",IF(AND(T48&lt;&gt;0,$B$48=$B$49,$O$49&gt;(SUM($P$48:S48))),"",(IF($N$49&gt;$O$49+(SUM($P$49:S49)),$O$49,$N$49-(SUM($P$49:S49)))))))</f>
        <v>0</v>
      </c>
      <c r="U49" s="3">
        <f>IF($I$49&gt;1,VLOOKUP($B$49,PROGRAMACION1,13,0),IF(AND($H$48=$H$49,$N$48&gt;SUM($P$48:T48),U48&gt;($O$48/7)),"",IF(AND(U48&lt;&gt;0,$B$48=$B$49,$O$49&gt;(SUM($P$48:T48))),"",(IF($N$49&gt;$O$49+(SUM($P$49:T49)),$O$49,$N$49-(SUM($P$49:T49)))))))</f>
        <v>0</v>
      </c>
      <c r="V49" s="3">
        <f>IF($I$49&gt;1,VLOOKUP($B$49,PROGRAMACION1,13,0),IF(AND($H$48=$H$49,$N$48&gt;SUM($P$48:U48),V48&gt;($O$48/7)),"",IF(AND(V48&lt;&gt;0,$B$48=$B$49,$O$49&gt;(SUM($P$48:U48))),"",(IF($N$49&gt;$O$49+(SUM($P$49:U49)),$O$49,$N$49-(SUM($P$49:U49)))))))</f>
        <v>0</v>
      </c>
      <c r="W49" s="3">
        <f>IF($I$49&gt;1,VLOOKUP($B$49,PROGRAMACION1,13,0),IF(AND($H$48=$H$49,$N$48&gt;SUM($P$48:V48),W48&gt;($O$48/7)),"",IF(AND(W48&lt;&gt;0,$B$48=$B$49,$O$49&gt;(SUM($P$48:V48))),"",(IF($N$49&gt;$O$49+(SUM($P$49:V49)),$O$49,$N$49-(SUM($P$49:V49)))))))</f>
        <v>0</v>
      </c>
      <c r="X49" s="3">
        <f>IF($I$49&gt;1,VLOOKUP($B$49,PROGRAMACION1,13,0),IF(AND($H$48=$H$49,$N$48&gt;SUM($P$48:W48),X48&gt;($O$48/7)),"",IF(AND(X48&lt;&gt;0,$B$48=$B$49,$O$49&gt;(SUM($P$48:W48))),"",(IF($N$49&gt;$O$49+(SUM($P$49:W49)),$O$49,$N$49-(SUM($P$49:W49)))))))</f>
        <v>0</v>
      </c>
      <c r="Y49" s="3">
        <f>IF($I$49&gt;1,VLOOKUP($B$49,PROGRAMACION1,13,0),IF(AND($H$48=$H$49,$N$48&gt;SUM($P$48:X48),Y48&gt;($O$48/7)),"",IF(AND(Y48&lt;&gt;0,$B$48=$B$49,$O$49&gt;(SUM($P$48:X48))),"",(IF($N$49&gt;$O$49+(SUM($P$49:X49)),$O$49,$N$49-(SUM($P$49:X49)))))))</f>
        <v>0</v>
      </c>
      <c r="Z49" s="3">
        <f>IF($I$49&gt;1,VLOOKUP($B$49,PROGRAMACION1,13,0),IF(AND($H$48=$H$49,$N$48&gt;SUM($P$48:Y48),Z48&gt;($O$48/7)),"",IF(AND(Z48&lt;&gt;0,$B$48=$B$49,$O$49&gt;(SUM($P$48:Y48))),"",(IF($N$49&gt;$O$49+(SUM($P$49:Y49)),$O$49,$N$49-(SUM($P$49:Y49)))))))</f>
        <v>0</v>
      </c>
      <c r="AA49" s="3">
        <f>IF($I$49&gt;1,VLOOKUP($B$49,PROGRAMACION1,13,0),IF(AND($H$48=$H$49,$N$48&gt;SUM($P$48:Z48),AA48&gt;($O$48/7)),"",IF(AND(AA48&lt;&gt;0,$B$48=$B$49,$O$49&gt;(SUM($P$48:Z48))),"",(IF($N$49&gt;$O$49+(SUM($P$49:Z49)),$O$49,$N$49-(SUM($P$49:Z49)))))))</f>
        <v>0</v>
      </c>
      <c r="AB49" s="3">
        <f>IF($I$49&gt;1,VLOOKUP($B$49,PROGRAMACION1,13,0),IF(AND($H$48=$H$49,$N$48&gt;SUM($P$48:AA48),AB48&gt;($O$48/7)),"",IF(AND(AB48&lt;&gt;0,$B$48=$B$49,$O$49&gt;(SUM($P$48:AA48))),"",(IF($N$49&gt;$O$49+(SUM($P$49:AA49)),$O$49,$N$49-(SUM($P$49:AA49)))))))</f>
        <v>0</v>
      </c>
      <c r="AC49" s="3">
        <f>IF($I$49&gt;1,VLOOKUP($B$49,PROGRAMACION1,13,0),IF(AND($H$48=$H$49,$N$48&gt;SUM($P$48:AB48),AC48&gt;($O$48/7)),"",IF(AND(AC48&lt;&gt;0,$B$48=$B$49,$O$49&gt;(SUM($P$48:AB48))),"",(IF($N$49&gt;$O$49+(SUM($P$49:AB49)),$O$49,$N$49-(SUM($P$49:AB49)))))))</f>
        <v>0</v>
      </c>
      <c r="AD49" s="3">
        <f>IF($I$49&gt;1,VLOOKUP($B$49,PROGRAMACION1,13,0),IF(AND($H$48=$H$49,$N$48&gt;SUM($P$48:AC48),AD48&gt;($O$48/7)),"",IF(AND(AD48&lt;&gt;0,$B$48=$B$49,$O$49&gt;(SUM($P$48:AC48))),"",(IF($N$49&gt;$O$49+(SUM($P$49:AC49)),$O$49,$N$49-(SUM($P$49:AC49)))))))</f>
        <v>0</v>
      </c>
      <c r="AE49" s="3">
        <f>IF($I$49&gt;1,VLOOKUP($B$49,PROGRAMACION1,13,0),IF(AND($H$48=$H$49,$N$48&gt;SUM($P$48:AD48),AE48&gt;($O$48/7)),"",IF(AND(AE48&lt;&gt;0,$B$48=$B$49,$O$49&gt;(SUM($P$48:AD48))),"",(IF($N$49&gt;$O$49+(SUM($P$49:AD49)),$O$49,$N$49-(SUM($P$49:AD49)))))))</f>
        <v>0</v>
      </c>
      <c r="AF49" s="3">
        <f>IF($I$49&gt;1,VLOOKUP($B$49,PROGRAMACION1,13,0),IF(AND($H$48=$H$49,$N$48&gt;SUM($P$48:AE48),AF48&gt;($O$48/7)),"",IF(AND(AF48&lt;&gt;0,$B$48=$B$49,$O$49&gt;(SUM($P$48:AE48))),"",(IF($N$49&gt;$O$49+(SUM($P$49:AE49)),$O$49,$N$49-(SUM($P$49:AE49)))))))</f>
        <v>0</v>
      </c>
      <c r="AG49" s="3">
        <f>IF($I$49&gt;1,VLOOKUP($B$49,PROGRAMACION1,13,0),IF(AND($H$48=$H$49,$N$48&gt;SUM($P$48:AF48),AG48&gt;($O$48/7)),"",IF(AND(AG48&lt;&gt;0,$B$48=$B$49,$O$49&gt;(SUM($P$48:AF48))),"",(IF($N$49&gt;$O$49+(SUM($P$49:AF49)),$O$49,$N$49-(SUM($P$49:AF49)))))))</f>
        <v>0</v>
      </c>
      <c r="AH49" s="3">
        <f>IF($I$49&gt;1,VLOOKUP($B$49,PROGRAMACION1,13,0),IF(AND($H$48=$H$49,$N$48&gt;SUM($P$48:AG48),AH48&gt;($O$48/7)),"",IF(AND(AH48&lt;&gt;0,$B$48=$B$49,$O$49&gt;(SUM($P$48:AG48))),"",(IF($N$49&gt;$O$49+(SUM($P$49:AG49)),$O$49,$N$49-(SUM($P$49:AG49)))))))</f>
        <v>0</v>
      </c>
      <c r="AI49" s="3">
        <f>IF($I$49&gt;1,VLOOKUP($B$49,PROGRAMACION1,13,0),IF(AND($H$48=$H$49,$N$48&gt;SUM($P$48:AH48),AI48&gt;($O$48/7)),"",IF(AND(AI48&lt;&gt;0,$B$48=$B$49,$O$49&gt;(SUM($P$48:AH48))),"",(IF($N$49&gt;$O$49+(SUM($P$49:AH49)),$O$49,$N$49-(SUM($P$49:AH49)))))))</f>
        <v>0</v>
      </c>
      <c r="AJ49" s="3">
        <f>IF($I$49&gt;1,VLOOKUP($B$49,PROGRAMACION1,13,0),IF(AND($H$48=$H$49,$N$48&gt;SUM($P$48:AI48),AJ48&gt;($O$48/7)),"",IF(AND(AJ48&lt;&gt;0,$B$48=$B$49,$O$49&gt;(SUM($P$48:AI48))),"",(IF($N$49&gt;$O$49+(SUM($P$49:AI49)),$O$49,$N$49-(SUM($P$49:AI49)))))))</f>
        <v>0</v>
      </c>
      <c r="AK49" s="3">
        <f>IF($I$49&gt;1,VLOOKUP($B$49,PROGRAMACION1,13,0),IF(AND($H$48=$H$49,$N$48&gt;SUM($P$48:AJ48),AK48&gt;($O$48/7)),"",IF(AND(AK48&lt;&gt;0,$B$48=$B$49,$O$49&gt;(SUM($P$48:AJ48))),"",(IF($N$49&gt;$O$49+(SUM($P$49:AJ49)),$O$49,$N$49-(SUM($P$49:AJ49)))))))</f>
        <v>0</v>
      </c>
      <c r="AL49" s="3">
        <f>IF($I$49&gt;1,VLOOKUP($B$49,PROGRAMACION1,13,0),IF(AND($H$48=$H$49,$N$48&gt;SUM($P$48:AK48),AL48&gt;($O$48/7)),"",IF(AND(AL48&lt;&gt;0,$B$48=$B$49,$O$49&gt;(SUM($P$48:AK48))),"",(IF($N$49&gt;$O$49+(SUM($P$49:AK49)),$O$49,$N$49-(SUM($P$49:AK49)))))))</f>
        <v>0</v>
      </c>
      <c r="AM49" s="3">
        <f>IF($I$49&gt;1,VLOOKUP($B$49,PROGRAMACION1,13,0),IF(AND($H$48=$H$49,$N$48&gt;SUM($P$48:AL48),AM48&gt;($O$48/7)),"",IF(AND(AM48&lt;&gt;0,$B$48=$B$49,$O$49&gt;(SUM($P$48:AL48))),"",(IF($N$49&gt;$O$49+(SUM($P$49:AL49)),$O$49,$N$49-(SUM($P$49:AL49)))))))</f>
        <v>0</v>
      </c>
      <c r="AN49" s="3">
        <f>IF($I$49&gt;1,VLOOKUP($B$49,PROGRAMACION1,13,0),IF(AND($H$48=$H$49,$N$48&gt;SUM($P$48:AM48),AN48&gt;($O$48/7)),"",IF(AND(AN48&lt;&gt;0,$B$48=$B$49,$O$49&gt;(SUM($P$48:AM48))),"",(IF($N$49&gt;$O$49+(SUM($P$49:AM49)),$O$49,$N$49-(SUM($P$49:AM49)))))))</f>
        <v>0</v>
      </c>
      <c r="AO49" s="3">
        <f>IF($I$49&gt;1,VLOOKUP($B$49,PROGRAMACION1,13,0),IF(AND($H$48=$H$49,$N$48&gt;SUM($P$48:AN48),AO48&gt;($O$48/7)),"",IF(AND(AO48&lt;&gt;0,$B$48=$B$49,$O$49&gt;(SUM($P$48:AN48))),"",(IF($N$49&gt;$O$49+(SUM($P$49:AN49)),$O$49,$N$49-(SUM($P$49:AN49)))))))</f>
        <v>0</v>
      </c>
      <c r="AP49" s="3">
        <f>IF($I$49&gt;1,VLOOKUP($B$49,PROGRAMACION1,13,0),IF(AND($H$48=$H$49,$N$48&gt;SUM($P$48:AO48),AP48&gt;($O$48/7)),"",IF(AND(AP48&lt;&gt;0,$B$48=$B$49,$O$49&gt;(SUM($P$48:AO48))),"",(IF($N$49&gt;$O$49+(SUM($P$49:AO49)),$O$49,$N$49-(SUM($P$49:AO49)))))))</f>
        <v>0</v>
      </c>
      <c r="AQ49" s="3">
        <f>IF($I$49&gt;1,VLOOKUP($B$49,PROGRAMACION1,13,0),IF(AND($H$48=$H$49,$N$48&gt;SUM($P$48:AP48),AQ48&gt;($O$48/7)),"",IF(AND(AQ48&lt;&gt;0,$B$48=$B$49,$O$49&gt;(SUM($P$48:AP48))),"",(IF($N$49&gt;$O$49+(SUM($P$49:AP49)),$O$49,$N$49-(SUM($P$49:AP49)))))))</f>
        <v>0</v>
      </c>
      <c r="AR49" s="3">
        <f>IF($I$49&gt;1,VLOOKUP($B$49,PROGRAMACION1,13,0),IF(AND($H$48=$H$49,$N$48&gt;SUM($P$48:AQ48),AR48&gt;($O$48/7)),"",IF(AND(AR48&lt;&gt;0,$B$48=$B$49,$O$49&gt;(SUM($P$48:AQ48))),"",(IF($N$49&gt;$O$49+(SUM($P$49:AQ49)),$O$49,$N$49-(SUM($P$49:AQ49)))))))</f>
        <v>0</v>
      </c>
      <c r="AS49" s="3">
        <f>IF($I$49&gt;1,VLOOKUP($B$49,PROGRAMACION1,13,0),IF(AND($H$48=$H$49,$N$48&gt;SUM($P$48:AR48),AS48&gt;($O$48/7)),"",IF(AND(AS48&lt;&gt;0,$B$48=$B$49,$O$49&gt;(SUM($P$48:AR48))),"",(IF($N$49&gt;$O$49+(SUM($P$49:AR49)),$O$49,$N$49-(SUM($P$49:AR49)))))))</f>
        <v>0</v>
      </c>
      <c r="AT49" s="3">
        <f>IF($I$49&gt;1,VLOOKUP($B$49,PROGRAMACION1,13,0),IF(AND($H$48=$H$49,$N$48&gt;SUM($P$48:AS48),AT48&gt;($O$48/7)),"",IF(AND(AT48&lt;&gt;0,$B$48=$B$49,$O$49&gt;(SUM($P$48:AS48))),"",(IF($N$49&gt;$O$49+(SUM($P$49:AS49)),$O$49,$N$49-(SUM($P$49:AS49)))))))</f>
        <v>0</v>
      </c>
      <c r="AU49" s="3">
        <f>IF($I$49&gt;1,VLOOKUP($B$49,PROGRAMACION1,13,0),IF(AND($H$48=$H$49,$N$48&gt;SUM($P$48:AT48),AU48&gt;($O$48/7)),"",IF(AND(AU48&lt;&gt;0,$B$48=$B$49,$O$49&gt;(SUM($P$48:AT48))),"",(IF($N$49&gt;$O$49+(SUM($P$49:AT49)),$O$49,$N$49-(SUM($P$49:AT49)))))))</f>
        <v>0</v>
      </c>
      <c r="AV49" s="3">
        <f>IF($I$49&gt;1,VLOOKUP($B$49,PROGRAMACION1,13,0),IF(AND($H$48=$H$49,$N$48&gt;SUM($P$48:AU48),AV48&gt;($O$48/7)),"",IF(AND(AV48&lt;&gt;0,$B$48=$B$49,$O$49&gt;(SUM($P$48:AU48))),"",(IF($N$49&gt;$O$49+(SUM($P$49:AU49)),$O$49,$N$49-(SUM($P$49:AU49)))))))</f>
        <v>0</v>
      </c>
      <c r="AW49" s="3">
        <f>IF($I$49&gt;1,VLOOKUP($B$49,PROGRAMACION1,13,0),IF(AND($H$48=$H$49,$N$48&gt;SUM($P$48:AV48),AW48&gt;($O$48/7)),"",IF(AND(AW48&lt;&gt;0,$B$48=$B$49,$O$49&gt;(SUM($P$48:AV48))),"",(IF($N$49&gt;$O$49+(SUM($P$49:AV49)),$O$49,$N$49-(SUM($P$49:AV49)))))))</f>
        <v>0</v>
      </c>
      <c r="AX49" s="3">
        <f>IF($I$49&gt;1,VLOOKUP($B$49,PROGRAMACION1,13,0),IF(AND($H$48=$H$49,$N$48&gt;SUM($P$48:AW48),AX48&gt;($O$48/7)),"",IF(AND(AX48&lt;&gt;0,$B$48=$B$49,$O$49&gt;(SUM($P$48:AW48))),"",(IF($N$49&gt;$O$49+(SUM($P$49:AW49)),$O$49,$N$49-(SUM($P$49:AW49)))))))</f>
        <v>0</v>
      </c>
      <c r="AY49" s="3">
        <f>IF($I$49&gt;1,VLOOKUP($B$49,PROGRAMACION1,13,0),IF(AND($H$48=$H$49,$N$48&gt;SUM($P$48:AX48),AY48&gt;($O$48/7)),"",IF(AND(AY48&lt;&gt;0,$B$48=$B$49,$O$49&gt;(SUM($P$48:AX48))),"",(IF($N$49&gt;$O$49+(SUM($P$49:AX49)),$O$49,$N$49-(SUM($P$49:AX49)))))))</f>
        <v>0</v>
      </c>
      <c r="AZ49" s="3">
        <f>IF($I$49&gt;1,VLOOKUP($B$49,PROGRAMACION1,13,0),IF(AND($H$48=$H$49,$N$48&gt;SUM($P$48:AY48),AZ48&gt;($O$48/7)),"",IF(AND(AZ48&lt;&gt;0,$B$48=$B$49,$O$49&gt;(SUM($P$48:AY48))),"",(IF($N$49&gt;$O$49+(SUM($P$49:AY49)),$O$49,$N$49-(SUM($P$49:AY49)))))))</f>
        <v>0</v>
      </c>
      <c r="BA49" s="3">
        <f>IF($I$49&gt;1,VLOOKUP($B$49,PROGRAMACION1,13,0),IF(AND($H$48=$H$49,$N$48&gt;SUM($P$48:AZ48),BA48&gt;($O$48/7)),"",IF(AND(BA48&lt;&gt;0,$B$48=$B$49,$O$49&gt;(SUM($P$48:AZ48))),"",(IF($N$49&gt;$O$49+(SUM($P$49:AZ49)),$O$49,$N$49-(SUM($P$49:AZ49)))))))</f>
        <v>0</v>
      </c>
      <c r="BB49" s="3">
        <f>IF($I$49&gt;1,VLOOKUP($B$49,PROGRAMACION1,13,0),IF(AND($H$48=$H$49,$N$48&gt;SUM($P$48:BA48),BB48&gt;($O$48/7)),"",IF(AND(BB48&lt;&gt;0,$B$48=$B$49,$O$49&gt;(SUM($P$48:BA48))),"",(IF($N$49&gt;$O$49+(SUM($P$49:BA49)),$O$49,$N$49-(SUM($P$49:BA49)))))))</f>
        <v>0</v>
      </c>
      <c r="BC49" s="3">
        <f>IF($I$49&gt;1,VLOOKUP($B$49,PROGRAMACION1,13,0),IF(AND($H$48=$H$49,$N$48&gt;SUM($P$48:BB48),BC48&gt;($O$48/7)),"",IF(AND(BC48&lt;&gt;0,$B$48=$B$49,$O$49&gt;(SUM($P$48:BB48))),"",(IF($N$49&gt;$O$49+(SUM($P$49:BB49)),$O$49,$N$49-(SUM($P$49:BB49)))))))</f>
        <v>0</v>
      </c>
      <c r="BD49" s="3">
        <f>IF($I$49&gt;1,VLOOKUP($B$49,PROGRAMACION1,13,0),IF(AND($H$48=$H$49,$N$48&gt;SUM($P$48:BC48),BD48&gt;($O$48/7)),"",IF(AND(BD48&lt;&gt;0,$B$48=$B$49,$O$49&gt;(SUM($P$48:BC48))),"",(IF($N$49&gt;$O$49+(SUM($P$49:BC49)),$O$49,$N$49-(SUM($P$49:BC49)))))))</f>
        <v>0</v>
      </c>
      <c r="BE49" s="3">
        <f>IF($I$49&gt;1,VLOOKUP($B$49,PROGRAMACION1,13,0),IF(AND($H$48=$H$49,$N$48&gt;SUM($P$48:BD48),BE48&gt;($O$48/7)),"",IF(AND(BE48&lt;&gt;0,$B$48=$B$49,$O$49&gt;(SUM($P$48:BD48))),"",(IF($N$49&gt;$O$49+(SUM($P$49:BD49)),$O$49,$N$49-(SUM($P$49:BD49)))))))</f>
        <v>0</v>
      </c>
      <c r="BF49" s="3">
        <f>IF($I$49&gt;1,VLOOKUP($B$49,PROGRAMACION1,13,0),IF(AND($H$48=$H$49,$N$48&gt;SUM($P$48:BE48),BF48&gt;($O$48/7)),"",IF(AND(BF48&lt;&gt;0,$B$48=$B$49,$O$49&gt;(SUM($P$48:BE48))),"",(IF($N$49&gt;$O$49+(SUM($P$49:BE49)),$O$49,$N$49-(SUM($P$49:BE49)))))))</f>
        <v>0</v>
      </c>
      <c r="BG49" s="3">
        <f>IF($I$49&gt;1,VLOOKUP($B$49,PROGRAMACION1,13,0),IF(AND($H$48=$H$49,$N$48&gt;SUM($P$48:BF48),BG48&gt;($O$48/7)),"",IF(AND(BG48&lt;&gt;0,$B$48=$B$49,$O$49&gt;(SUM($P$48:BF48))),"",(IF($N$49&gt;$O$49+(SUM($P$49:BF49)),$O$49,$N$49-(SUM($P$49:BF49)))))))</f>
        <v>0</v>
      </c>
      <c r="BH49" s="3">
        <f>IF($I$49&gt;1,VLOOKUP($B$49,PROGRAMACION1,13,0),IF(AND($H$48=$H$49,$N$48&gt;SUM($P$48:BG48),BH48&gt;($O$48/7)),"",IF(AND(BH48&lt;&gt;0,$B$48=$B$49,$O$49&gt;(SUM($P$48:BG48))),"",(IF($N$49&gt;$O$49+(SUM($P$49:BG49)),$O$49,$N$49-(SUM($P$49:BG49)))))))</f>
        <v>0</v>
      </c>
      <c r="BI49" s="3">
        <f>IF($I$49&gt;1,VLOOKUP($B$49,PROGRAMACION1,13,0),IF(AND($H$48=$H$49,$N$48&gt;SUM($P$48:BH48),BI48&gt;($O$48/7)),"",IF(AND(BI48&lt;&gt;0,$B$48=$B$49,$O$49&gt;(SUM($P$48:BH48))),"",(IF($N$49&gt;$O$49+(SUM($P$49:BH49)),$O$49,$N$49-(SUM($P$49:BH49)))))))</f>
        <v>0</v>
      </c>
      <c r="BJ49" s="3">
        <f>IF($I$49&gt;1,VLOOKUP($B$49,PROGRAMACION1,13,0),IF(AND($H$48=$H$49,$N$48&gt;SUM($P$48:BI48),BJ48&gt;($O$48/7)),"",IF(AND(BJ48&lt;&gt;0,$B$48=$B$49,$O$49&gt;(SUM($P$48:BI48))),"",(IF($N$49&gt;$O$49+(SUM($P$49:BI49)),$O$49,$N$49-(SUM($P$49:BI49)))))))</f>
        <v>0</v>
      </c>
      <c r="BK49" s="3">
        <f>IF($I$49&gt;1,VLOOKUP($B$49,PROGRAMACION1,13,0),IF(AND($H$48=$H$49,$N$48&gt;SUM($P$48:BJ48),BK48&gt;($O$48/7)),"",IF(AND(BK48&lt;&gt;0,$B$48=$B$49,$O$49&gt;(SUM($P$48:BJ48))),"",(IF($N$49&gt;$O$49+(SUM($P$49:BJ49)),$O$49,$N$49-(SUM($P$49:BJ49)))))))</f>
        <v>0</v>
      </c>
      <c r="BL49" s="3">
        <f>IF($I$49&gt;1,VLOOKUP($B$49,PROGRAMACION1,13,0),IF(AND($H$48=$H$49,$N$48&gt;SUM($P$48:BK48),BL48&gt;($O$48/7)),"",IF(AND(BL48&lt;&gt;0,$B$48=$B$49,$O$49&gt;(SUM($P$48:BK48))),"",(IF($N$49&gt;$O$49+(SUM($P$49:BK49)),$O$49,$N$49-(SUM($P$49:BK49)))))))</f>
        <v>0</v>
      </c>
      <c r="BM49" s="3">
        <f>IF($I$49&gt;1,VLOOKUP($B$49,PROGRAMACION1,13,0),IF(AND($H$48=$H$49,$N$48&gt;SUM($P$48:BL48),BM48&gt;($O$48/7)),"",IF(AND(BM48&lt;&gt;0,$B$48=$B$49,$O$49&gt;(SUM($P$48:BL48))),"",(IF($N$49&gt;$O$49+(SUM($P$49:BL49)),$O$49,$N$49-(SUM($P$49:BL49)))))))</f>
        <v>0</v>
      </c>
      <c r="BN49" s="3">
        <f>IF($I$49&gt;1,VLOOKUP($B$49,PROGRAMACION1,13,0),IF(AND($H$48=$H$49,$N$48&gt;SUM($P$48:BM48),BN48&gt;($O$48/7)),"",IF(AND(BN48&lt;&gt;0,$B$48=$B$49,$O$49&gt;(SUM($P$48:BM48))),"",(IF($N$49&gt;$O$49+(SUM($P$49:BM49)),$O$49,$N$49-(SUM($P$49:BM49)))))))</f>
        <v>0</v>
      </c>
      <c r="BO49" s="3">
        <f>IF($I$49&gt;1,VLOOKUP($B$49,PROGRAMACION1,13,0),IF(AND($H$48=$H$49,$N$48&gt;SUM($P$48:BN48),BO48&gt;($O$48/7)),"",IF(AND(BO48&lt;&gt;0,$B$48=$B$49,$O$49&gt;(SUM($P$48:BN48))),"",(IF($N$49&gt;$O$49+(SUM($P$49:BN49)),$O$49,$N$49-(SUM($P$49:BN49)))))))</f>
        <v>0</v>
      </c>
      <c r="BP49" s="3">
        <f>IF($I$49&gt;1,VLOOKUP($B$49,PROGRAMACION1,13,0),IF(AND($H$48=$H$49,$N$48&gt;SUM($P$48:BO48),BP48&gt;($O$48/7)),"",IF(AND(BP48&lt;&gt;0,$B$48=$B$49,$O$49&gt;(SUM($P$48:BO48))),"",(IF($N$49&gt;$O$49+(SUM($P$49:BO49)),$O$49,$N$49-(SUM($P$49:BO49)))))))</f>
        <v>0</v>
      </c>
      <c r="BQ49" s="3">
        <f>IF($I$49&gt;1,VLOOKUP($B$49,PROGRAMACION1,13,0),IF(AND($H$48=$H$49,$N$48&gt;SUM($P$48:BP48),BQ48&gt;($O$48/7)),"",IF(AND(BQ48&lt;&gt;0,$B$48=$B$49,$O$49&gt;(SUM($P$48:BP48))),"",(IF($N$49&gt;$O$49+(SUM($P$49:BP49)),$O$49,$N$49-(SUM($P$49:BP49)))))))</f>
        <v>0</v>
      </c>
      <c r="BR49" s="3">
        <f>IF($I$49&gt;1,VLOOKUP($B$49,PROGRAMACION1,13,0),IF(AND($H$48=$H$49,$N$48&gt;SUM($P$48:BQ48),BR48&gt;($O$48/7)),"",IF(AND(BR48&lt;&gt;0,$B$48=$B$49,$O$49&gt;(SUM($P$48:BQ48))),"",(IF($N$49&gt;$O$49+(SUM($P$49:BQ49)),$O$49,$N$49-(SUM($P$49:BQ49)))))))</f>
        <v>0</v>
      </c>
      <c r="BS49" s="3">
        <f>IF($I$49&gt;1,VLOOKUP($B$49,PROGRAMACION1,13,0),IF(AND($H$48=$H$49,$N$48&gt;SUM($P$48:BR48),BS48&gt;($O$48/7)),"",IF(AND(BS48&lt;&gt;0,$B$48=$B$49,$O$49&gt;(SUM($P$48:BR48))),"",(IF($N$49&gt;$O$49+(SUM($P$49:BR49)),$O$49,$N$49-(SUM($P$49:BR49)))))))</f>
        <v>0</v>
      </c>
      <c r="BT49" s="3">
        <f>IF($I$49&gt;1,VLOOKUP($B$49,PROGRAMACION1,13,0),IF(AND($H$48=$H$49,$N$48&gt;SUM($P$48:BS48),BT48&gt;($O$48/7)),"",IF(AND(BT48&lt;&gt;0,$B$48=$B$49,$O$49&gt;(SUM($P$48:BS48))),"",(IF($N$49&gt;$O$49+(SUM($P$49:BS49)),$O$49,$N$49-(SUM($P$49:BS49)))))))</f>
        <v>0</v>
      </c>
      <c r="BU49" s="3">
        <f>IF($I$49&gt;1,VLOOKUP($B$49,PROGRAMACION1,13,0),IF(AND($H$48=$H$49,$N$48&gt;SUM($P$48:BT48),BU48&gt;($O$48/7)),"",IF(AND(BU48&lt;&gt;0,$B$48=$B$49,$O$49&gt;(SUM($P$48:BT48))),"",(IF($N$49&gt;$O$49+(SUM($P$49:BT49)),$O$49,$N$49-(SUM($P$49:BT49)))))))</f>
        <v>0</v>
      </c>
      <c r="BV49" s="3">
        <f>IF($I$49&gt;1,VLOOKUP($B$49,PROGRAMACION1,13,0),IF(AND($H$48=$H$49,$N$48&gt;SUM($P$48:BU48),BV48&gt;($O$48/7)),"",IF(AND(BV48&lt;&gt;0,$B$48=$B$49,$O$49&gt;(SUM($P$48:BU48))),"",(IF($N$49&gt;$O$49+(SUM($P$49:BU49)),$O$49,$N$49-(SUM($P$49:BU49)))))))</f>
        <v>0</v>
      </c>
      <c r="BW49" s="3">
        <f>IF($I$49&gt;1,VLOOKUP($B$49,PROGRAMACION1,13,0),IF(AND($H$48=$H$49,$N$48&gt;SUM($P$48:BV48),BW48&gt;($O$48/7)),"",IF(AND(BW48&lt;&gt;0,$B$48=$B$49,$O$49&gt;(SUM($P$48:BV48))),"",(IF($N$49&gt;$O$49+(SUM($P$49:BV49)),$O$49,$N$49-(SUM($P$49:BV49)))))))</f>
        <v>0</v>
      </c>
    </row>
    <row r="50" spans="1:75" x14ac:dyDescent="0.25">
      <c r="A50" s="81">
        <v>43</v>
      </c>
      <c r="B50">
        <f>IF(A50&gt;0,FABRICAR!F44,NA())</f>
        <v>0</v>
      </c>
      <c r="C50">
        <f>IF(A50&gt;0,FABRICAR!G44,NA())</f>
        <v>0</v>
      </c>
      <c r="D50" s="1" t="e">
        <f t="shared" si="109"/>
        <v>#N/A</v>
      </c>
      <c r="E50" t="e">
        <f>IF(A50&gt;0,FABRICAR!P44,"")</f>
        <v>#N/A</v>
      </c>
      <c r="F50">
        <f t="shared" si="112"/>
        <v>0</v>
      </c>
      <c r="H50">
        <f>IF(B50=0,B50,IF(A50&gt;0,FABRICAR!H44,NA()))</f>
        <v>0</v>
      </c>
      <c r="I50">
        <f>IF(B50=0,B50,IF(A50&gt;0,FABRICAR!B44,NA()))</f>
        <v>0</v>
      </c>
      <c r="J50" s="75">
        <f>IF(B50=0,B50,'PROGRAM SALDO '!J46)</f>
        <v>0</v>
      </c>
      <c r="K50" s="82">
        <v>642</v>
      </c>
      <c r="L50">
        <f>IF(A50&gt;0,FABRICAR!J44,NA())</f>
        <v>0</v>
      </c>
      <c r="M50" s="9">
        <f t="shared" si="111"/>
        <v>0</v>
      </c>
      <c r="N50">
        <f>IF(A50&gt;0,FABRICAR!L44,NA())</f>
        <v>0</v>
      </c>
      <c r="O50">
        <f>IF(B50=0,B50,IF(A50&gt;0,FABRICAR!M44,"")*9)</f>
        <v>0</v>
      </c>
      <c r="P50" t="str">
        <f t="shared" si="113"/>
        <v/>
      </c>
      <c r="Q50" s="3">
        <f>IF($I$50&gt;1,VLOOKUP($B$50,PROGRAMACION1,13,0),IF(AND($H$49=$H$50,$N$49&gt;SUM($P$49:P49),Q49&gt;($O$49/7)),"",IF(AND(Q49&lt;&gt;0,$B$49=$B$50,$O$50&gt;(SUM($P$49:P49))),"",(IF($N$50&gt;$O$50+(SUM($P$50:P50)),$O$50,$N$50-(SUM($P$50:P50)))))))</f>
        <v>0</v>
      </c>
      <c r="R50" s="3">
        <f>IF($I$50&gt;1,VLOOKUP($B$50,PROGRAMACION1,13,0),IF(AND($H$49=$H$50,$N$49&gt;SUM($P$49:Q49),R49&gt;($O$49/7)),"",IF(AND(R49&lt;&gt;0,$B$49=$B$50,$O$50&gt;(SUM($P$49:Q49))),"",(IF($N$50&gt;$O$50+(SUM($P$50:Q50)),$O$50,$N$50-(SUM($P$50:Q50)))))))</f>
        <v>0</v>
      </c>
      <c r="S50" s="3">
        <f>IF($I$50&gt;1,VLOOKUP($B$50,PROGRAMACION1,13,0),IF(AND($H$49=$H$50,$N$49&gt;SUM($P$49:R49),S49&gt;($O$49/7)),"",IF(AND(S49&lt;&gt;0,$B$49=$B$50,$O$50&gt;(SUM($P$49:R49))),"",(IF($N$50&gt;$O$50+(SUM($P$50:R50)),$O$50,$N$50-(SUM($P$50:R50)))))))</f>
        <v>0</v>
      </c>
      <c r="T50" s="3">
        <f>IF($I$50&gt;1,VLOOKUP($B$50,PROGRAMACION1,13,0),IF(AND($H$49=$H$50,$N$49&gt;SUM($P$49:S49),T49&gt;($O$49/7)),"",IF(AND(T49&lt;&gt;0,$B$49=$B$50,$O$50&gt;(SUM($P$49:S49))),"",(IF($N$50&gt;$O$50+(SUM($P$50:S50)),$O$50,$N$50-(SUM($P$50:S50)))))))</f>
        <v>0</v>
      </c>
      <c r="U50" s="3">
        <f>IF($I$50&gt;1,VLOOKUP($B$50,PROGRAMACION1,13,0),IF(AND($H$49=$H$50,$N$49&gt;SUM($P$49:T49),U49&gt;($O$49/7)),"",IF(AND(U49&lt;&gt;0,$B$49=$B$50,$O$50&gt;(SUM($P$49:T49))),"",(IF($N$50&gt;$O$50+(SUM($P$50:T50)),$O$50,$N$50-(SUM($P$50:T50)))))))</f>
        <v>0</v>
      </c>
      <c r="V50" s="3">
        <f>IF($I$50&gt;1,VLOOKUP($B$50,PROGRAMACION1,13,0),IF(AND($H$49=$H$50,$N$49&gt;SUM($P$49:U49),V49&gt;($O$49/7)),"",IF(AND(V49&lt;&gt;0,$B$49=$B$50,$O$50&gt;(SUM($P$49:U49))),"",(IF($N$50&gt;$O$50+(SUM($P$50:U50)),$O$50,$N$50-(SUM($P$50:U50)))))))</f>
        <v>0</v>
      </c>
      <c r="W50" s="3">
        <f>IF($I$50&gt;1,VLOOKUP($B$50,PROGRAMACION1,13,0),IF(AND($H$49=$H$50,$N$49&gt;SUM($P$49:V49),W49&gt;($O$49/7)),"",IF(AND(W49&lt;&gt;0,$B$49=$B$50,$O$50&gt;(SUM($P$49:V49))),"",(IF($N$50&gt;$O$50+(SUM($P$50:V50)),$O$50,$N$50-(SUM($P$50:V50)))))))</f>
        <v>0</v>
      </c>
      <c r="X50" s="3">
        <f>IF($I$50&gt;1,VLOOKUP($B$50,PROGRAMACION1,13,0),IF(AND($H$49=$H$50,$N$49&gt;SUM($P$49:W49),X49&gt;($O$49/7)),"",IF(AND(X49&lt;&gt;0,$B$49=$B$50,$O$50&gt;(SUM($P$49:W49))),"",(IF($N$50&gt;$O$50+(SUM($P$50:W50)),$O$50,$N$50-(SUM($P$50:W50)))))))</f>
        <v>0</v>
      </c>
      <c r="Y50" s="3">
        <f>IF($I$50&gt;1,VLOOKUP($B$50,PROGRAMACION1,13,0),IF(AND($H$49=$H$50,$N$49&gt;SUM($P$49:X49),Y49&gt;($O$49/7)),"",IF(AND(Y49&lt;&gt;0,$B$49=$B$50,$O$50&gt;(SUM($P$49:X49))),"",(IF($N$50&gt;$O$50+(SUM($P$50:X50)),$O$50,$N$50-(SUM($P$50:X50)))))))</f>
        <v>0</v>
      </c>
      <c r="Z50" s="3">
        <f>IF($I$50&gt;1,VLOOKUP($B$50,PROGRAMACION1,13,0),IF(AND($H$49=$H$50,$N$49&gt;SUM($P$49:Y49),Z49&gt;($O$49/7)),"",IF(AND(Z49&lt;&gt;0,$B$49=$B$50,$O$50&gt;(SUM($P$49:Y49))),"",(IF($N$50&gt;$O$50+(SUM($P$50:Y50)),$O$50,$N$50-(SUM($P$50:Y50)))))))</f>
        <v>0</v>
      </c>
      <c r="AA50" s="3">
        <f>IF($I$50&gt;1,VLOOKUP($B$50,PROGRAMACION1,13,0),IF(AND($H$49=$H$50,$N$49&gt;SUM($P$49:Z49),AA49&gt;($O$49/7)),"",IF(AND(AA49&lt;&gt;0,$B$49=$B$50,$O$50&gt;(SUM($P$49:Z49))),"",(IF($N$50&gt;$O$50+(SUM($P$50:Z50)),$O$50,$N$50-(SUM($P$50:Z50)))))))</f>
        <v>0</v>
      </c>
      <c r="AB50" s="3">
        <f>IF($I$50&gt;1,VLOOKUP($B$50,PROGRAMACION1,13,0),IF(AND($H$49=$H$50,$N$49&gt;SUM($P$49:AA49),AB49&gt;($O$49/7)),"",IF(AND(AB49&lt;&gt;0,$B$49=$B$50,$O$50&gt;(SUM($P$49:AA49))),"",(IF($N$50&gt;$O$50+(SUM($P$50:AA50)),$O$50,$N$50-(SUM($P$50:AA50)))))))</f>
        <v>0</v>
      </c>
      <c r="AC50" s="3">
        <f>IF($I$50&gt;1,VLOOKUP($B$50,PROGRAMACION1,13,0),IF(AND($H$49=$H$50,$N$49&gt;SUM($P$49:AB49),AC49&gt;($O$49/7)),"",IF(AND(AC49&lt;&gt;0,$B$49=$B$50,$O$50&gt;(SUM($P$49:AB49))),"",(IF($N$50&gt;$O$50+(SUM($P$50:AB50)),$O$50,$N$50-(SUM($P$50:AB50)))))))</f>
        <v>0</v>
      </c>
      <c r="AD50" s="3">
        <f>IF($I$50&gt;1,VLOOKUP($B$50,PROGRAMACION1,13,0),IF(AND($H$49=$H$50,$N$49&gt;SUM($P$49:AC49),AD49&gt;($O$49/7)),"",IF(AND(AD49&lt;&gt;0,$B$49=$B$50,$O$50&gt;(SUM($P$49:AC49))),"",(IF($N$50&gt;$O$50+(SUM($P$50:AC50)),$O$50,$N$50-(SUM($P$50:AC50)))))))</f>
        <v>0</v>
      </c>
      <c r="AE50" s="3">
        <f>IF($I$50&gt;1,VLOOKUP($B$50,PROGRAMACION1,13,0),IF(AND($H$49=$H$50,$N$49&gt;SUM($P$49:AD49),AE49&gt;($O$49/7)),"",IF(AND(AE49&lt;&gt;0,$B$49=$B$50,$O$50&gt;(SUM($P$49:AD49))),"",(IF($N$50&gt;$O$50+(SUM($P$50:AD50)),$O$50,$N$50-(SUM($P$50:AD50)))))))</f>
        <v>0</v>
      </c>
      <c r="AF50" s="3">
        <f>IF($I$50&gt;1,VLOOKUP($B$50,PROGRAMACION1,13,0),IF(AND($H$49=$H$50,$N$49&gt;SUM($P$49:AE49),AF49&gt;($O$49/7)),"",IF(AND(AF49&lt;&gt;0,$B$49=$B$50,$O$50&gt;(SUM($P$49:AE49))),"",(IF($N$50&gt;$O$50+(SUM($P$50:AE50)),$O$50,$N$50-(SUM($P$50:AE50)))))))</f>
        <v>0</v>
      </c>
      <c r="AG50" s="3">
        <f>IF($I$50&gt;1,VLOOKUP($B$50,PROGRAMACION1,13,0),IF(AND($H$49=$H$50,$N$49&gt;SUM($P$49:AF49),AG49&gt;($O$49/7)),"",IF(AND(AG49&lt;&gt;0,$B$49=$B$50,$O$50&gt;(SUM($P$49:AF49))),"",(IF($N$50&gt;$O$50+(SUM($P$50:AF50)),$O$50,$N$50-(SUM($P$50:AF50)))))))</f>
        <v>0</v>
      </c>
      <c r="AH50" s="3">
        <f>IF($I$50&gt;1,VLOOKUP($B$50,PROGRAMACION1,13,0),IF(AND($H$49=$H$50,$N$49&gt;SUM($P$49:AG49),AH49&gt;($O$49/7)),"",IF(AND(AH49&lt;&gt;0,$B$49=$B$50,$O$50&gt;(SUM($P$49:AG49))),"",(IF($N$50&gt;$O$50+(SUM($P$50:AG50)),$O$50,$N$50-(SUM($P$50:AG50)))))))</f>
        <v>0</v>
      </c>
      <c r="AI50" s="3">
        <f>IF($I$50&gt;1,VLOOKUP($B$50,PROGRAMACION1,13,0),IF(AND($H$49=$H$50,$N$49&gt;SUM($P$49:AH49),AI49&gt;($O$49/7)),"",IF(AND(AI49&lt;&gt;0,$B$49=$B$50,$O$50&gt;(SUM($P$49:AH49))),"",(IF($N$50&gt;$O$50+(SUM($P$50:AH50)),$O$50,$N$50-(SUM($P$50:AH50)))))))</f>
        <v>0</v>
      </c>
      <c r="AJ50" s="3">
        <f>IF($I$50&gt;1,VLOOKUP($B$50,PROGRAMACION1,13,0),IF(AND($H$49=$H$50,$N$49&gt;SUM($P$49:AI49),AJ49&gt;($O$49/7)),"",IF(AND(AJ49&lt;&gt;0,$B$49=$B$50,$O$50&gt;(SUM($P$49:AI49))),"",(IF($N$50&gt;$O$50+(SUM($P$50:AI50)),$O$50,$N$50-(SUM($P$50:AI50)))))))</f>
        <v>0</v>
      </c>
      <c r="AK50" s="3">
        <f>IF($I$50&gt;1,VLOOKUP($B$50,PROGRAMACION1,13,0),IF(AND($H$49=$H$50,$N$49&gt;SUM($P$49:AJ49),AK49&gt;($O$49/7)),"",IF(AND(AK49&lt;&gt;0,$B$49=$B$50,$O$50&gt;(SUM($P$49:AJ49))),"",(IF($N$50&gt;$O$50+(SUM($P$50:AJ50)),$O$50,$N$50-(SUM($P$50:AJ50)))))))</f>
        <v>0</v>
      </c>
      <c r="AL50" s="3">
        <f>IF($I$50&gt;1,VLOOKUP($B$50,PROGRAMACION1,13,0),IF(AND($H$49=$H$50,$N$49&gt;SUM($P$49:AK49),AL49&gt;($O$49/7)),"",IF(AND(AL49&lt;&gt;0,$B$49=$B$50,$O$50&gt;(SUM($P$49:AK49))),"",(IF($N$50&gt;$O$50+(SUM($P$50:AK50)),$O$50,$N$50-(SUM($P$50:AK50)))))))</f>
        <v>0</v>
      </c>
      <c r="AM50" s="3">
        <f>IF($I$50&gt;1,VLOOKUP($B$50,PROGRAMACION1,13,0),IF(AND($H$49=$H$50,$N$49&gt;SUM($P$49:AL49),AM49&gt;($O$49/7)),"",IF(AND(AM49&lt;&gt;0,$B$49=$B$50,$O$50&gt;(SUM($P$49:AL49))),"",(IF($N$50&gt;$O$50+(SUM($P$50:AL50)),$O$50,$N$50-(SUM($P$50:AL50)))))))</f>
        <v>0</v>
      </c>
      <c r="AN50" s="3">
        <f>IF($I$50&gt;1,VLOOKUP($B$50,PROGRAMACION1,13,0),IF(AND($H$49=$H$50,$N$49&gt;SUM($P$49:AM49),AN49&gt;($O$49/7)),"",IF(AND(AN49&lt;&gt;0,$B$49=$B$50,$O$50&gt;(SUM($P$49:AM49))),"",(IF($N$50&gt;$O$50+(SUM($P$50:AM50)),$O$50,$N$50-(SUM($P$50:AM50)))))))</f>
        <v>0</v>
      </c>
      <c r="AO50" s="3">
        <f>IF($I$50&gt;1,VLOOKUP($B$50,PROGRAMACION1,13,0),IF(AND($H$49=$H$50,$N$49&gt;SUM($P$49:AN49),AO49&gt;($O$49/7)),"",IF(AND(AO49&lt;&gt;0,$B$49=$B$50,$O$50&gt;(SUM($P$49:AN49))),"",(IF($N$50&gt;$O$50+(SUM($P$50:AN50)),$O$50,$N$50-(SUM($P$50:AN50)))))))</f>
        <v>0</v>
      </c>
      <c r="AP50" s="3">
        <f>IF($I$50&gt;1,VLOOKUP($B$50,PROGRAMACION1,13,0),IF(AND($H$49=$H$50,$N$49&gt;SUM($P$49:AO49),AP49&gt;($O$49/7)),"",IF(AND(AP49&lt;&gt;0,$B$49=$B$50,$O$50&gt;(SUM($P$49:AO49))),"",(IF($N$50&gt;$O$50+(SUM($P$50:AO50)),$O$50,$N$50-(SUM($P$50:AO50)))))))</f>
        <v>0</v>
      </c>
      <c r="AQ50" s="3">
        <f>IF($I$50&gt;1,VLOOKUP($B$50,PROGRAMACION1,13,0),IF(AND($H$49=$H$50,$N$49&gt;SUM($P$49:AP49),AQ49&gt;($O$49/7)),"",IF(AND(AQ49&lt;&gt;0,$B$49=$B$50,$O$50&gt;(SUM($P$49:AP49))),"",(IF($N$50&gt;$O$50+(SUM($P$50:AP50)),$O$50,$N$50-(SUM($P$50:AP50)))))))</f>
        <v>0</v>
      </c>
      <c r="AR50" s="3">
        <f>IF($I$50&gt;1,VLOOKUP($B$50,PROGRAMACION1,13,0),IF(AND($H$49=$H$50,$N$49&gt;SUM($P$49:AQ49),AR49&gt;($O$49/7)),"",IF(AND(AR49&lt;&gt;0,$B$49=$B$50,$O$50&gt;(SUM($P$49:AQ49))),"",(IF($N$50&gt;$O$50+(SUM($P$50:AQ50)),$O$50,$N$50-(SUM($P$50:AQ50)))))))</f>
        <v>0</v>
      </c>
      <c r="AS50" s="3">
        <f>IF($I$50&gt;1,VLOOKUP($B$50,PROGRAMACION1,13,0),IF(AND($H$49=$H$50,$N$49&gt;SUM($P$49:AR49),AS49&gt;($O$49/7)),"",IF(AND(AS49&lt;&gt;0,$B$49=$B$50,$O$50&gt;(SUM($P$49:AR49))),"",(IF($N$50&gt;$O$50+(SUM($P$50:AR50)),$O$50,$N$50-(SUM($P$50:AR50)))))))</f>
        <v>0</v>
      </c>
      <c r="AT50" s="3">
        <f>IF($I$50&gt;1,VLOOKUP($B$50,PROGRAMACION1,13,0),IF(AND($H$49=$H$50,$N$49&gt;SUM($P$49:AS49),AT49&gt;($O$49/7)),"",IF(AND(AT49&lt;&gt;0,$B$49=$B$50,$O$50&gt;(SUM($P$49:AS49))),"",(IF($N$50&gt;$O$50+(SUM($P$50:AS50)),$O$50,$N$50-(SUM($P$50:AS50)))))))</f>
        <v>0</v>
      </c>
      <c r="AU50" s="3">
        <f>IF($I$50&gt;1,VLOOKUP($B$50,PROGRAMACION1,13,0),IF(AND($H$49=$H$50,$N$49&gt;SUM($P$49:AT49),AU49&gt;($O$49/7)),"",IF(AND(AU49&lt;&gt;0,$B$49=$B$50,$O$50&gt;(SUM($P$49:AT49))),"",(IF($N$50&gt;$O$50+(SUM($P$50:AT50)),$O$50,$N$50-(SUM($P$50:AT50)))))))</f>
        <v>0</v>
      </c>
      <c r="AV50" s="3">
        <f>IF($I$50&gt;1,VLOOKUP($B$50,PROGRAMACION1,13,0),IF(AND($H$49=$H$50,$N$49&gt;SUM($P$49:AU49),AV49&gt;($O$49/7)),"",IF(AND(AV49&lt;&gt;0,$B$49=$B$50,$O$50&gt;(SUM($P$49:AU49))),"",(IF($N$50&gt;$O$50+(SUM($P$50:AU50)),$O$50,$N$50-(SUM($P$50:AU50)))))))</f>
        <v>0</v>
      </c>
      <c r="AW50" s="3">
        <f>IF($I$50&gt;1,VLOOKUP($B$50,PROGRAMACION1,13,0),IF(AND($H$49=$H$50,$N$49&gt;SUM($P$49:AV49),AW49&gt;($O$49/7)),"",IF(AND(AW49&lt;&gt;0,$B$49=$B$50,$O$50&gt;(SUM($P$49:AV49))),"",(IF($N$50&gt;$O$50+(SUM($P$50:AV50)),$O$50,$N$50-(SUM($P$50:AV50)))))))</f>
        <v>0</v>
      </c>
      <c r="AX50" s="3">
        <f>IF($I$50&gt;1,VLOOKUP($B$50,PROGRAMACION1,13,0),IF(AND($H$49=$H$50,$N$49&gt;SUM($P$49:AW49),AX49&gt;($O$49/7)),"",IF(AND(AX49&lt;&gt;0,$B$49=$B$50,$O$50&gt;(SUM($P$49:AW49))),"",(IF($N$50&gt;$O$50+(SUM($P$50:AW50)),$O$50,$N$50-(SUM($P$50:AW50)))))))</f>
        <v>0</v>
      </c>
      <c r="AY50" s="3">
        <f>IF($I$50&gt;1,VLOOKUP($B$50,PROGRAMACION1,13,0),IF(AND($H$49=$H$50,$N$49&gt;SUM($P$49:AX49),AY49&gt;($O$49/7)),"",IF(AND(AY49&lt;&gt;0,$B$49=$B$50,$O$50&gt;(SUM($P$49:AX49))),"",(IF($N$50&gt;$O$50+(SUM($P$50:AX50)),$O$50,$N$50-(SUM($P$50:AX50)))))))</f>
        <v>0</v>
      </c>
      <c r="AZ50" s="3">
        <f>IF($I$50&gt;1,VLOOKUP($B$50,PROGRAMACION1,13,0),IF(AND($H$49=$H$50,$N$49&gt;SUM($P$49:AY49),AZ49&gt;($O$49/7)),"",IF(AND(AZ49&lt;&gt;0,$B$49=$B$50,$O$50&gt;(SUM($P$49:AY49))),"",(IF($N$50&gt;$O$50+(SUM($P$50:AY50)),$O$50,$N$50-(SUM($P$50:AY50)))))))</f>
        <v>0</v>
      </c>
      <c r="BA50" s="3">
        <f>IF($I$50&gt;1,VLOOKUP($B$50,PROGRAMACION1,13,0),IF(AND($H$49=$H$50,$N$49&gt;SUM($P$49:AZ49),BA49&gt;($O$49/7)),"",IF(AND(BA49&lt;&gt;0,$B$49=$B$50,$O$50&gt;(SUM($P$49:AZ49))),"",(IF($N$50&gt;$O$50+(SUM($P$50:AZ50)),$O$50,$N$50-(SUM($P$50:AZ50)))))))</f>
        <v>0</v>
      </c>
      <c r="BB50" s="3">
        <f>IF($I$50&gt;1,VLOOKUP($B$50,PROGRAMACION1,13,0),IF(AND($H$49=$H$50,$N$49&gt;SUM($P$49:BA49),BB49&gt;($O$49/7)),"",IF(AND(BB49&lt;&gt;0,$B$49=$B$50,$O$50&gt;(SUM($P$49:BA49))),"",(IF($N$50&gt;$O$50+(SUM($P$50:BA50)),$O$50,$N$50-(SUM($P$50:BA50)))))))</f>
        <v>0</v>
      </c>
      <c r="BC50" s="3">
        <f>IF($I$50&gt;1,VLOOKUP($B$50,PROGRAMACION1,13,0),IF(AND($H$49=$H$50,$N$49&gt;SUM($P$49:BB49),BC49&gt;($O$49/7)),"",IF(AND(BC49&lt;&gt;0,$B$49=$B$50,$O$50&gt;(SUM($P$49:BB49))),"",(IF($N$50&gt;$O$50+(SUM($P$50:BB50)),$O$50,$N$50-(SUM($P$50:BB50)))))))</f>
        <v>0</v>
      </c>
      <c r="BD50" s="3">
        <f>IF($I$50&gt;1,VLOOKUP($B$50,PROGRAMACION1,13,0),IF(AND($H$49=$H$50,$N$49&gt;SUM($P$49:BC49),BD49&gt;($O$49/7)),"",IF(AND(BD49&lt;&gt;0,$B$49=$B$50,$O$50&gt;(SUM($P$49:BC49))),"",(IF($N$50&gt;$O$50+(SUM($P$50:BC50)),$O$50,$N$50-(SUM($P$50:BC50)))))))</f>
        <v>0</v>
      </c>
      <c r="BE50" s="3">
        <f>IF($I$50&gt;1,VLOOKUP($B$50,PROGRAMACION1,13,0),IF(AND($H$49=$H$50,$N$49&gt;SUM($P$49:BD49),BE49&gt;($O$49/7)),"",IF(AND(BE49&lt;&gt;0,$B$49=$B$50,$O$50&gt;(SUM($P$49:BD49))),"",(IF($N$50&gt;$O$50+(SUM($P$50:BD50)),$O$50,$N$50-(SUM($P$50:BD50)))))))</f>
        <v>0</v>
      </c>
      <c r="BF50" s="3">
        <f>IF($I$50&gt;1,VLOOKUP($B$50,PROGRAMACION1,13,0),IF(AND($H$49=$H$50,$N$49&gt;SUM($P$49:BE49),BF49&gt;($O$49/7)),"",IF(AND(BF49&lt;&gt;0,$B$49=$B$50,$O$50&gt;(SUM($P$49:BE49))),"",(IF($N$50&gt;$O$50+(SUM($P$50:BE50)),$O$50,$N$50-(SUM($P$50:BE50)))))))</f>
        <v>0</v>
      </c>
      <c r="BG50" s="3">
        <f>IF($I$50&gt;1,VLOOKUP($B$50,PROGRAMACION1,13,0),IF(AND($H$49=$H$50,$N$49&gt;SUM($P$49:BF49),BG49&gt;($O$49/7)),"",IF(AND(BG49&lt;&gt;0,$B$49=$B$50,$O$50&gt;(SUM($P$49:BF49))),"",(IF($N$50&gt;$O$50+(SUM($P$50:BF50)),$O$50,$N$50-(SUM($P$50:BF50)))))))</f>
        <v>0</v>
      </c>
      <c r="BH50" s="3">
        <f>IF($I$50&gt;1,VLOOKUP($B$50,PROGRAMACION1,13,0),IF(AND($H$49=$H$50,$N$49&gt;SUM($P$49:BG49),BH49&gt;($O$49/7)),"",IF(AND(BH49&lt;&gt;0,$B$49=$B$50,$O$50&gt;(SUM($P$49:BG49))),"",(IF($N$50&gt;$O$50+(SUM($P$50:BG50)),$O$50,$N$50-(SUM($P$50:BG50)))))))</f>
        <v>0</v>
      </c>
      <c r="BI50" s="3">
        <f>IF($I$50&gt;1,VLOOKUP($B$50,PROGRAMACION1,13,0),IF(AND($H$49=$H$50,$N$49&gt;SUM($P$49:BH49),BI49&gt;($O$49/7)),"",IF(AND(BI49&lt;&gt;0,$B$49=$B$50,$O$50&gt;(SUM($P$49:BH49))),"",(IF($N$50&gt;$O$50+(SUM($P$50:BH50)),$O$50,$N$50-(SUM($P$50:BH50)))))))</f>
        <v>0</v>
      </c>
      <c r="BJ50" s="3">
        <f>IF($I$50&gt;1,VLOOKUP($B$50,PROGRAMACION1,13,0),IF(AND($H$49=$H$50,$N$49&gt;SUM($P$49:BI49),BJ49&gt;($O$49/7)),"",IF(AND(BJ49&lt;&gt;0,$B$49=$B$50,$O$50&gt;(SUM($P$49:BI49))),"",(IF($N$50&gt;$O$50+(SUM($P$50:BI50)),$O$50,$N$50-(SUM($P$50:BI50)))))))</f>
        <v>0</v>
      </c>
      <c r="BK50" s="3">
        <f>IF($I$50&gt;1,VLOOKUP($B$50,PROGRAMACION1,13,0),IF(AND($H$49=$H$50,$N$49&gt;SUM($P$49:BJ49),BK49&gt;($O$49/7)),"",IF(AND(BK49&lt;&gt;0,$B$49=$B$50,$O$50&gt;(SUM($P$49:BJ49))),"",(IF($N$50&gt;$O$50+(SUM($P$50:BJ50)),$O$50,$N$50-(SUM($P$50:BJ50)))))))</f>
        <v>0</v>
      </c>
      <c r="BL50" s="3">
        <f>IF($I$50&gt;1,VLOOKUP($B$50,PROGRAMACION1,13,0),IF(AND($H$49=$H$50,$N$49&gt;SUM($P$49:BK49),BL49&gt;($O$49/7)),"",IF(AND(BL49&lt;&gt;0,$B$49=$B$50,$O$50&gt;(SUM($P$49:BK49))),"",(IF($N$50&gt;$O$50+(SUM($P$50:BK50)),$O$50,$N$50-(SUM($P$50:BK50)))))))</f>
        <v>0</v>
      </c>
      <c r="BM50" s="3">
        <f>IF($I$50&gt;1,VLOOKUP($B$50,PROGRAMACION1,13,0),IF(AND($H$49=$H$50,$N$49&gt;SUM($P$49:BL49),BM49&gt;($O$49/7)),"",IF(AND(BM49&lt;&gt;0,$B$49=$B$50,$O$50&gt;(SUM($P$49:BL49))),"",(IF($N$50&gt;$O$50+(SUM($P$50:BL50)),$O$50,$N$50-(SUM($P$50:BL50)))))))</f>
        <v>0</v>
      </c>
      <c r="BN50" s="3">
        <f>IF($I$50&gt;1,VLOOKUP($B$50,PROGRAMACION1,13,0),IF(AND($H$49=$H$50,$N$49&gt;SUM($P$49:BM49),BN49&gt;($O$49/7)),"",IF(AND(BN49&lt;&gt;0,$B$49=$B$50,$O$50&gt;(SUM($P$49:BM49))),"",(IF($N$50&gt;$O$50+(SUM($P$50:BM50)),$O$50,$N$50-(SUM($P$50:BM50)))))))</f>
        <v>0</v>
      </c>
      <c r="BO50" s="3">
        <f>IF($I$50&gt;1,VLOOKUP($B$50,PROGRAMACION1,13,0),IF(AND($H$49=$H$50,$N$49&gt;SUM($P$49:BN49),BO49&gt;($O$49/7)),"",IF(AND(BO49&lt;&gt;0,$B$49=$B$50,$O$50&gt;(SUM($P$49:BN49))),"",(IF($N$50&gt;$O$50+(SUM($P$50:BN50)),$O$50,$N$50-(SUM($P$50:BN50)))))))</f>
        <v>0</v>
      </c>
      <c r="BP50" s="3">
        <f>IF($I$50&gt;1,VLOOKUP($B$50,PROGRAMACION1,13,0),IF(AND($H$49=$H$50,$N$49&gt;SUM($P$49:BO49),BP49&gt;($O$49/7)),"",IF(AND(BP49&lt;&gt;0,$B$49=$B$50,$O$50&gt;(SUM($P$49:BO49))),"",(IF($N$50&gt;$O$50+(SUM($P$50:BO50)),$O$50,$N$50-(SUM($P$50:BO50)))))))</f>
        <v>0</v>
      </c>
      <c r="BQ50" s="3">
        <f>IF($I$50&gt;1,VLOOKUP($B$50,PROGRAMACION1,13,0),IF(AND($H$49=$H$50,$N$49&gt;SUM($P$49:BP49),BQ49&gt;($O$49/7)),"",IF(AND(BQ49&lt;&gt;0,$B$49=$B$50,$O$50&gt;(SUM($P$49:BP49))),"",(IF($N$50&gt;$O$50+(SUM($P$50:BP50)),$O$50,$N$50-(SUM($P$50:BP50)))))))</f>
        <v>0</v>
      </c>
      <c r="BR50" s="3">
        <f>IF($I$50&gt;1,VLOOKUP($B$50,PROGRAMACION1,13,0),IF(AND($H$49=$H$50,$N$49&gt;SUM($P$49:BQ49),BR49&gt;($O$49/7)),"",IF(AND(BR49&lt;&gt;0,$B$49=$B$50,$O$50&gt;(SUM($P$49:BQ49))),"",(IF($N$50&gt;$O$50+(SUM($P$50:BQ50)),$O$50,$N$50-(SUM($P$50:BQ50)))))))</f>
        <v>0</v>
      </c>
      <c r="BS50" s="3">
        <f>IF($I$50&gt;1,VLOOKUP($B$50,PROGRAMACION1,13,0),IF(AND($H$49=$H$50,$N$49&gt;SUM($P$49:BR49),BS49&gt;($O$49/7)),"",IF(AND(BS49&lt;&gt;0,$B$49=$B$50,$O$50&gt;(SUM($P$49:BR49))),"",(IF($N$50&gt;$O$50+(SUM($P$50:BR50)),$O$50,$N$50-(SUM($P$50:BR50)))))))</f>
        <v>0</v>
      </c>
      <c r="BT50" s="3">
        <f>IF($I$50&gt;1,VLOOKUP($B$50,PROGRAMACION1,13,0),IF(AND($H$49=$H$50,$N$49&gt;SUM($P$49:BS49),BT49&gt;($O$49/7)),"",IF(AND(BT49&lt;&gt;0,$B$49=$B$50,$O$50&gt;(SUM($P$49:BS49))),"",(IF($N$50&gt;$O$50+(SUM($P$50:BS50)),$O$50,$N$50-(SUM($P$50:BS50)))))))</f>
        <v>0</v>
      </c>
      <c r="BU50" s="3">
        <f>IF($I$50&gt;1,VLOOKUP($B$50,PROGRAMACION1,13,0),IF(AND($H$49=$H$50,$N$49&gt;SUM($P$49:BT49),BU49&gt;($O$49/7)),"",IF(AND(BU49&lt;&gt;0,$B$49=$B$50,$O$50&gt;(SUM($P$49:BT49))),"",(IF($N$50&gt;$O$50+(SUM($P$50:BT50)),$O$50,$N$50-(SUM($P$50:BT50)))))))</f>
        <v>0</v>
      </c>
      <c r="BV50" s="3">
        <f>IF($I$50&gt;1,VLOOKUP($B$50,PROGRAMACION1,13,0),IF(AND($H$49=$H$50,$N$49&gt;SUM($P$49:BU49),BV49&gt;($O$49/7)),"",IF(AND(BV49&lt;&gt;0,$B$49=$B$50,$O$50&gt;(SUM($P$49:BU49))),"",(IF($N$50&gt;$O$50+(SUM($P$50:BU50)),$O$50,$N$50-(SUM($P$50:BU50)))))))</f>
        <v>0</v>
      </c>
      <c r="BW50" s="3">
        <f>IF($I$50&gt;1,VLOOKUP($B$50,PROGRAMACION1,13,0),IF(AND($H$49=$H$50,$N$49&gt;SUM($P$49:BV49),BW49&gt;($O$49/7)),"",IF(AND(BW49&lt;&gt;0,$B$49=$B$50,$O$50&gt;(SUM($P$49:BV49))),"",(IF($N$50&gt;$O$50+(SUM($P$50:BV50)),$O$50,$N$50-(SUM($P$50:BV50)))))))</f>
        <v>0</v>
      </c>
    </row>
    <row r="51" spans="1:75" x14ac:dyDescent="0.25">
      <c r="A51" s="81">
        <v>44</v>
      </c>
      <c r="B51">
        <f>IF(A51&gt;0,FABRICAR!F45,NA())</f>
        <v>0</v>
      </c>
      <c r="C51">
        <f>IF(A51&gt;0,FABRICAR!G45,NA())</f>
        <v>0</v>
      </c>
      <c r="D51" s="1" t="e">
        <f t="shared" si="109"/>
        <v>#N/A</v>
      </c>
      <c r="E51" t="e">
        <f>IF(A51&gt;0,FABRICAR!P45,"")</f>
        <v>#N/A</v>
      </c>
      <c r="F51">
        <f t="shared" si="112"/>
        <v>0</v>
      </c>
      <c r="H51">
        <f>IF(B51=0,B51,IF(A51&gt;0,FABRICAR!H45,NA()))</f>
        <v>0</v>
      </c>
      <c r="I51">
        <f>IF(B51=0,B51,IF(A51&gt;0,FABRICAR!B45,NA()))</f>
        <v>0</v>
      </c>
      <c r="J51" s="75">
        <f>IF(B51=0,B51,'PROGRAM SALDO '!J47)</f>
        <v>0</v>
      </c>
      <c r="K51" s="82">
        <v>643</v>
      </c>
      <c r="L51">
        <f>IF(A51&gt;0,FABRICAR!J45,NA())</f>
        <v>0</v>
      </c>
      <c r="M51" s="9">
        <f t="shared" si="111"/>
        <v>0</v>
      </c>
      <c r="N51">
        <f>IF(A51&gt;0,FABRICAR!L45,NA())</f>
        <v>0</v>
      </c>
      <c r="O51">
        <f>IF(B51=0,B51,IF(A51&gt;0,FABRICAR!M45,"")*9)</f>
        <v>0</v>
      </c>
      <c r="P51" t="str">
        <f t="shared" si="113"/>
        <v/>
      </c>
      <c r="Q51" s="3">
        <f>IF($I$51&gt;1,VLOOKUP($B$51,PROGRAMACION1,13,0),IF(AND($H$50=$H$51,$N$50&gt;SUM($P$50:P50),Q50&gt;($O$50/7)),"",IF(AND(Q50&lt;&gt;0,$B$50=$B$51,$O$51&gt;(SUM($P$50:P50))),"",(IF($N$51&gt;$O$51+(SUM($P$51:P51)),$O$51,$N$51-(SUM($P$51:P51)))))))</f>
        <v>0</v>
      </c>
      <c r="R51" s="67"/>
      <c r="S51" s="3">
        <f>IF($I$51&gt;1,VLOOKUP($B$51,PROGRAMACION1,13,0),IF(AND($H$50=$H$51,$N$50&gt;SUM($P$50:R50),S50&gt;($O$50/7)),"",IF(AND(S50&lt;&gt;0,$B$50=$B$51,$O$51&gt;(SUM($P$50:R50))),"",(IF($N$51&gt;$O$51+(SUM($P$51:R51)),$O$51,$N$51-(SUM($P$51:R51)))))))</f>
        <v>0</v>
      </c>
      <c r="T51" s="3">
        <f>IF($I$51&gt;1,VLOOKUP($B$51,PROGRAMACION1,13,0),IF(AND($H$50=$H$51,$N$50&gt;SUM($P$50:S50),T50&gt;($O$50/7)),"",IF(AND(T50&lt;&gt;0,$B$50=$B$51,$O$51&gt;(SUM($P$50:S50))),"",(IF($N$51&gt;$O$51+(SUM($P$51:S51)),$O$51,$N$51-(SUM($P$51:S51)))))))</f>
        <v>0</v>
      </c>
      <c r="U51" s="3">
        <f>IF($I$51&gt;1,VLOOKUP($B$51,PROGRAMACION1,13,0),IF(AND($H$50=$H$51,$N$50&gt;SUM($P$50:T50),U50&gt;($O$50/7)),"",IF(AND(U50&lt;&gt;0,$B$50=$B$51,$O$51&gt;(SUM($P$50:T50))),"",(IF($N$51&gt;$O$51+(SUM($P$51:T51)),$O$51,$N$51-(SUM($P$51:T51)))))))</f>
        <v>0</v>
      </c>
      <c r="V51" s="3">
        <f>IF($I$51&gt;1,VLOOKUP($B$51,PROGRAMACION1,13,0),IF(AND($H$50=$H$51,$N$50&gt;SUM($P$50:U50),V50&gt;($O$50/7)),"",IF(AND(V50&lt;&gt;0,$B$50=$B$51,$O$51&gt;(SUM($P$50:U50))),"",(IF($N$51&gt;$O$51+(SUM($P$51:U51)),$O$51,$N$51-(SUM($P$51:U51)))))))</f>
        <v>0</v>
      </c>
      <c r="W51" s="3">
        <f>IF($I$51&gt;1,VLOOKUP($B$51,PROGRAMACION1,13,0),IF(AND($H$50=$H$51,$N$50&gt;SUM($P$50:V50),W50&gt;($O$50/7)),"",IF(AND(W50&lt;&gt;0,$B$50=$B$51,$O$51&gt;(SUM($P$50:V50))),"",(IF($N$51&gt;$O$51+(SUM($P$51:V51)),$O$51,$N$51-(SUM($P$51:V51)))))))</f>
        <v>0</v>
      </c>
      <c r="X51" s="3">
        <f>IF($I$51&gt;1,VLOOKUP($B$51,PROGRAMACION1,13,0),IF(AND($H$50=$H$51,$N$50&gt;SUM($P$50:W50),X50&gt;($O$50/7)),"",IF(AND(X50&lt;&gt;0,$B$50=$B$51,$O$51&gt;(SUM($P$50:W50))),"",(IF($N$51&gt;$O$51+(SUM($P$51:W51)),$O$51,$N$51-(SUM($P$51:W51)))))))</f>
        <v>0</v>
      </c>
      <c r="Y51" s="3">
        <f>IF($I$51&gt;1,VLOOKUP($B$51,PROGRAMACION1,13,0),IF(AND($H$50=$H$51,$N$50&gt;SUM($P$50:X50),Y50&gt;($O$50/7)),"",IF(AND(Y50&lt;&gt;0,$B$50=$B$51,$O$51&gt;(SUM($P$50:X50))),"",(IF($N$51&gt;$O$51+(SUM($P$51:X51)),$O$51,$N$51-(SUM($P$51:X51)))))))</f>
        <v>0</v>
      </c>
      <c r="Z51" s="3">
        <f>IF($I$51&gt;1,VLOOKUP($B$51,PROGRAMACION1,13,0),IF(AND($H$50=$H$51,$N$50&gt;SUM($P$50:Y50),Z50&gt;($O$50/7)),"",IF(AND(Z50&lt;&gt;0,$B$50=$B$51,$O$51&gt;(SUM($P$50:Y50))),"",(IF($N$51&gt;$O$51+(SUM($P$51:Y51)),$O$51,$N$51-(SUM($P$51:Y51)))))))</f>
        <v>0</v>
      </c>
      <c r="AA51" s="3">
        <f>IF($I$51&gt;1,VLOOKUP($B$51,PROGRAMACION1,13,0),IF(AND($H$50=$H$51,$N$50&gt;SUM($P$50:Z50),AA50&gt;($O$50/7)),"",IF(AND(AA50&lt;&gt;0,$B$50=$B$51,$O$51&gt;(SUM($P$50:Z50))),"",(IF($N$51&gt;$O$51+(SUM($P$51:Z51)),$O$51,$N$51-(SUM($P$51:Z51)))))))</f>
        <v>0</v>
      </c>
      <c r="AB51" s="3">
        <f>IF($I$51&gt;1,VLOOKUP($B$51,PROGRAMACION1,13,0),IF(AND($H$50=$H$51,$N$50&gt;SUM($P$50:AA50),AB50&gt;($O$50/7)),"",IF(AND(AB50&lt;&gt;0,$B$50=$B$51,$O$51&gt;(SUM($P$50:AA50))),"",(IF($N$51&gt;$O$51+(SUM($P$51:AA51)),$O$51,$N$51-(SUM($P$51:AA51)))))))</f>
        <v>0</v>
      </c>
      <c r="AC51" s="3">
        <f>IF($I$51&gt;1,VLOOKUP($B$51,PROGRAMACION1,13,0),IF(AND($H$50=$H$51,$N$50&gt;SUM($P$50:AB50),AC50&gt;($O$50/7)),"",IF(AND(AC50&lt;&gt;0,$B$50=$B$51,$O$51&gt;(SUM($P$50:AB50))),"",(IF($N$51&gt;$O$51+(SUM($P$51:AB51)),$O$51,$N$51-(SUM($P$51:AB51)))))))</f>
        <v>0</v>
      </c>
      <c r="AD51" s="3">
        <f>IF($I$51&gt;1,VLOOKUP($B$51,PROGRAMACION1,13,0),IF(AND($H$50=$H$51,$N$50&gt;SUM($P$50:AC50),AD50&gt;($O$50/7)),"",IF(AND(AD50&lt;&gt;0,$B$50=$B$51,$O$51&gt;(SUM($P$50:AC50))),"",(IF($N$51&gt;$O$51+(SUM($P$51:AC51)),$O$51,$N$51-(SUM($P$51:AC51)))))))</f>
        <v>0</v>
      </c>
      <c r="AE51" s="3">
        <f>IF($I$51&gt;1,VLOOKUP($B$51,PROGRAMACION1,13,0),IF(AND($H$50=$H$51,$N$50&gt;SUM($P$50:AD50),AE50&gt;($O$50/7)),"",IF(AND(AE50&lt;&gt;0,$B$50=$B$51,$O$51&gt;(SUM($P$50:AD50))),"",(IF($N$51&gt;$O$51+(SUM($P$51:AD51)),$O$51,$N$51-(SUM($P$51:AD51)))))))</f>
        <v>0</v>
      </c>
      <c r="AF51" s="3">
        <f>IF($I$51&gt;1,VLOOKUP($B$51,PROGRAMACION1,13,0),IF(AND($H$50=$H$51,$N$50&gt;SUM($P$50:AE50),AF50&gt;($O$50/7)),"",IF(AND(AF50&lt;&gt;0,$B$50=$B$51,$O$51&gt;(SUM($P$50:AE50))),"",(IF($N$51&gt;$O$51+(SUM($P$51:AE51)),$O$51,$N$51-(SUM($P$51:AE51)))))))</f>
        <v>0</v>
      </c>
      <c r="AG51" s="3">
        <f>IF($I$51&gt;1,VLOOKUP($B$51,PROGRAMACION1,13,0),IF(AND($H$50=$H$51,$N$50&gt;SUM($P$50:AF50),AG50&gt;($O$50/7)),"",IF(AND(AG50&lt;&gt;0,$B$50=$B$51,$O$51&gt;(SUM($P$50:AF50))),"",(IF($N$51&gt;$O$51+(SUM($P$51:AF51)),$O$51,$N$51-(SUM($P$51:AF51)))))))</f>
        <v>0</v>
      </c>
      <c r="AH51" s="3">
        <f>IF($I$51&gt;1,VLOOKUP($B$51,PROGRAMACION1,13,0),IF(AND($H$50=$H$51,$N$50&gt;SUM($P$50:AG50),AH50&gt;($O$50/7)),"",IF(AND(AH50&lt;&gt;0,$B$50=$B$51,$O$51&gt;(SUM($P$50:AG50))),"",(IF($N$51&gt;$O$51+(SUM($P$51:AG51)),$O$51,$N$51-(SUM($P$51:AG51)))))))</f>
        <v>0</v>
      </c>
      <c r="AI51" s="3">
        <f>IF($I$51&gt;1,VLOOKUP($B$51,PROGRAMACION1,13,0),IF(AND($H$50=$H$51,$N$50&gt;SUM($P$50:AH50),AI50&gt;($O$50/7)),"",IF(AND(AI50&lt;&gt;0,$B$50=$B$51,$O$51&gt;(SUM($P$50:AH50))),"",(IF($N$51&gt;$O$51+(SUM($P$51:AH51)),$O$51,$N$51-(SUM($P$51:AH51)))))))</f>
        <v>0</v>
      </c>
      <c r="AJ51" s="3">
        <f>IF($I$51&gt;1,VLOOKUP($B$51,PROGRAMACION1,13,0),IF(AND($H$50=$H$51,$N$50&gt;SUM($P$50:AI50),AJ50&gt;($O$50/7)),"",IF(AND(AJ50&lt;&gt;0,$B$50=$B$51,$O$51&gt;(SUM($P$50:AI50))),"",(IF($N$51&gt;$O$51+(SUM($P$51:AI51)),$O$51,$N$51-(SUM($P$51:AI51)))))))</f>
        <v>0</v>
      </c>
      <c r="AK51" s="3">
        <f>IF($I$51&gt;1,VLOOKUP($B$51,PROGRAMACION1,13,0),IF(AND($H$50=$H$51,$N$50&gt;SUM($P$50:AJ50),AK50&gt;($O$50/7)),"",IF(AND(AK50&lt;&gt;0,$B$50=$B$51,$O$51&gt;(SUM($P$50:AJ50))),"",(IF($N$51&gt;$O$51+(SUM($P$51:AJ51)),$O$51,$N$51-(SUM($P$51:AJ51)))))))</f>
        <v>0</v>
      </c>
      <c r="AL51" s="3">
        <f>IF($I$51&gt;1,VLOOKUP($B$51,PROGRAMACION1,13,0),IF(AND($H$50=$H$51,$N$50&gt;SUM($P$50:AK50),AL50&gt;($O$50/7)),"",IF(AND(AL50&lt;&gt;0,$B$50=$B$51,$O$51&gt;(SUM($P$50:AK50))),"",(IF($N$51&gt;$O$51+(SUM($P$51:AK51)),$O$51,$N$51-(SUM($P$51:AK51)))))))</f>
        <v>0</v>
      </c>
      <c r="AM51" s="3">
        <f>IF($I$51&gt;1,VLOOKUP($B$51,PROGRAMACION1,13,0),IF(AND($H$50=$H$51,$N$50&gt;SUM($P$50:AL50),AM50&gt;($O$50/7)),"",IF(AND(AM50&lt;&gt;0,$B$50=$B$51,$O$51&gt;(SUM($P$50:AL50))),"",(IF($N$51&gt;$O$51+(SUM($P$51:AL51)),$O$51,$N$51-(SUM($P$51:AL51)))))))</f>
        <v>0</v>
      </c>
      <c r="AN51" s="3">
        <f>IF($I$51&gt;1,VLOOKUP($B$51,PROGRAMACION1,13,0),IF(AND($H$50=$H$51,$N$50&gt;SUM($P$50:AM50),AN50&gt;($O$50/7)),"",IF(AND(AN50&lt;&gt;0,$B$50=$B$51,$O$51&gt;(SUM($P$50:AM50))),"",(IF($N$51&gt;$O$51+(SUM($P$51:AM51)),$O$51,$N$51-(SUM($P$51:AM51)))))))</f>
        <v>0</v>
      </c>
      <c r="AO51" s="3">
        <f>IF($I$51&gt;1,VLOOKUP($B$51,PROGRAMACION1,13,0),IF(AND($H$50=$H$51,$N$50&gt;SUM($P$50:AN50),AO50&gt;($O$50/7)),"",IF(AND(AO50&lt;&gt;0,$B$50=$B$51,$O$51&gt;(SUM($P$50:AN50))),"",(IF($N$51&gt;$O$51+(SUM($P$51:AN51)),$O$51,$N$51-(SUM($P$51:AN51)))))))</f>
        <v>0</v>
      </c>
      <c r="AP51" s="3">
        <f>IF($I$51&gt;1,VLOOKUP($B$51,PROGRAMACION1,13,0),IF(AND($H$50=$H$51,$N$50&gt;SUM($P$50:AO50),AP50&gt;($O$50/7)),"",IF(AND(AP50&lt;&gt;0,$B$50=$B$51,$O$51&gt;(SUM($P$50:AO50))),"",(IF($N$51&gt;$O$51+(SUM($P$51:AO51)),$O$51,$N$51-(SUM($P$51:AO51)))))))</f>
        <v>0</v>
      </c>
      <c r="AQ51" s="3">
        <f>IF($I$51&gt;1,VLOOKUP($B$51,PROGRAMACION1,13,0),IF(AND($H$50=$H$51,$N$50&gt;SUM($P$50:AP50),AQ50&gt;($O$50/7)),"",IF(AND(AQ50&lt;&gt;0,$B$50=$B$51,$O$51&gt;(SUM($P$50:AP50))),"",(IF($N$51&gt;$O$51+(SUM($P$51:AP51)),$O$51,$N$51-(SUM($P$51:AP51)))))))</f>
        <v>0</v>
      </c>
      <c r="AR51" s="3">
        <f>IF($I$51&gt;1,VLOOKUP($B$51,PROGRAMACION1,13,0),IF(AND($H$50=$H$51,$N$50&gt;SUM($P$50:AQ50),AR50&gt;($O$50/7)),"",IF(AND(AR50&lt;&gt;0,$B$50=$B$51,$O$51&gt;(SUM($P$50:AQ50))),"",(IF($N$51&gt;$O$51+(SUM($P$51:AQ51)),$O$51,$N$51-(SUM($P$51:AQ51)))))))</f>
        <v>0</v>
      </c>
      <c r="AS51" s="3">
        <f>IF($I$51&gt;1,VLOOKUP($B$51,PROGRAMACION1,13,0),IF(AND($H$50=$H$51,$N$50&gt;SUM($P$50:AR50),AS50&gt;($O$50/7)),"",IF(AND(AS50&lt;&gt;0,$B$50=$B$51,$O$51&gt;(SUM($P$50:AR50))),"",(IF($N$51&gt;$O$51+(SUM($P$51:AR51)),$O$51,$N$51-(SUM($P$51:AR51)))))))</f>
        <v>0</v>
      </c>
      <c r="AT51" s="3">
        <f>IF($I$51&gt;1,VLOOKUP($B$51,PROGRAMACION1,13,0),IF(AND($H$50=$H$51,$N$50&gt;SUM($P$50:AS50),AT50&gt;($O$50/7)),"",IF(AND(AT50&lt;&gt;0,$B$50=$B$51,$O$51&gt;(SUM($P$50:AS50))),"",(IF($N$51&gt;$O$51+(SUM($P$51:AS51)),$O$51,$N$51-(SUM($P$51:AS51)))))))</f>
        <v>0</v>
      </c>
      <c r="AU51" s="3">
        <f>IF($I$51&gt;1,VLOOKUP($B$51,PROGRAMACION1,13,0),IF(AND($H$50=$H$51,$N$50&gt;SUM($P$50:AT50),AU50&gt;($O$50/7)),"",IF(AND(AU50&lt;&gt;0,$B$50=$B$51,$O$51&gt;(SUM($P$50:AT50))),"",(IF($N$51&gt;$O$51+(SUM($P$51:AT51)),$O$51,$N$51-(SUM($P$51:AT51)))))))</f>
        <v>0</v>
      </c>
      <c r="AV51" s="3">
        <f>IF($I$51&gt;1,VLOOKUP($B$51,PROGRAMACION1,13,0),IF(AND($H$50=$H$51,$N$50&gt;SUM($P$50:AU50),AV50&gt;($O$50/7)),"",IF(AND(AV50&lt;&gt;0,$B$50=$B$51,$O$51&gt;(SUM($P$50:AU50))),"",(IF($N$51&gt;$O$51+(SUM($P$51:AU51)),$O$51,$N$51-(SUM($P$51:AU51)))))))</f>
        <v>0</v>
      </c>
      <c r="AW51" s="3">
        <f>IF($I$51&gt;1,VLOOKUP($B$51,PROGRAMACION1,13,0),IF(AND($H$50=$H$51,$N$50&gt;SUM($P$50:AV50),AW50&gt;($O$50/7)),"",IF(AND(AW50&lt;&gt;0,$B$50=$B$51,$O$51&gt;(SUM($P$50:AV50))),"",(IF($N$51&gt;$O$51+(SUM($P$51:AV51)),$O$51,$N$51-(SUM($P$51:AV51)))))))</f>
        <v>0</v>
      </c>
      <c r="AX51" s="3">
        <f>IF($I$51&gt;1,VLOOKUP($B$51,PROGRAMACION1,13,0),IF(AND($H$50=$H$51,$N$50&gt;SUM($P$50:AW50),AX50&gt;($O$50/7)),"",IF(AND(AX50&lt;&gt;0,$B$50=$B$51,$O$51&gt;(SUM($P$50:AW50))),"",(IF($N$51&gt;$O$51+(SUM($P$51:AW51)),$O$51,$N$51-(SUM($P$51:AW51)))))))</f>
        <v>0</v>
      </c>
      <c r="AY51" s="3">
        <f>IF($I$51&gt;1,VLOOKUP($B$51,PROGRAMACION1,13,0),IF(AND($H$50=$H$51,$N$50&gt;SUM($P$50:AX50),AY50&gt;($O$50/7)),"",IF(AND(AY50&lt;&gt;0,$B$50=$B$51,$O$51&gt;(SUM($P$50:AX50))),"",(IF($N$51&gt;$O$51+(SUM($P$51:AX51)),$O$51,$N$51-(SUM($P$51:AX51)))))))</f>
        <v>0</v>
      </c>
      <c r="AZ51" s="3">
        <f>IF($I$51&gt;1,VLOOKUP($B$51,PROGRAMACION1,13,0),IF(AND($H$50=$H$51,$N$50&gt;SUM($P$50:AY50),AZ50&gt;($O$50/7)),"",IF(AND(AZ50&lt;&gt;0,$B$50=$B$51,$O$51&gt;(SUM($P$50:AY50))),"",(IF($N$51&gt;$O$51+(SUM($P$51:AY51)),$O$51,$N$51-(SUM($P$51:AY51)))))))</f>
        <v>0</v>
      </c>
      <c r="BA51" s="3">
        <f>IF($I$51&gt;1,VLOOKUP($B$51,PROGRAMACION1,13,0),IF(AND($H$50=$H$51,$N$50&gt;SUM($P$50:AZ50),BA50&gt;($O$50/7)),"",IF(AND(BA50&lt;&gt;0,$B$50=$B$51,$O$51&gt;(SUM($P$50:AZ50))),"",(IF($N$51&gt;$O$51+(SUM($P$51:AZ51)),$O$51,$N$51-(SUM($P$51:AZ51)))))))</f>
        <v>0</v>
      </c>
      <c r="BB51" s="3">
        <f>IF($I$51&gt;1,VLOOKUP($B$51,PROGRAMACION1,13,0),IF(AND($H$50=$H$51,$N$50&gt;SUM($P$50:BA50),BB50&gt;($O$50/7)),"",IF(AND(BB50&lt;&gt;0,$B$50=$B$51,$O$51&gt;(SUM($P$50:BA50))),"",(IF($N$51&gt;$O$51+(SUM($P$51:BA51)),$O$51,$N$51-(SUM($P$51:BA51)))))))</f>
        <v>0</v>
      </c>
      <c r="BC51" s="3">
        <f>IF($I$51&gt;1,VLOOKUP($B$51,PROGRAMACION1,13,0),IF(AND($H$50=$H$51,$N$50&gt;SUM($P$50:BB50),BC50&gt;($O$50/7)),"",IF(AND(BC50&lt;&gt;0,$B$50=$B$51,$O$51&gt;(SUM($P$50:BB50))),"",(IF($N$51&gt;$O$51+(SUM($P$51:BB51)),$O$51,$N$51-(SUM($P$51:BB51)))))))</f>
        <v>0</v>
      </c>
      <c r="BD51" s="3">
        <f>IF($I$51&gt;1,VLOOKUP($B$51,PROGRAMACION1,13,0),IF(AND($H$50=$H$51,$N$50&gt;SUM($P$50:BC50),BD50&gt;($O$50/7)),"",IF(AND(BD50&lt;&gt;0,$B$50=$B$51,$O$51&gt;(SUM($P$50:BC50))),"",(IF($N$51&gt;$O$51+(SUM($P$51:BC51)),$O$51,$N$51-(SUM($P$51:BC51)))))))</f>
        <v>0</v>
      </c>
      <c r="BE51" s="3">
        <f>IF($I$51&gt;1,VLOOKUP($B$51,PROGRAMACION1,13,0),IF(AND($H$50=$H$51,$N$50&gt;SUM($P$50:BD50),BE50&gt;($O$50/7)),"",IF(AND(BE50&lt;&gt;0,$B$50=$B$51,$O$51&gt;(SUM($P$50:BD50))),"",(IF($N$51&gt;$O$51+(SUM($P$51:BD51)),$O$51,$N$51-(SUM($P$51:BD51)))))))</f>
        <v>0</v>
      </c>
      <c r="BF51" s="3">
        <f>IF($I$51&gt;1,VLOOKUP($B$51,PROGRAMACION1,13,0),IF(AND($H$50=$H$51,$N$50&gt;SUM($P$50:BE50),BF50&gt;($O$50/7)),"",IF(AND(BF50&lt;&gt;0,$B$50=$B$51,$O$51&gt;(SUM($P$50:BE50))),"",(IF($N$51&gt;$O$51+(SUM($P$51:BE51)),$O$51,$N$51-(SUM($P$51:BE51)))))))</f>
        <v>0</v>
      </c>
      <c r="BG51" s="3">
        <f>IF($I$51&gt;1,VLOOKUP($B$51,PROGRAMACION1,13,0),IF(AND($H$50=$H$51,$N$50&gt;SUM($P$50:BF50),BG50&gt;($O$50/7)),"",IF(AND(BG50&lt;&gt;0,$B$50=$B$51,$O$51&gt;(SUM($P$50:BF50))),"",(IF($N$51&gt;$O$51+(SUM($P$51:BF51)),$O$51,$N$51-(SUM($P$51:BF51)))))))</f>
        <v>0</v>
      </c>
      <c r="BH51" s="3">
        <f>IF($I$51&gt;1,VLOOKUP($B$51,PROGRAMACION1,13,0),IF(AND($H$50=$H$51,$N$50&gt;SUM($P$50:BG50),BH50&gt;($O$50/7)),"",IF(AND(BH50&lt;&gt;0,$B$50=$B$51,$O$51&gt;(SUM($P$50:BG50))),"",(IF($N$51&gt;$O$51+(SUM($P$51:BG51)),$O$51,$N$51-(SUM($P$51:BG51)))))))</f>
        <v>0</v>
      </c>
      <c r="BI51" s="3">
        <f>IF($I$51&gt;1,VLOOKUP($B$51,PROGRAMACION1,13,0),IF(AND($H$50=$H$51,$N$50&gt;SUM($P$50:BH50),BI50&gt;($O$50/7)),"",IF(AND(BI50&lt;&gt;0,$B$50=$B$51,$O$51&gt;(SUM($P$50:BH50))),"",(IF($N$51&gt;$O$51+(SUM($P$51:BH51)),$O$51,$N$51-(SUM($P$51:BH51)))))))</f>
        <v>0</v>
      </c>
      <c r="BJ51" s="3">
        <f>IF($I$51&gt;1,VLOOKUP($B$51,PROGRAMACION1,13,0),IF(AND($H$50=$H$51,$N$50&gt;SUM($P$50:BI50),BJ50&gt;($O$50/7)),"",IF(AND(BJ50&lt;&gt;0,$B$50=$B$51,$O$51&gt;(SUM($P$50:BI50))),"",(IF($N$51&gt;$O$51+(SUM($P$51:BI51)),$O$51,$N$51-(SUM($P$51:BI51)))))))</f>
        <v>0</v>
      </c>
      <c r="BK51" s="3">
        <f>IF($I$51&gt;1,VLOOKUP($B$51,PROGRAMACION1,13,0),IF(AND($H$50=$H$51,$N$50&gt;SUM($P$50:BJ50),BK50&gt;($O$50/7)),"",IF(AND(BK50&lt;&gt;0,$B$50=$B$51,$O$51&gt;(SUM($P$50:BJ50))),"",(IF($N$51&gt;$O$51+(SUM($P$51:BJ51)),$O$51,$N$51-(SUM($P$51:BJ51)))))))</f>
        <v>0</v>
      </c>
      <c r="BL51" s="3">
        <f>IF($I$51&gt;1,VLOOKUP($B$51,PROGRAMACION1,13,0),IF(AND($H$50=$H$51,$N$50&gt;SUM($P$50:BK50),BL50&gt;($O$50/7)),"",IF(AND(BL50&lt;&gt;0,$B$50=$B$51,$O$51&gt;(SUM($P$50:BK50))),"",(IF($N$51&gt;$O$51+(SUM($P$51:BK51)),$O$51,$N$51-(SUM($P$51:BK51)))))))</f>
        <v>0</v>
      </c>
      <c r="BM51" s="3">
        <f>IF($I$51&gt;1,VLOOKUP($B$51,PROGRAMACION1,13,0),IF(AND($H$50=$H$51,$N$50&gt;SUM($P$50:BL50),BM50&gt;($O$50/7)),"",IF(AND(BM50&lt;&gt;0,$B$50=$B$51,$O$51&gt;(SUM($P$50:BL50))),"",(IF($N$51&gt;$O$51+(SUM($P$51:BL51)),$O$51,$N$51-(SUM($P$51:BL51)))))))</f>
        <v>0</v>
      </c>
      <c r="BN51" s="3">
        <f>IF($I$51&gt;1,VLOOKUP($B$51,PROGRAMACION1,13,0),IF(AND($H$50=$H$51,$N$50&gt;SUM($P$50:BM50),BN50&gt;($O$50/7)),"",IF(AND(BN50&lt;&gt;0,$B$50=$B$51,$O$51&gt;(SUM($P$50:BM50))),"",(IF($N$51&gt;$O$51+(SUM($P$51:BM51)),$O$51,$N$51-(SUM($P$51:BM51)))))))</f>
        <v>0</v>
      </c>
      <c r="BO51" s="3">
        <f>IF($I$51&gt;1,VLOOKUP($B$51,PROGRAMACION1,13,0),IF(AND($H$50=$H$51,$N$50&gt;SUM($P$50:BN50),BO50&gt;($O$50/7)),"",IF(AND(BO50&lt;&gt;0,$B$50=$B$51,$O$51&gt;(SUM($P$50:BN50))),"",(IF($N$51&gt;$O$51+(SUM($P$51:BN51)),$O$51,$N$51-(SUM($P$51:BN51)))))))</f>
        <v>0</v>
      </c>
      <c r="BP51" s="3">
        <f>IF($I$51&gt;1,VLOOKUP($B$51,PROGRAMACION1,13,0),IF(AND($H$50=$H$51,$N$50&gt;SUM($P$50:BO50),BP50&gt;($O$50/7)),"",IF(AND(BP50&lt;&gt;0,$B$50=$B$51,$O$51&gt;(SUM($P$50:BO50))),"",(IF($N$51&gt;$O$51+(SUM($P$51:BO51)),$O$51,$N$51-(SUM($P$51:BO51)))))))</f>
        <v>0</v>
      </c>
      <c r="BQ51" s="3">
        <f>IF($I$51&gt;1,VLOOKUP($B$51,PROGRAMACION1,13,0),IF(AND($H$50=$H$51,$N$50&gt;SUM($P$50:BP50),BQ50&gt;($O$50/7)),"",IF(AND(BQ50&lt;&gt;0,$B$50=$B$51,$O$51&gt;(SUM($P$50:BP50))),"",(IF($N$51&gt;$O$51+(SUM($P$51:BP51)),$O$51,$N$51-(SUM($P$51:BP51)))))))</f>
        <v>0</v>
      </c>
      <c r="BR51" s="3">
        <f>IF($I$51&gt;1,VLOOKUP($B$51,PROGRAMACION1,13,0),IF(AND($H$50=$H$51,$N$50&gt;SUM($P$50:BQ50),BR50&gt;($O$50/7)),"",IF(AND(BR50&lt;&gt;0,$B$50=$B$51,$O$51&gt;(SUM($P$50:BQ50))),"",(IF($N$51&gt;$O$51+(SUM($P$51:BQ51)),$O$51,$N$51-(SUM($P$51:BQ51)))))))</f>
        <v>0</v>
      </c>
      <c r="BS51" s="3">
        <f>IF($I$51&gt;1,VLOOKUP($B$51,PROGRAMACION1,13,0),IF(AND($H$50=$H$51,$N$50&gt;SUM($P$50:BR50),BS50&gt;($O$50/7)),"",IF(AND(BS50&lt;&gt;0,$B$50=$B$51,$O$51&gt;(SUM($P$50:BR50))),"",(IF($N$51&gt;$O$51+(SUM($P$51:BR51)),$O$51,$N$51-(SUM($P$51:BR51)))))))</f>
        <v>0</v>
      </c>
      <c r="BT51" s="3">
        <f>IF($I$51&gt;1,VLOOKUP($B$51,PROGRAMACION1,13,0),IF(AND($H$50=$H$51,$N$50&gt;SUM($P$50:BS50),BT50&gt;($O$50/7)),"",IF(AND(BT50&lt;&gt;0,$B$50=$B$51,$O$51&gt;(SUM($P$50:BS50))),"",(IF($N$51&gt;$O$51+(SUM($P$51:BS51)),$O$51,$N$51-(SUM($P$51:BS51)))))))</f>
        <v>0</v>
      </c>
      <c r="BU51" s="3">
        <f>IF($I$51&gt;1,VLOOKUP($B$51,PROGRAMACION1,13,0),IF(AND($H$50=$H$51,$N$50&gt;SUM($P$50:BT50),BU50&gt;($O$50/7)),"",IF(AND(BU50&lt;&gt;0,$B$50=$B$51,$O$51&gt;(SUM($P$50:BT50))),"",(IF($N$51&gt;$O$51+(SUM($P$51:BT51)),$O$51,$N$51-(SUM($P$51:BT51)))))))</f>
        <v>0</v>
      </c>
      <c r="BV51" s="3">
        <f>IF($I$51&gt;1,VLOOKUP($B$51,PROGRAMACION1,13,0),IF(AND($H$50=$H$51,$N$50&gt;SUM($P$50:BU50),BV50&gt;($O$50/7)),"",IF(AND(BV50&lt;&gt;0,$B$50=$B$51,$O$51&gt;(SUM($P$50:BU50))),"",(IF($N$51&gt;$O$51+(SUM($P$51:BU51)),$O$51,$N$51-(SUM($P$51:BU51)))))))</f>
        <v>0</v>
      </c>
      <c r="BW51" s="3">
        <f>IF($I$51&gt;1,VLOOKUP($B$51,PROGRAMACION1,13,0),IF(AND($H$50=$H$51,$N$50&gt;SUM($P$50:BV50),BW50&gt;($O$50/7)),"",IF(AND(BW50&lt;&gt;0,$B$50=$B$51,$O$51&gt;(SUM($P$50:BV50))),"",(IF($N$51&gt;$O$51+(SUM($P$51:BV51)),$O$51,$N$51-(SUM($P$51:BV51)))))))</f>
        <v>0</v>
      </c>
    </row>
    <row r="52" spans="1:75" x14ac:dyDescent="0.25">
      <c r="A52" s="81">
        <v>45</v>
      </c>
      <c r="B52">
        <f>IF(A52&gt;0,FABRICAR!F46,NA())</f>
        <v>0</v>
      </c>
      <c r="C52">
        <f>IF(A52&gt;0,FABRICAR!G46,NA())</f>
        <v>0</v>
      </c>
      <c r="D52" s="1" t="str">
        <f t="shared" si="109"/>
        <v>00</v>
      </c>
      <c r="E52">
        <f>IF(A52&gt;0,FABRICAR!P46,"")</f>
        <v>0</v>
      </c>
      <c r="F52">
        <f t="shared" si="112"/>
        <v>0</v>
      </c>
      <c r="H52">
        <f>IF(B52=0,B52,IF(A52&gt;0,FABRICAR!H46,NA()))</f>
        <v>0</v>
      </c>
      <c r="I52">
        <f>IF(B52=0,B52,IF(A52&gt;0,FABRICAR!B46,NA()))</f>
        <v>0</v>
      </c>
      <c r="J52" s="75">
        <f>IF(B52=0,B52,'PROGRAM SALDO '!J48)</f>
        <v>0</v>
      </c>
      <c r="K52" s="82">
        <v>644</v>
      </c>
      <c r="L52">
        <f>IF(A52&gt;0,FABRICAR!J46,NA())</f>
        <v>0</v>
      </c>
      <c r="M52" s="9">
        <f t="shared" si="111"/>
        <v>0</v>
      </c>
      <c r="N52">
        <f>IF(A52&gt;0,FABRICAR!L46,NA())</f>
        <v>0</v>
      </c>
      <c r="O52">
        <f>IF(B52=0,B52,IF(A52&gt;0,FABRICAR!M46,"")*9)</f>
        <v>0</v>
      </c>
    </row>
    <row r="53" spans="1:75" x14ac:dyDescent="0.25">
      <c r="A53" s="81">
        <v>46</v>
      </c>
      <c r="B53">
        <f>IF(A53&gt;0,FABRICAR!F47,NA())</f>
        <v>0</v>
      </c>
      <c r="C53">
        <f>IF(A53&gt;0,FABRICAR!G47,NA())</f>
        <v>0</v>
      </c>
      <c r="D53" s="1" t="str">
        <f t="shared" si="109"/>
        <v>00</v>
      </c>
      <c r="E53">
        <f>IF(A53&gt;0,FABRICAR!P47,"")</f>
        <v>0</v>
      </c>
      <c r="F53">
        <f t="shared" si="112"/>
        <v>0</v>
      </c>
      <c r="H53">
        <f>IF(B53=0,B53,IF(A53&gt;0,FABRICAR!H47,NA()))</f>
        <v>0</v>
      </c>
      <c r="I53">
        <f>IF(B53=0,B53,IF(A53&gt;0,FABRICAR!B47,NA()))</f>
        <v>0</v>
      </c>
      <c r="J53" s="75">
        <f>IF(B53=0,B53,'PROGRAM SALDO '!J49)</f>
        <v>0</v>
      </c>
      <c r="K53" s="82">
        <v>645</v>
      </c>
      <c r="L53">
        <f>IF(A53&gt;0,FABRICAR!J47,NA())</f>
        <v>0</v>
      </c>
      <c r="M53" s="9">
        <f t="shared" si="111"/>
        <v>0</v>
      </c>
      <c r="N53">
        <f>IF(A53&gt;0,FABRICAR!L47,NA())</f>
        <v>0</v>
      </c>
      <c r="O53">
        <f>IF(B53=0,B53,IF(A53&gt;0,FABRICAR!M47,"")*9)</f>
        <v>0</v>
      </c>
    </row>
    <row r="54" spans="1:75" x14ac:dyDescent="0.25">
      <c r="A54" s="81">
        <v>47</v>
      </c>
      <c r="B54">
        <f>IF(A54&gt;0,FABRICAR!F48,NA())</f>
        <v>0</v>
      </c>
      <c r="C54">
        <f>IF(A54&gt;0,FABRICAR!G48,NA())</f>
        <v>0</v>
      </c>
      <c r="D54" s="1" t="str">
        <f t="shared" si="109"/>
        <v>00</v>
      </c>
      <c r="E54">
        <f>IF(A54&gt;0,FABRICAR!P48,"")</f>
        <v>0</v>
      </c>
      <c r="F54">
        <f t="shared" si="112"/>
        <v>0</v>
      </c>
      <c r="H54">
        <f>IF(B54=0,B54,IF(A54&gt;0,FABRICAR!H48,NA()))</f>
        <v>0</v>
      </c>
      <c r="I54">
        <f>IF(B54=0,B54,IF(A54&gt;0,FABRICAR!B48,NA()))</f>
        <v>0</v>
      </c>
      <c r="J54" s="75">
        <f>IF(B54=0,B54,'PROGRAM SALDO '!J50)</f>
        <v>0</v>
      </c>
      <c r="K54" s="82">
        <v>646</v>
      </c>
      <c r="L54">
        <f>IF(A54&gt;0,FABRICAR!J48,NA())</f>
        <v>0</v>
      </c>
      <c r="M54" s="9">
        <f t="shared" si="111"/>
        <v>0</v>
      </c>
      <c r="N54">
        <f>IF(A54&gt;0,FABRICAR!L48,NA())</f>
        <v>0</v>
      </c>
      <c r="O54">
        <f>IF(B54=0,B54,IF(A54&gt;0,FABRICAR!M48,"")*9)</f>
        <v>0</v>
      </c>
    </row>
    <row r="55" spans="1:75" x14ac:dyDescent="0.25">
      <c r="A55" s="81">
        <v>48</v>
      </c>
      <c r="B55">
        <f>IF(A55&gt;0,FABRICAR!F49,NA())</f>
        <v>0</v>
      </c>
      <c r="C55">
        <f>IF(A55&gt;0,FABRICAR!G49,NA())</f>
        <v>0</v>
      </c>
      <c r="D55" s="1" t="str">
        <f t="shared" si="109"/>
        <v>00</v>
      </c>
      <c r="E55">
        <f>IF(A55&gt;0,FABRICAR!P49,"")</f>
        <v>0</v>
      </c>
      <c r="F55">
        <f t="shared" si="112"/>
        <v>0</v>
      </c>
      <c r="H55">
        <f>IF(B55=0,B55,IF(A55&gt;0,FABRICAR!H49,NA()))</f>
        <v>0</v>
      </c>
      <c r="I55">
        <f>IF(B55=0,B55,IF(A55&gt;0,FABRICAR!B49,NA()))</f>
        <v>0</v>
      </c>
      <c r="J55" s="75">
        <f>IF(B55=0,B55,'PROGRAM SALDO '!J51)</f>
        <v>0</v>
      </c>
      <c r="K55" s="82">
        <v>647</v>
      </c>
      <c r="L55">
        <f>IF(A55&gt;0,FABRICAR!J49,NA())</f>
        <v>0</v>
      </c>
      <c r="M55" s="9">
        <f t="shared" si="111"/>
        <v>0</v>
      </c>
      <c r="N55">
        <f>IF(A55&gt;0,FABRICAR!L49,NA())</f>
        <v>0</v>
      </c>
      <c r="O55">
        <f>IF(B55=0,B55,IF(A55&gt;0,FABRICAR!M49,"")*9)</f>
        <v>0</v>
      </c>
    </row>
    <row r="56" spans="1:75" x14ac:dyDescent="0.25">
      <c r="A56" s="81">
        <v>49</v>
      </c>
      <c r="B56">
        <f>IF(A56&gt;0,FABRICAR!F50,NA())</f>
        <v>0</v>
      </c>
      <c r="C56">
        <f>IF(A56&gt;0,FABRICAR!G50,NA())</f>
        <v>0</v>
      </c>
      <c r="D56" s="1" t="str">
        <f t="shared" si="109"/>
        <v>00</v>
      </c>
      <c r="E56">
        <f>IF(A56&gt;0,FABRICAR!P50,"")</f>
        <v>0</v>
      </c>
      <c r="F56">
        <f t="shared" si="112"/>
        <v>0</v>
      </c>
      <c r="H56">
        <f>IF(B56=0,B56,IF(A56&gt;0,FABRICAR!H50,NA()))</f>
        <v>0</v>
      </c>
      <c r="I56">
        <f>IF(B56=0,B56,IF(A56&gt;0,FABRICAR!B50,NA()))</f>
        <v>0</v>
      </c>
      <c r="J56" s="75">
        <f>IF(B56=0,B56,'PROGRAM SALDO '!J52)</f>
        <v>0</v>
      </c>
      <c r="K56" s="82">
        <v>648</v>
      </c>
      <c r="L56">
        <f>IF(A56&gt;0,FABRICAR!J50,NA())</f>
        <v>0</v>
      </c>
      <c r="M56" s="9">
        <f t="shared" si="111"/>
        <v>0</v>
      </c>
      <c r="N56">
        <f>IF(A56&gt;0,FABRICAR!L50,NA())</f>
        <v>0</v>
      </c>
      <c r="O56">
        <f>IF(B56=0,B56,IF(A56&gt;0,FABRICAR!M50,"")*9)</f>
        <v>0</v>
      </c>
    </row>
    <row r="57" spans="1:75" x14ac:dyDescent="0.25">
      <c r="N57" s="17">
        <f>SUM(P42:V42)+(N42-SUM(P42:V42))</f>
        <v>12900</v>
      </c>
    </row>
  </sheetData>
  <autoFilter ref="B7:H56" xr:uid="{00000000-0009-0000-0000-000003000000}"/>
  <conditionalFormatting sqref="B6">
    <cfRule type="containsText" dxfId="17" priority="15" stopIfTrue="1" operator="containsText" text="NUEVA OT">
      <formula>NOT(ISERROR(SEARCH("NUEVA OT",B6)))</formula>
    </cfRule>
  </conditionalFormatting>
  <conditionalFormatting sqref="B7">
    <cfRule type="containsText" dxfId="16" priority="13" stopIfTrue="1" operator="containsText" text="ANULAR OT">
      <formula>NOT(ISERROR(SEARCH("ANULAR OT",B7)))</formula>
    </cfRule>
    <cfRule type="containsText" dxfId="15" priority="14" stopIfTrue="1" operator="containsText" text="NUEVA OT">
      <formula>NOT(ISERROR(SEARCH("NUEVA OT",B7)))</formula>
    </cfRule>
  </conditionalFormatting>
  <conditionalFormatting sqref="CK21:FM25 CK6 BY8:CE8 BY8:BY29 BW9:EA9 CA8:IV20 P9:CF13 AB20:BY45 BW10:CJ45 Q6:CJ7 P6:BX65536">
    <cfRule type="cellIs" dxfId="14" priority="2" stopIfTrue="1" operator="between">
      <formula>0.9</formula>
      <formula>20000</formula>
    </cfRule>
  </conditionalFormatting>
  <conditionalFormatting sqref="B8:O56 P33:CJ45 B8:CJ32">
    <cfRule type="expression" dxfId="13" priority="12" stopIfTrue="1">
      <formula>$I8&gt;0</formula>
    </cfRule>
  </conditionalFormatting>
  <conditionalFormatting sqref="K6">
    <cfRule type="cellIs" dxfId="12" priority="1" stopIfTrue="1" operator="between">
      <formula>0.9</formula>
      <formula>20000</formula>
    </cfRule>
  </conditionalFormatting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otón2_Haga_clic_en">
                <anchor moveWithCells="1" sizeWithCells="1">
                  <from>
                    <xdr:col>2</xdr:col>
                    <xdr:colOff>1790700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R70"/>
  <sheetViews>
    <sheetView zoomScale="80" zoomScaleNormal="80" workbookViewId="0">
      <selection activeCell="AU4" sqref="O4:AU4"/>
    </sheetView>
  </sheetViews>
  <sheetFormatPr baseColWidth="10" defaultRowHeight="15" x14ac:dyDescent="0.25"/>
  <cols>
    <col min="1" max="1" width="4.5703125" customWidth="1"/>
    <col min="2" max="2" width="9.85546875" customWidth="1"/>
    <col min="3" max="3" width="36.42578125" bestFit="1" customWidth="1"/>
    <col min="4" max="6" width="9.85546875" hidden="1" customWidth="1"/>
    <col min="7" max="7" width="5.5703125" hidden="1" customWidth="1"/>
    <col min="8" max="8" width="16.42578125" bestFit="1" customWidth="1"/>
    <col min="9" max="9" width="6.42578125" customWidth="1"/>
    <col min="10" max="10" width="9.85546875" style="93" customWidth="1"/>
    <col min="11" max="11" width="36.42578125" bestFit="1" customWidth="1"/>
    <col min="12" max="12" width="11.28515625" style="9" customWidth="1"/>
    <col min="13" max="13" width="10.7109375" style="17" customWidth="1"/>
    <col min="14" max="14" width="7.85546875" style="9" customWidth="1"/>
    <col min="15" max="15" width="8.7109375" style="3" bestFit="1" customWidth="1"/>
    <col min="16" max="74" width="7.7109375" customWidth="1"/>
    <col min="75" max="75" width="8.7109375" bestFit="1" customWidth="1"/>
    <col min="76" max="76" width="8.85546875" customWidth="1"/>
    <col min="77" max="77" width="8.42578125" style="9" customWidth="1"/>
    <col min="78" max="86" width="7.7109375" customWidth="1"/>
    <col min="87" max="87" width="8.7109375" bestFit="1" customWidth="1"/>
  </cols>
  <sheetData>
    <row r="1" spans="1:252" x14ac:dyDescent="0.25">
      <c r="BW1" s="3"/>
      <c r="BY1"/>
    </row>
    <row r="2" spans="1:252" x14ac:dyDescent="0.25">
      <c r="A2" s="20"/>
      <c r="B2" s="20"/>
      <c r="C2" s="21"/>
      <c r="D2" s="21"/>
      <c r="E2" s="21"/>
      <c r="F2" s="21"/>
      <c r="G2" s="21"/>
      <c r="H2" s="56"/>
      <c r="I2" s="20"/>
      <c r="J2" s="94"/>
      <c r="K2" s="22"/>
      <c r="L2" s="23"/>
      <c r="M2" s="24"/>
      <c r="N2" s="25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/>
      <c r="CF2" s="62"/>
      <c r="CG2" s="62"/>
      <c r="CH2" s="62"/>
      <c r="CI2" s="62"/>
      <c r="CJ2" s="62"/>
    </row>
    <row r="3" spans="1:252" s="5" customFormat="1" x14ac:dyDescent="0.25">
      <c r="A3" s="57">
        <f>COUNTIFS(FABRICAR!O:O,'PROGRAM MAQ'!E2,FABRICAR!B:B,"")</f>
        <v>0</v>
      </c>
      <c r="B3" s="74" t="s">
        <v>1593</v>
      </c>
      <c r="C3" s="71" t="s">
        <v>1620</v>
      </c>
      <c r="D3" s="71"/>
      <c r="E3" s="71"/>
      <c r="F3" s="71"/>
      <c r="G3" s="71"/>
      <c r="H3" s="57" t="s">
        <v>110</v>
      </c>
      <c r="I3" s="57"/>
      <c r="J3" s="95" t="s">
        <v>1594</v>
      </c>
      <c r="K3" s="72" t="s">
        <v>1596</v>
      </c>
      <c r="L3" s="72" t="s">
        <v>1640</v>
      </c>
      <c r="M3" s="57" t="s">
        <v>1595</v>
      </c>
      <c r="N3" s="73" t="s">
        <v>1606</v>
      </c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96"/>
      <c r="AQ3" s="96"/>
      <c r="AR3" s="96"/>
      <c r="AS3" s="96"/>
      <c r="AT3" s="96"/>
      <c r="AU3" s="96"/>
      <c r="AV3" s="96"/>
      <c r="AW3" s="96"/>
      <c r="AX3" s="96"/>
      <c r="AY3" s="96"/>
      <c r="AZ3" s="96"/>
      <c r="BA3" s="96"/>
      <c r="BB3" s="96"/>
      <c r="BC3" s="96"/>
      <c r="BD3" s="96"/>
      <c r="BE3" s="96"/>
      <c r="BF3" s="96"/>
      <c r="BG3" s="96"/>
      <c r="BH3" s="96"/>
      <c r="BI3" s="96"/>
      <c r="BJ3" s="96"/>
      <c r="BK3" s="96"/>
      <c r="BL3" s="96"/>
      <c r="BM3" s="96"/>
      <c r="BN3" s="96"/>
      <c r="BO3" s="96"/>
      <c r="BP3" s="96"/>
      <c r="BQ3" s="96"/>
      <c r="BR3" s="96"/>
      <c r="BS3" s="96"/>
      <c r="BT3" s="96"/>
      <c r="BU3" s="96"/>
      <c r="BV3" s="96"/>
      <c r="BW3" s="96"/>
      <c r="BX3" s="96"/>
      <c r="BY3" s="96"/>
      <c r="BZ3" s="96"/>
      <c r="CA3" s="96"/>
      <c r="CB3" s="96"/>
      <c r="CC3" s="96"/>
      <c r="CD3" s="96"/>
      <c r="CE3" s="96"/>
      <c r="CF3" s="96"/>
      <c r="CG3" s="96"/>
      <c r="CH3" s="96"/>
      <c r="CI3" s="96"/>
    </row>
    <row r="4" spans="1:252" x14ac:dyDescent="0.25">
      <c r="A4" s="81">
        <v>1</v>
      </c>
      <c r="B4">
        <f>IF(A4&gt;0,FABRICAR!F2,NA())</f>
        <v>39223</v>
      </c>
      <c r="C4" t="str">
        <f>IF(A4&gt;0,FABRICAR!G2,NA())</f>
        <v>Barra Ojo 5/8x2,40mtrs</v>
      </c>
      <c r="D4" s="1" t="str">
        <f>B4&amp;E4</f>
        <v>392230</v>
      </c>
      <c r="E4">
        <f>IF(A4&gt;0,FABRICAR!P15,"")</f>
        <v>0</v>
      </c>
      <c r="F4" t="str">
        <f>IF(E4="T",L4,"")</f>
        <v/>
      </c>
      <c r="H4" t="str">
        <f>IF(A4&gt;0,FABRICAR!H2,NA())</f>
        <v>PRENSA FR - 01</v>
      </c>
      <c r="I4">
        <f>IF(A4&gt;0,FABRICAR!B2,NA())</f>
        <v>1</v>
      </c>
      <c r="J4" s="75">
        <f>IF(O4&lt;1,0,IF(ISERROR(IF(MIN(O4:CI4)&lt;&gt;0,MIN(O4:CI4),SMALL(O4:CI4,COUNTIF(O4:CI4,"=0")+1))),"",IF(MIN(O4:CI4)&lt;&gt;0,MIN(O4:CI4),SMALL(O4:CI4,COUNTIF(O4:CI4,"=0")+1))))</f>
        <v>348</v>
      </c>
      <c r="K4" t="str">
        <f>IF(A4&gt;0,FABRICAR!J2,NA())</f>
        <v>ESTAMPAR</v>
      </c>
      <c r="L4" s="9">
        <f t="shared" ref="L4:L28" si="0">IFERROR(VLOOKUP(C4,PRODUCTOS,4,0),0)</f>
        <v>4.0423999999999998</v>
      </c>
      <c r="M4">
        <f>IF(A4&gt;0,FABRICAR!N2,NA())</f>
        <v>15000</v>
      </c>
      <c r="N4">
        <f>IF(B4=0,B4,IF(A4&gt;0,FABRICAR!M2,"")*9)</f>
        <v>396</v>
      </c>
      <c r="O4" s="3">
        <f>IF(M4&gt;N4,N4,M4)</f>
        <v>396</v>
      </c>
      <c r="P4">
        <f>IF(M4&gt;N4+(SUM(O4:O4)),N4,M4-(SUM(O4:O4)))</f>
        <v>396</v>
      </c>
      <c r="Q4">
        <f>IF(M4&gt;N4+(SUM(O4:P4)),N4,M4-(SUM(O4:P4)))</f>
        <v>396</v>
      </c>
      <c r="R4">
        <f>IF(M4&gt;N4+(SUM(O4:Q4)),N4,M4-(SUM(O4:Q4)))</f>
        <v>396</v>
      </c>
      <c r="S4">
        <f>IF(M4&gt;N4+(SUM(O4:R4)),N4,M4-(SUM(O4:R4)))</f>
        <v>396</v>
      </c>
      <c r="T4">
        <f>IF(M4&gt;N4+(SUM(O4:S4)),N4,M4-(SUM(O4:S4)))</f>
        <v>396</v>
      </c>
      <c r="U4">
        <f>IF(M4&gt;N4+(SUM(O4:T4)),N4,M4-(SUM(O4:T4)))</f>
        <v>396</v>
      </c>
      <c r="V4">
        <f>IF(M4&gt;N4+(SUM(O4:U4)),N4,M4-(SUM(O4:U4)))</f>
        <v>396</v>
      </c>
      <c r="W4">
        <f>IF(M4&gt;N4+(SUM(O4:V4)),N4,M4-(SUM(O4:V4)))</f>
        <v>396</v>
      </c>
      <c r="X4">
        <f>IF(M4&gt;N4+(SUM(O4:W4)),N4,M4-(SUM(O4:W4)))</f>
        <v>396</v>
      </c>
      <c r="Y4">
        <f>IF(M4&gt;N4+(SUM(O4:X4)),N4,M4-(SUM(O4:X4)))</f>
        <v>396</v>
      </c>
      <c r="Z4">
        <f t="shared" ref="Z4:Z24" si="1">IF(M4&gt;N4+(SUM(O4:Y4)),N4,M4-(SUM(O4:Y4)))</f>
        <v>396</v>
      </c>
      <c r="AA4">
        <f>IF(M4&gt;N4+(SUM(O4:Z4)),N4,M4-(SUM(O4:Z4)))</f>
        <v>396</v>
      </c>
      <c r="AB4">
        <f>IF(M4&gt;N4+(SUM(O4:AA4)),N4,M4-(SUM(O4:AA4)))</f>
        <v>396</v>
      </c>
      <c r="AC4">
        <f>IF(M4&gt;N4+(SUM(O4:AB4)),N4,M4-(SUM(O4:AB4)))</f>
        <v>396</v>
      </c>
      <c r="AD4">
        <f>IF(M4&gt;N4+(SUM(O4:AC4)),N4,M4-(SUM(O4:AC4)))</f>
        <v>396</v>
      </c>
      <c r="AE4">
        <f>IF(M4&gt;N4+(SUM(O4:AD4)),N4,M4-(SUM(O4:AD4)))</f>
        <v>396</v>
      </c>
      <c r="AF4">
        <f>IF(M4&gt;N4+(SUM(O4:AE4)),N4,M4-(SUM(O4:AE4)))</f>
        <v>396</v>
      </c>
      <c r="AG4">
        <f>IF(M4&gt;N4+(SUM(O4:AF4)),N4,M4-(SUM(O4:AF4)))</f>
        <v>396</v>
      </c>
      <c r="AH4">
        <f>IF(M4&gt;N4+(SUM(O4:AG4)),N4,M4-(SUM(O4:AG4)))</f>
        <v>396</v>
      </c>
      <c r="AI4">
        <f>IF(M4&gt;N4+(SUM(O4:AH4)),N4,M4-(SUM(O4:AH4)))</f>
        <v>396</v>
      </c>
      <c r="AJ4">
        <f>IF(M4&gt;N4+(SUM(O4:AI4)),N4,M4-(SUM(O4:AI4)))</f>
        <v>396</v>
      </c>
      <c r="AK4">
        <f>IF(M4&gt;N4+(SUM(O4:AJ4)),N4,M4-(SUM(O4:AJ4)))</f>
        <v>396</v>
      </c>
      <c r="AL4">
        <f>IF(M4&gt;N4+(SUM(O4:AK4)),N4,M4-(SUM(O4:AK4)))</f>
        <v>396</v>
      </c>
      <c r="AM4">
        <f>IF(M4&gt;N4+(SUM(O4:AL4)),N4,M4-(SUM(O4:AL4)))</f>
        <v>396</v>
      </c>
      <c r="AN4">
        <f>IF(M4&gt;N4+(SUM(O4:AM4)),N4,M4-(SUM(O4:AM4)))</f>
        <v>396</v>
      </c>
      <c r="AO4">
        <f>IF(M4&gt;N4+(SUM(O4:AN4)),N4,M4-(SUM(O4:AN4)))</f>
        <v>396</v>
      </c>
      <c r="AP4">
        <f>IF(M4&gt;N4+(SUM(O4:AO4)),N4,M4-(SUM(O4:AO4)))</f>
        <v>396</v>
      </c>
      <c r="AQ4">
        <f>IF(M4&gt;N4+(SUM(O4:AP4)),N4,M4-(SUM(O4:AP4)))</f>
        <v>396</v>
      </c>
      <c r="AR4">
        <f>IF(M4&gt;N4+(SUM(O4:AQ4)),N4,M4-(SUM(O4:AQ4)))</f>
        <v>396</v>
      </c>
      <c r="AS4">
        <f>IF(M4&gt;N4+(SUM(O4:AR4)),N4,M4-(SUM(O4:AR4)))</f>
        <v>396</v>
      </c>
      <c r="AT4">
        <f>IF(M4&gt;N4+(SUM(O4:AS4)),N4,M4-(SUM(O4:AS4)))</f>
        <v>396</v>
      </c>
      <c r="AU4">
        <f>IF(M4&gt;N4+(SUM(O4:AT4)),N4,M4-(SUM(O4:AT4)))</f>
        <v>396</v>
      </c>
      <c r="AV4">
        <f>IF(M4&gt;N4+(SUM(O4:AU4)),N4,M4-(SUM(O4:AU4)))</f>
        <v>396</v>
      </c>
      <c r="AW4">
        <f>IF(M4&gt;N4+(SUM(O4:AV4)),N4,M4-(SUM(O4:AV4)))</f>
        <v>396</v>
      </c>
      <c r="AX4">
        <f>IF(M4&gt;N4+(SUM(O4:AW4)),N4,M4-(SUM(O4:AW4)))</f>
        <v>396</v>
      </c>
      <c r="AY4">
        <f>IF(M4&gt;N4+(SUM(O4:AX4)),N4,M4-(SUM($O4:AX4)))</f>
        <v>396</v>
      </c>
      <c r="AZ4">
        <f>IF(M4&gt;N4+(SUM(O4:AY4)),N4,M4-(SUM(O4:AY4)))</f>
        <v>348</v>
      </c>
      <c r="BA4">
        <f>IF(M4&gt;N4+(SUM(O4:AZ4)),N4,M4-(SUM(O4:AZ4)))</f>
        <v>0</v>
      </c>
      <c r="BB4">
        <f>IF(M4&gt;N4+(SUM(O4:BA4)),N4,M4-(SUM(O4:BA4)))</f>
        <v>0</v>
      </c>
      <c r="BC4">
        <f>IF(M4&gt;N4+(SUM(O4:BB4)),N4,M4-(SUM(O4:BB4)))</f>
        <v>0</v>
      </c>
      <c r="BD4">
        <f>IF(M4&gt;N4+(SUM(O4:BC4)),N4,M4-(SUM(O4:BC4)))</f>
        <v>0</v>
      </c>
      <c r="BE4">
        <f>IF(M4&gt;N4+(SUM(O4:BD4)),N4,M4-(SUM(O4:BD4)))</f>
        <v>0</v>
      </c>
      <c r="BF4">
        <f>IF(M4&gt;N4+(SUM(O4:BE4)),N4,M4-(SUM(O4:BE4)))</f>
        <v>0</v>
      </c>
      <c r="BG4">
        <f>IF(M4&gt;N4+(SUM(O4:BF4)),N4,M4-(SUM(O4:BF4)))</f>
        <v>0</v>
      </c>
      <c r="BH4">
        <f>IF(M4&gt;N4+(SUM(O4:BG4)),N4,M4-(SUM(O4:BG4)))</f>
        <v>0</v>
      </c>
      <c r="BI4">
        <f>IF(M4&gt;N4+(SUM(O4:BH4)),N4,M4-(SUM(O4:BH4)))</f>
        <v>0</v>
      </c>
      <c r="BJ4">
        <f>IF(M4&gt;N4+(SUM(O4:BI4)),N4,M4-(SUM(O4:BI4)))</f>
        <v>0</v>
      </c>
      <c r="BK4">
        <f>IF(M4&gt;N4+(SUM(O4:BJ4)),N4,M4-(SUM(O4:BJ4)))</f>
        <v>0</v>
      </c>
      <c r="BL4">
        <f>IF(M4&gt;N4+(SUM(O4:BK4)),N4,M4-(SUM(O4:BK4)))</f>
        <v>0</v>
      </c>
      <c r="BM4">
        <f>IF(M4&gt;N4+(SUM(O4:BL4)),N4,M4-(SUM(O4:BL4)))</f>
        <v>0</v>
      </c>
      <c r="BN4">
        <f>IF(M4&gt;N4+(SUM(O4:BM4)),N4,M4-(SUM(O4:BM4)))</f>
        <v>0</v>
      </c>
      <c r="BO4">
        <f>IF(M4&gt;N4+(SUM(O4:BN4)),N4,M4-(SUM(O4:BN4)))</f>
        <v>0</v>
      </c>
      <c r="BP4">
        <f>IF(M4&gt;N4+(SUM(O4:BO4)),N4,M4-(SUM(O4:BO4)))</f>
        <v>0</v>
      </c>
      <c r="BQ4">
        <f>IF(M4&gt;N4+(SUM(O4:BP4)),N4,M4-(SUM(O4:BP4)))</f>
        <v>0</v>
      </c>
      <c r="BR4">
        <f>IF(M4&gt;N4+(SUM(O4:BQ4)),N4,M4-(SUM(O4:BQ4)))</f>
        <v>0</v>
      </c>
      <c r="BS4">
        <f>IF(M4&gt;N4+(SUM(O4:BR4)),N4,M4-(SUM(O4:BR4)))</f>
        <v>0</v>
      </c>
      <c r="BT4">
        <f>IF(M4&gt;N4+(SUM(O4:BS4)),N4,M4-(SUM(O4:BS4)))</f>
        <v>0</v>
      </c>
      <c r="BU4">
        <f>IF(M4&gt;N4+(SUM(O4:BT4)),N4,M4-(SUM(O4:BT4)))</f>
        <v>0</v>
      </c>
      <c r="BV4">
        <f>IF(M4&gt;N4+(SUM(O4:BU4)),N4,M4-(SUM(O4:BU4)))</f>
        <v>0</v>
      </c>
      <c r="BY4"/>
    </row>
    <row r="5" spans="1:252" x14ac:dyDescent="0.25">
      <c r="A5" s="81">
        <v>2</v>
      </c>
      <c r="B5">
        <f>IF(A5&gt;0,FABRICAR!F3,NA())</f>
        <v>39223</v>
      </c>
      <c r="C5" t="str">
        <f>IF(A5&gt;0,FABRICAR!G3,NA())</f>
        <v>Barra Ojo 5/8x2,40mtrs</v>
      </c>
      <c r="D5" s="1" t="str">
        <f t="shared" ref="D5:D28" si="2">B5&amp;E5</f>
        <v>392230</v>
      </c>
      <c r="E5">
        <f>IF(A5&gt;0,FABRICAR!P16,"")</f>
        <v>0</v>
      </c>
      <c r="F5" t="str">
        <f t="shared" ref="F5:F28" si="3">IF(E5="T",L5,"")</f>
        <v/>
      </c>
      <c r="H5" t="str">
        <f>IF(A5&gt;0,FABRICAR!H3,NA())</f>
        <v>PRENSA EX - 13</v>
      </c>
      <c r="I5">
        <f>IF(A5&gt;0,FABRICAR!B3,NA())</f>
        <v>0</v>
      </c>
      <c r="J5" s="75">
        <f t="shared" ref="J5:J57" si="4">IF(O5&lt;1,0,IF(ISERROR(IF(MIN(O5:CI5)&lt;&gt;0,MIN(O5:CI5),SMALL(O5:CI5,COUNTIF(O5:CI5,"=0")+1))),"",IF(MIN(O5:CI5)&lt;&gt;0,MIN(O5:CI5),SMALL(O5:CI5,COUNTIF(O5:CI5,"=0")+1))))</f>
        <v>375</v>
      </c>
      <c r="K5" t="str">
        <f>IF(A5&gt;0,FABRICAR!J3,NA())</f>
        <v>REBABAR EXT</v>
      </c>
      <c r="L5" s="9">
        <f t="shared" si="0"/>
        <v>4.0423999999999998</v>
      </c>
      <c r="M5">
        <f>IF(A5&gt;0,FABRICAR!N3,NA())</f>
        <v>15000</v>
      </c>
      <c r="N5">
        <f>IF(B5=0,B5,IF(A5&gt;0,FABRICAR!M3,"")*9)</f>
        <v>1125</v>
      </c>
      <c r="O5" s="3">
        <f t="shared" ref="O5:O47" si="5">IF(M5&gt;N5,N5,M5)</f>
        <v>1125</v>
      </c>
      <c r="P5">
        <f t="shared" ref="P5:P47" si="6">IF(M5&gt;N5+(SUM(O5:O5)),N5,M5-(SUM(O5:O5)))</f>
        <v>1125</v>
      </c>
      <c r="Q5">
        <f t="shared" ref="Q5:Q24" si="7">IF(M5&gt;N5+(SUM(O5:P5)),N5,M5-(SUM(O5:P5)))</f>
        <v>1125</v>
      </c>
      <c r="R5">
        <f t="shared" ref="R5:R24" si="8">IF(M5&gt;N5+(SUM(O5:Q5)),N5,M5-(SUM(O5:Q5)))</f>
        <v>1125</v>
      </c>
      <c r="S5">
        <f t="shared" ref="S5:S24" si="9">IF(M5&gt;N5+(SUM(O5:R5)),N5,M5-(SUM(O5:R5)))</f>
        <v>1125</v>
      </c>
      <c r="T5">
        <f t="shared" ref="T5:T24" si="10">IF(M5&gt;N5+(SUM(O5:S5)),N5,M5-(SUM(O5:S5)))</f>
        <v>1125</v>
      </c>
      <c r="U5">
        <f t="shared" ref="U5:U24" si="11">IF(M5&gt;N5+(SUM(O5:T5)),N5,M5-(SUM(O5:T5)))</f>
        <v>1125</v>
      </c>
      <c r="V5">
        <f t="shared" ref="V5:V24" si="12">IF(M5&gt;N5+(SUM(O5:U5)),N5,M5-(SUM(O5:U5)))</f>
        <v>1125</v>
      </c>
      <c r="W5">
        <f t="shared" ref="W5:W24" si="13">IF(M5&gt;N5+(SUM(O5:V5)),N5,M5-(SUM(O5:V5)))</f>
        <v>1125</v>
      </c>
      <c r="X5">
        <f t="shared" ref="X5:X24" si="14">IF(M5&gt;N5+(SUM(O5:W5)),N5,M5-(SUM(O5:W5)))</f>
        <v>1125</v>
      </c>
      <c r="Y5">
        <f t="shared" ref="Y5:Y24" si="15">IF(M5&gt;N5+(SUM(O5:X5)),N5,M5-(SUM(O5:X5)))</f>
        <v>1125</v>
      </c>
      <c r="Z5">
        <f t="shared" si="1"/>
        <v>1125</v>
      </c>
      <c r="AA5">
        <f t="shared" ref="AA5:AA24" si="16">IF(M5&gt;N5+(SUM(O5:Z5)),N5,M5-(SUM(O5:Z5)))</f>
        <v>1125</v>
      </c>
      <c r="AB5">
        <f t="shared" ref="AB5:AB24" si="17">IF(M5&gt;N5+(SUM(O5:AA5)),N5,M5-(SUM(O5:AA5)))</f>
        <v>375</v>
      </c>
      <c r="AC5">
        <f t="shared" ref="AC5:AC24" si="18">IF(M5&gt;N5+(SUM(O5:AB5)),N5,M5-(SUM(O5:AB5)))</f>
        <v>0</v>
      </c>
      <c r="AD5">
        <f t="shared" ref="AD5:AD24" si="19">IF(M5&gt;N5+(SUM(O5:AC5)),N5,M5-(SUM(O5:AC5)))</f>
        <v>0</v>
      </c>
      <c r="AE5">
        <f t="shared" ref="AE5:AE24" si="20">IF(M5&gt;N5+(SUM(O5:AD5)),N5,M5-(SUM(O5:AD5)))</f>
        <v>0</v>
      </c>
      <c r="AF5">
        <f t="shared" ref="AF5:AF24" si="21">IF(M5&gt;N5+(SUM(O5:AE5)),N5,M5-(SUM(O5:AE5)))</f>
        <v>0</v>
      </c>
      <c r="AG5">
        <f t="shared" ref="AG5:AG24" si="22">IF(M5&gt;N5+(SUM(O5:AF5)),N5,M5-(SUM(O5:AF5)))</f>
        <v>0</v>
      </c>
      <c r="AH5">
        <f t="shared" ref="AH5:AH24" si="23">IF(M5&gt;N5+(SUM(O5:AG5)),N5,M5-(SUM(O5:AG5)))</f>
        <v>0</v>
      </c>
      <c r="AI5">
        <f t="shared" ref="AI5:AI24" si="24">IF(M5&gt;N5+(SUM(O5:AH5)),N5,M5-(SUM(O5:AH5)))</f>
        <v>0</v>
      </c>
      <c r="AJ5">
        <f t="shared" ref="AJ5:AJ24" si="25">IF(M5&gt;N5+(SUM(O5:AI5)),N5,M5-(SUM(O5:AI5)))</f>
        <v>0</v>
      </c>
      <c r="AK5">
        <f t="shared" ref="AK5:AK24" si="26">IF(M5&gt;N5+(SUM(O5:AJ5)),N5,M5-(SUM(O5:AJ5)))</f>
        <v>0</v>
      </c>
      <c r="AL5">
        <f t="shared" ref="AL5:AL24" si="27">IF(M5&gt;N5+(SUM(O5:AK5)),N5,M5-(SUM(O5:AK5)))</f>
        <v>0</v>
      </c>
      <c r="AM5">
        <f t="shared" ref="AM5:AM24" si="28">IF(M5&gt;N5+(SUM(O5:AL5)),N5,M5-(SUM(O5:AL5)))</f>
        <v>0</v>
      </c>
      <c r="AN5">
        <f t="shared" ref="AN5:AN27" si="29">IF(M5&gt;N5+(SUM(O5:AM5)),N5,M5-(SUM(O5:AM5)))</f>
        <v>0</v>
      </c>
      <c r="AO5">
        <f t="shared" ref="AO5:AO27" si="30">IF(M5&gt;N5+(SUM(O5:AN5)),N5,M5-(SUM(O5:AN5)))</f>
        <v>0</v>
      </c>
      <c r="AP5">
        <f t="shared" ref="AP5:AP27" si="31">IF(M5&gt;N5+(SUM(O5:AO5)),N5,M5-(SUM(O5:AO5)))</f>
        <v>0</v>
      </c>
      <c r="AQ5">
        <f t="shared" ref="AQ5:AQ27" si="32">IF(M5&gt;N5+(SUM(O5:AP5)),N5,M5-(SUM(O5:AP5)))</f>
        <v>0</v>
      </c>
      <c r="AR5">
        <f t="shared" ref="AR5:AR27" si="33">IF(M5&gt;N5+(SUM(O5:AQ5)),N5,M5-(SUM(O5:AQ5)))</f>
        <v>0</v>
      </c>
      <c r="AS5">
        <f t="shared" ref="AS5:AS27" si="34">IF(M5&gt;N5+(SUM(O5:AR5)),N5,M5-(SUM(O5:AR5)))</f>
        <v>0</v>
      </c>
      <c r="AT5">
        <f t="shared" ref="AT5:AT27" si="35">IF(M5&gt;N5+(SUM(O5:AS5)),N5,M5-(SUM(O5:AS5)))</f>
        <v>0</v>
      </c>
      <c r="AU5">
        <f t="shared" ref="AU5:AU27" si="36">IF(M5&gt;N5+(SUM(O5:AT5)),N5,M5-(SUM(O5:AT5)))</f>
        <v>0</v>
      </c>
      <c r="AV5">
        <f t="shared" ref="AV5:AV27" si="37">IF(M5&gt;N5+(SUM(O5:AU5)),N5,M5-(SUM(O5:AU5)))</f>
        <v>0</v>
      </c>
      <c r="AW5">
        <f t="shared" ref="AW5:AW27" si="38">IF(M5&gt;N5+(SUM(O5:AV5)),N5,M5-(SUM(O5:AV5)))</f>
        <v>0</v>
      </c>
      <c r="AX5">
        <f t="shared" ref="AX5:AX27" si="39">IF(M5&gt;N5+(SUM(O5:AW5)),N5,M5-(SUM(O5:AW5)))</f>
        <v>0</v>
      </c>
      <c r="AY5">
        <f>IF(M5&gt;N5+(SUM(O5:AX5)),N5,M5-(SUM($O5:AX5)))</f>
        <v>0</v>
      </c>
      <c r="AZ5">
        <f t="shared" ref="AZ5:AZ27" si="40">IF(M5&gt;N5+(SUM(O5:AY5)),N5,M5-(SUM(O5:AY5)))</f>
        <v>0</v>
      </c>
      <c r="BA5">
        <f t="shared" ref="BA5:BA27" si="41">IF(M5&gt;N5+(SUM(O5:AZ5)),N5,M5-(SUM(O5:AZ5)))</f>
        <v>0</v>
      </c>
      <c r="BB5">
        <f t="shared" ref="BB5:BB27" si="42">IF(M5&gt;N5+(SUM(O5:BA5)),N5,M5-(SUM(O5:BA5)))</f>
        <v>0</v>
      </c>
      <c r="BC5">
        <f t="shared" ref="BC5:BC27" si="43">IF(M5&gt;N5+(SUM(O5:BB5)),N5,M5-(SUM(O5:BB5)))</f>
        <v>0</v>
      </c>
      <c r="BD5">
        <f t="shared" ref="BD5:BD27" si="44">IF(M5&gt;N5+(SUM(O5:BC5)),N5,M5-(SUM(O5:BC5)))</f>
        <v>0</v>
      </c>
      <c r="BE5">
        <f t="shared" ref="BE5:BE27" si="45">IF(M5&gt;N5+(SUM(O5:BD5)),N5,M5-(SUM(O5:BD5)))</f>
        <v>0</v>
      </c>
      <c r="BF5">
        <f t="shared" ref="BF5:BF27" si="46">IF(M5&gt;N5+(SUM(O5:BE5)),N5,M5-(SUM(O5:BE5)))</f>
        <v>0</v>
      </c>
      <c r="BG5">
        <f t="shared" ref="BG5:BG27" si="47">IF(M5&gt;N5+(SUM(O5:BF5)),N5,M5-(SUM(O5:BF5)))</f>
        <v>0</v>
      </c>
      <c r="BH5">
        <f t="shared" ref="BH5:BH27" si="48">IF(M5&gt;N5+(SUM(O5:BG5)),N5,M5-(SUM(O5:BG5)))</f>
        <v>0</v>
      </c>
      <c r="BI5">
        <f t="shared" ref="BI5:BI27" si="49">IF(M5&gt;N5+(SUM(O5:BH5)),N5,M5-(SUM(O5:BH5)))</f>
        <v>0</v>
      </c>
      <c r="BJ5">
        <f t="shared" ref="BJ5:BJ27" si="50">IF(M5&gt;N5+(SUM(O5:BI5)),N5,M5-(SUM(O5:BI5)))</f>
        <v>0</v>
      </c>
      <c r="BK5">
        <f t="shared" ref="BK5:BK27" si="51">IF(M5&gt;N5+(SUM(O5:BJ5)),N5,M5-(SUM(O5:BJ5)))</f>
        <v>0</v>
      </c>
      <c r="BL5">
        <f t="shared" ref="BL5:BL27" si="52">IF(M5&gt;N5+(SUM(O5:BK5)),N5,M5-(SUM(O5:BK5)))</f>
        <v>0</v>
      </c>
      <c r="BM5">
        <f t="shared" ref="BM5:BM27" si="53">IF(M5&gt;N5+(SUM(O5:BL5)),N5,M5-(SUM(O5:BL5)))</f>
        <v>0</v>
      </c>
      <c r="BN5">
        <f t="shared" ref="BN5:BN27" si="54">IF(M5&gt;N5+(SUM(O5:BM5)),N5,M5-(SUM(O5:BM5)))</f>
        <v>0</v>
      </c>
      <c r="BO5">
        <f t="shared" ref="BO5:BO27" si="55">IF(M5&gt;N5+(SUM(O5:BN5)),N5,M5-(SUM(O5:BN5)))</f>
        <v>0</v>
      </c>
      <c r="BP5">
        <f t="shared" ref="BP5:BP27" si="56">IF(M5&gt;N5+(SUM(O5:BO5)),N5,M5-(SUM(O5:BO5)))</f>
        <v>0</v>
      </c>
      <c r="BQ5">
        <f t="shared" ref="BQ5:BQ27" si="57">IF(M5&gt;N5+(SUM(O5:BP5)),N5,M5-(SUM(O5:BP5)))</f>
        <v>0</v>
      </c>
      <c r="BR5">
        <f t="shared" ref="BR5:BR27" si="58">IF(M5&gt;N5+(SUM(O5:BQ5)),N5,M5-(SUM(O5:BQ5)))</f>
        <v>0</v>
      </c>
      <c r="BS5">
        <f t="shared" ref="BS5:BS27" si="59">IF(M5&gt;N5+(SUM(O5:BR5)),N5,M5-(SUM(O5:BR5)))</f>
        <v>0</v>
      </c>
      <c r="BT5">
        <f t="shared" ref="BT5:BT27" si="60">IF(M5&gt;N5+(SUM(O5:BS5)),N5,M5-(SUM(O5:BS5)))</f>
        <v>0</v>
      </c>
      <c r="BU5">
        <f t="shared" ref="BU5:BU27" si="61">IF(M5&gt;N5+(SUM(O5:BT5)),N5,M5-(SUM(O5:BT5)))</f>
        <v>0</v>
      </c>
      <c r="BV5">
        <f t="shared" ref="BV5:BV27" si="62">IF(M5&gt;N5+(SUM(O5:BU5)),N5,M5-(SUM(O5:BU5)))</f>
        <v>0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</row>
    <row r="6" spans="1:252" x14ac:dyDescent="0.25">
      <c r="A6" s="81">
        <v>3</v>
      </c>
      <c r="B6">
        <f>IF(A6&gt;0,FABRICAR!F4,NA())</f>
        <v>39223</v>
      </c>
      <c r="C6" t="str">
        <f>IF(A6&gt;0,FABRICAR!G4,NA())</f>
        <v>Barra Ojo 5/8x2,40mtrs</v>
      </c>
      <c r="D6" s="1" t="str">
        <f t="shared" si="2"/>
        <v>392230</v>
      </c>
      <c r="E6">
        <f>IF(A6&gt;0,FABRICAR!P17,"")</f>
        <v>0</v>
      </c>
      <c r="F6" t="str">
        <f t="shared" si="3"/>
        <v/>
      </c>
      <c r="H6" t="str">
        <f>IF(A6&gt;0,FABRICAR!H4,NA())</f>
        <v>PRENSA FR - 03</v>
      </c>
      <c r="I6">
        <f>IF(A6&gt;0,FABRICAR!B4,NA())</f>
        <v>0</v>
      </c>
      <c r="J6" s="75">
        <f t="shared" si="4"/>
        <v>375</v>
      </c>
      <c r="K6" t="str">
        <f>IF(A6&gt;0,FABRICAR!J4,NA())</f>
        <v>REBABAR INT</v>
      </c>
      <c r="L6" s="9">
        <f t="shared" si="0"/>
        <v>4.0423999999999998</v>
      </c>
      <c r="M6">
        <f>IF(A6&gt;0,FABRICAR!N4,NA())</f>
        <v>15000</v>
      </c>
      <c r="N6">
        <f>IF(B6=0,B6,IF(A6&gt;0,FABRICAR!M4,"")*9)</f>
        <v>1125</v>
      </c>
      <c r="O6" s="3">
        <f t="shared" si="5"/>
        <v>1125</v>
      </c>
      <c r="P6">
        <f t="shared" si="6"/>
        <v>1125</v>
      </c>
      <c r="Q6">
        <f t="shared" si="7"/>
        <v>1125</v>
      </c>
      <c r="R6">
        <f t="shared" si="8"/>
        <v>1125</v>
      </c>
      <c r="S6">
        <f t="shared" si="9"/>
        <v>1125</v>
      </c>
      <c r="T6">
        <f t="shared" si="10"/>
        <v>1125</v>
      </c>
      <c r="U6">
        <f t="shared" si="11"/>
        <v>1125</v>
      </c>
      <c r="V6">
        <f t="shared" si="12"/>
        <v>1125</v>
      </c>
      <c r="W6">
        <f t="shared" si="13"/>
        <v>1125</v>
      </c>
      <c r="X6">
        <f t="shared" si="14"/>
        <v>1125</v>
      </c>
      <c r="Y6">
        <f t="shared" si="15"/>
        <v>1125</v>
      </c>
      <c r="Z6">
        <f t="shared" si="1"/>
        <v>1125</v>
      </c>
      <c r="AA6">
        <f t="shared" si="16"/>
        <v>1125</v>
      </c>
      <c r="AB6">
        <f t="shared" si="17"/>
        <v>375</v>
      </c>
      <c r="AC6">
        <f t="shared" si="18"/>
        <v>0</v>
      </c>
      <c r="AD6">
        <f t="shared" si="19"/>
        <v>0</v>
      </c>
      <c r="AE6">
        <f t="shared" si="20"/>
        <v>0</v>
      </c>
      <c r="AF6">
        <f t="shared" si="21"/>
        <v>0</v>
      </c>
      <c r="AG6">
        <f t="shared" si="22"/>
        <v>0</v>
      </c>
      <c r="AH6">
        <f t="shared" si="23"/>
        <v>0</v>
      </c>
      <c r="AI6">
        <f t="shared" si="24"/>
        <v>0</v>
      </c>
      <c r="AJ6">
        <f t="shared" si="25"/>
        <v>0</v>
      </c>
      <c r="AK6">
        <f t="shared" si="26"/>
        <v>0</v>
      </c>
      <c r="AL6">
        <f t="shared" si="27"/>
        <v>0</v>
      </c>
      <c r="AM6">
        <f t="shared" si="28"/>
        <v>0</v>
      </c>
      <c r="AN6">
        <f t="shared" si="29"/>
        <v>0</v>
      </c>
      <c r="AO6">
        <f t="shared" si="30"/>
        <v>0</v>
      </c>
      <c r="AP6">
        <f t="shared" si="31"/>
        <v>0</v>
      </c>
      <c r="AQ6">
        <f t="shared" si="32"/>
        <v>0</v>
      </c>
      <c r="AR6">
        <f t="shared" si="33"/>
        <v>0</v>
      </c>
      <c r="AS6">
        <f t="shared" si="34"/>
        <v>0</v>
      </c>
      <c r="AT6">
        <f t="shared" si="35"/>
        <v>0</v>
      </c>
      <c r="AU6">
        <f t="shared" si="36"/>
        <v>0</v>
      </c>
      <c r="AV6">
        <f t="shared" si="37"/>
        <v>0</v>
      </c>
      <c r="AW6">
        <f t="shared" si="38"/>
        <v>0</v>
      </c>
      <c r="AX6">
        <f t="shared" si="39"/>
        <v>0</v>
      </c>
      <c r="AY6">
        <f>IF(M6&gt;N6+(SUM(O6:AX6)),N6,M6-(SUM($O6:AX6)))</f>
        <v>0</v>
      </c>
      <c r="AZ6">
        <f t="shared" si="40"/>
        <v>0</v>
      </c>
      <c r="BA6">
        <f t="shared" si="41"/>
        <v>0</v>
      </c>
      <c r="BB6">
        <f t="shared" si="42"/>
        <v>0</v>
      </c>
      <c r="BC6">
        <f t="shared" si="43"/>
        <v>0</v>
      </c>
      <c r="BD6">
        <f t="shared" si="44"/>
        <v>0</v>
      </c>
      <c r="BE6">
        <f t="shared" si="45"/>
        <v>0</v>
      </c>
      <c r="BF6">
        <f t="shared" si="46"/>
        <v>0</v>
      </c>
      <c r="BG6">
        <f t="shared" si="47"/>
        <v>0</v>
      </c>
      <c r="BH6">
        <f t="shared" si="48"/>
        <v>0</v>
      </c>
      <c r="BI6">
        <f t="shared" si="49"/>
        <v>0</v>
      </c>
      <c r="BJ6">
        <f t="shared" si="50"/>
        <v>0</v>
      </c>
      <c r="BK6">
        <f t="shared" si="51"/>
        <v>0</v>
      </c>
      <c r="BL6">
        <f t="shared" si="52"/>
        <v>0</v>
      </c>
      <c r="BM6">
        <f t="shared" si="53"/>
        <v>0</v>
      </c>
      <c r="BN6">
        <f t="shared" si="54"/>
        <v>0</v>
      </c>
      <c r="BO6">
        <f t="shared" si="55"/>
        <v>0</v>
      </c>
      <c r="BP6">
        <f t="shared" si="56"/>
        <v>0</v>
      </c>
      <c r="BQ6">
        <f t="shared" si="57"/>
        <v>0</v>
      </c>
      <c r="BR6">
        <f t="shared" si="58"/>
        <v>0</v>
      </c>
      <c r="BS6">
        <f t="shared" si="59"/>
        <v>0</v>
      </c>
      <c r="BT6">
        <f t="shared" si="60"/>
        <v>0</v>
      </c>
      <c r="BU6">
        <f t="shared" si="61"/>
        <v>0</v>
      </c>
      <c r="BV6">
        <f t="shared" si="62"/>
        <v>0</v>
      </c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</row>
    <row r="7" spans="1:252" x14ac:dyDescent="0.25">
      <c r="A7" s="81">
        <v>4</v>
      </c>
      <c r="B7">
        <f>IF(A7&gt;0,FABRICAR!F5,NA())</f>
        <v>39223</v>
      </c>
      <c r="C7" t="str">
        <f>IF(A7&gt;0,FABRICAR!G5,NA())</f>
        <v>Barra Ojo 5/8x2,40mtrs</v>
      </c>
      <c r="D7" s="1" t="str">
        <f t="shared" si="2"/>
        <v>39223T</v>
      </c>
      <c r="E7" t="str">
        <f>IF(A7&gt;0,FABRICAR!P18,"")</f>
        <v>T</v>
      </c>
      <c r="F7">
        <f t="shared" si="3"/>
        <v>4.0423999999999998</v>
      </c>
      <c r="H7" t="str">
        <f>IF(A7&gt;0,FABRICAR!H5,NA())</f>
        <v>PUNT PER</v>
      </c>
      <c r="I7">
        <f>IF(A7&gt;0,FABRICAR!B5,NA())</f>
        <v>0</v>
      </c>
      <c r="J7" s="75">
        <f t="shared" si="4"/>
        <v>240</v>
      </c>
      <c r="K7" t="str">
        <f>IF(A7&gt;0,FABRICAR!J5,NA())</f>
        <v>PUNTEAR</v>
      </c>
      <c r="L7" s="9">
        <f t="shared" si="0"/>
        <v>4.0423999999999998</v>
      </c>
      <c r="M7">
        <f>IF(A7&gt;0,FABRICAR!N5,NA())</f>
        <v>15000</v>
      </c>
      <c r="N7">
        <f>IF(B7=0,B7,IF(A7&gt;0,FABRICAR!M5,"")*9)</f>
        <v>1845</v>
      </c>
      <c r="O7" s="3">
        <f t="shared" si="5"/>
        <v>1845</v>
      </c>
      <c r="P7">
        <f t="shared" si="6"/>
        <v>1845</v>
      </c>
      <c r="Q7">
        <f>IF(M7&gt;N7+(SUM(O7:P7)),N7,M7-(SUM(O7:P7)))</f>
        <v>1845</v>
      </c>
      <c r="R7">
        <f>IF(M7&gt;N7+(SUM(O7:Q7)),N7,M7-(SUM(O7:Q7)))</f>
        <v>1845</v>
      </c>
      <c r="S7">
        <f>IF(M7&gt;N7+(SUM(O7:R7)),N7,M7-(SUM(O7:R7)))</f>
        <v>1845</v>
      </c>
      <c r="T7">
        <f>IF(M7&gt;N7+(SUM(O7:S7)),N7,M7-(SUM(O7:S7)))</f>
        <v>1845</v>
      </c>
      <c r="U7">
        <f>IF(M7&gt;N7+(SUM(O7:T7)),N7,M7-(SUM(O7:T7)))</f>
        <v>1845</v>
      </c>
      <c r="V7">
        <f>IF(M7&gt;N7+(SUM(O7:U7)),N7,M7-(SUM(O7:U7)))</f>
        <v>1845</v>
      </c>
      <c r="W7">
        <f>IF(M7&gt;N7+(SUM(O7:V7)),N7,M7-(SUM(O7:V7)))</f>
        <v>240</v>
      </c>
      <c r="X7">
        <f>IF(M7&gt;N7+(SUM(O7:W7)),N7,M7-(SUM(O7:W7)))</f>
        <v>0</v>
      </c>
      <c r="Y7">
        <f>IF(M7&gt;N7+(SUM(O7:X7)),N7,M7-(SUM(O7:X7)))</f>
        <v>0</v>
      </c>
      <c r="Z7">
        <f>IF(M7&gt;N7+(SUM(O7:Y7)),N7,M7-(SUM(O7:Y7)))</f>
        <v>0</v>
      </c>
      <c r="AA7">
        <f>IF(M7&gt;N7+(SUM(O7:Z7)),N7,M7-(SUM(O7:Z7)))</f>
        <v>0</v>
      </c>
      <c r="AB7">
        <f>IF(M7&gt;N7+(SUM(O7:AA7)),N7,M7-(SUM(O7:AA7)))</f>
        <v>0</v>
      </c>
      <c r="AC7">
        <f>IF(M7&gt;N7+(SUM(O7:AB7)),N7,M7-(SUM(O7:AB7)))</f>
        <v>0</v>
      </c>
      <c r="AD7">
        <f>IF(M7&gt;N7+(SUM(O7:AC7)),N7,M7-(SUM(O7:AC7)))</f>
        <v>0</v>
      </c>
      <c r="AE7">
        <f>IF(M7&gt;N7+(SUM(O7:AD7)),N7,M7-(SUM(O7:AD7)))</f>
        <v>0</v>
      </c>
      <c r="AF7">
        <f>IF(M7&gt;N7+(SUM(O7:AE7)),N7,M7-(SUM(O7:AE7)))</f>
        <v>0</v>
      </c>
      <c r="AG7">
        <f>IF(M7&gt;N7+(SUM(O7:AF7)),N7,M7-(SUM(O7:AF7)))</f>
        <v>0</v>
      </c>
      <c r="AH7">
        <f>IF(M7&gt;N7+(SUM(O7:AG7)),N7,M7-(SUM(O7:AG7)))</f>
        <v>0</v>
      </c>
      <c r="AI7">
        <f>IF(M7&gt;N7+(SUM(O7:AH7)),N7,M7-(SUM(O7:AH7)))</f>
        <v>0</v>
      </c>
      <c r="AJ7">
        <f>IF(M7&gt;N7+(SUM(O7:AI7)),N7,M7-(SUM(O7:AI7)))</f>
        <v>0</v>
      </c>
      <c r="AK7">
        <f>IF(M7&gt;N7+(SUM(O7:AJ7)),N7,M7-(SUM(O7:AJ7)))</f>
        <v>0</v>
      </c>
      <c r="AL7">
        <f>IF(M7&gt;N7+(SUM(O7:AK7)),N7,M7-(SUM(O7:AK7)))</f>
        <v>0</v>
      </c>
      <c r="AM7">
        <f>IF(M7&gt;N7+(SUM(O7:AL7)),N7,M7-(SUM(O7:AL7)))</f>
        <v>0</v>
      </c>
      <c r="AN7">
        <f>IF(M7&gt;N7+(SUM(O7:AM7)),N7,M7-(SUM(O7:AM7)))</f>
        <v>0</v>
      </c>
      <c r="AO7">
        <f>IF(M7&gt;N7+(SUM(O7:AN7)),N7,M7-(SUM(O7:AN7)))</f>
        <v>0</v>
      </c>
      <c r="AP7">
        <f>IF(M7&gt;N7+(SUM(O7:AO7)),N7,M7-(SUM(O7:AO7)))</f>
        <v>0</v>
      </c>
      <c r="AQ7">
        <f>IF(M7&gt;N7+(SUM(O7:AP7)),N7,M7-(SUM(O7:AP7)))</f>
        <v>0</v>
      </c>
      <c r="AR7">
        <f>IF(M7&gt;N7+(SUM(O7:AQ7)),N7,M7-(SUM(O7:AQ7)))</f>
        <v>0</v>
      </c>
      <c r="AS7">
        <f>IF(M7&gt;N7+(SUM(O7:AR7)),N7,M7-(SUM(O7:AR7)))</f>
        <v>0</v>
      </c>
      <c r="AT7">
        <f>IF(M7&gt;N7+(SUM(O7:AS7)),N7,M7-(SUM(O7:AS7)))</f>
        <v>0</v>
      </c>
      <c r="AU7">
        <f>IF(M7&gt;N7+(SUM(O7:AT7)),N7,M7-(SUM(O7:AT7)))</f>
        <v>0</v>
      </c>
      <c r="AV7">
        <f>IF(M7&gt;N7+(SUM(O7:AU7)),N7,M7-(SUM(O7:AU7)))</f>
        <v>0</v>
      </c>
      <c r="AW7">
        <f>IF(M7&gt;N7+(SUM(O7:AV7)),N7,M7-(SUM(O7:AV7)))</f>
        <v>0</v>
      </c>
      <c r="AX7">
        <f>IF(M7&gt;N7+(SUM(O7:AW7)),N7,M7-(SUM(O7:AW7)))</f>
        <v>0</v>
      </c>
      <c r="AY7">
        <f>IF(M7&gt;N7+(SUM(O7:AX7)),N7,M7-(SUM($O7:AX7)))</f>
        <v>0</v>
      </c>
      <c r="AZ7">
        <f>IF(M7&gt;N7+(SUM(O7:AY7)),N7,M7-(SUM(O7:AY7)))</f>
        <v>0</v>
      </c>
      <c r="BA7">
        <f>IF(M7&gt;N7+(SUM(O7:AZ7)),N7,M7-(SUM(O7:AZ7)))</f>
        <v>0</v>
      </c>
      <c r="BB7">
        <f>IF(M7&gt;N7+(SUM(O7:BA7)),N7,M7-(SUM(O7:BA7)))</f>
        <v>0</v>
      </c>
      <c r="BC7">
        <f>IF(M7&gt;N7+(SUM(O7:BB7)),N7,M7-(SUM(O7:BB7)))</f>
        <v>0</v>
      </c>
      <c r="BD7">
        <f>IF(M7&gt;N7+(SUM(O7:BC7)),N7,M7-(SUM(O7:BC7)))</f>
        <v>0</v>
      </c>
      <c r="BE7">
        <f>IF(M7&gt;N7+(SUM(O7:BD7)),N7,M7-(SUM(O7:BD7)))</f>
        <v>0</v>
      </c>
      <c r="BF7">
        <f>IF(M7&gt;N7+(SUM(O7:BE7)),N7,M7-(SUM(O7:BE7)))</f>
        <v>0</v>
      </c>
      <c r="BG7">
        <f>IF(M7&gt;N7+(SUM(O7:BF7)),N7,M7-(SUM(O7:BF7)))</f>
        <v>0</v>
      </c>
      <c r="BH7">
        <f>IF(M7&gt;N7+(SUM(O7:BG7)),N7,M7-(SUM(O7:BG7)))</f>
        <v>0</v>
      </c>
      <c r="BI7">
        <f>IF(M7&gt;N7+(SUM(O7:BH7)),N7,M7-(SUM(O7:BH7)))</f>
        <v>0</v>
      </c>
      <c r="BJ7">
        <f>IF(M7&gt;N7+(SUM(O7:BI7)),N7,M7-(SUM(O7:BI7)))</f>
        <v>0</v>
      </c>
      <c r="BK7">
        <f>IF(M7&gt;N7+(SUM(O7:BJ7)),N7,M7-(SUM(O7:BJ7)))</f>
        <v>0</v>
      </c>
      <c r="BL7">
        <f>IF(M7&gt;N7+(SUM(O7:BK7)),N7,M7-(SUM(O7:BK7)))</f>
        <v>0</v>
      </c>
      <c r="BM7">
        <f>IF(M7&gt;N7+(SUM(O7:BL7)),N7,M7-(SUM(O7:BL7)))</f>
        <v>0</v>
      </c>
      <c r="BN7">
        <f>IF(M7&gt;N7+(SUM(O7:BM7)),N7,M7-(SUM(O7:BM7)))</f>
        <v>0</v>
      </c>
      <c r="BO7">
        <f>IF(M7&gt;N7+(SUM(O7:BN7)),N7,M7-(SUM(O7:BN7)))</f>
        <v>0</v>
      </c>
      <c r="BP7">
        <f>IF(M7&gt;N7+(SUM(O7:BO7)),N7,M7-(SUM(O7:BO7)))</f>
        <v>0</v>
      </c>
      <c r="BQ7">
        <f>IF(M7&gt;N7+(SUM(O7:BP7)),N7,M7-(SUM(O7:BP7)))</f>
        <v>0</v>
      </c>
      <c r="BR7">
        <f>IF(M7&gt;N7+(SUM(O7:BQ7)),N7,M7-(SUM(O7:BQ7)))</f>
        <v>0</v>
      </c>
      <c r="BS7">
        <f>IF(M7&gt;N7+(SUM(O7:BR7)),N7,M7-(SUM(O7:BR7)))</f>
        <v>0</v>
      </c>
      <c r="BT7">
        <f>IF(M7&gt;N7+(SUM(O7:BS7)),N7,M7-(SUM(O7:BS7)))</f>
        <v>0</v>
      </c>
      <c r="BU7">
        <f>IF(M7&gt;N7+(SUM(O7:BT7)),N7,M7-(SUM(O7:BT7)))</f>
        <v>0</v>
      </c>
      <c r="BV7">
        <f>IF(M7&gt;N7+(SUM(O7:BU7)),N7,M7-(SUM(O7:BU7)))</f>
        <v>0</v>
      </c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</row>
    <row r="8" spans="1:252" x14ac:dyDescent="0.25">
      <c r="A8" s="81">
        <v>5</v>
      </c>
      <c r="B8">
        <f>IF(A8&gt;0,FABRICAR!F6,NA())</f>
        <v>39223</v>
      </c>
      <c r="C8" t="str">
        <f>IF(A8&gt;0,FABRICAR!G6,NA())</f>
        <v>Barra Ojo 5/8x2,40mtrs</v>
      </c>
      <c r="D8" s="1" t="str">
        <f t="shared" si="2"/>
        <v>392230</v>
      </c>
      <c r="E8">
        <f>IF(A8&gt;0,FABRICAR!P19,"")</f>
        <v>0</v>
      </c>
      <c r="F8" t="str">
        <f t="shared" si="3"/>
        <v/>
      </c>
      <c r="H8" t="str">
        <f>IF(A8&gt;0,FABRICAR!H6,NA())</f>
        <v>TERR PER - 03</v>
      </c>
      <c r="I8">
        <f>IF(A8&gt;0,FABRICAR!B6,NA())</f>
        <v>0</v>
      </c>
      <c r="J8" s="75">
        <f t="shared" si="4"/>
        <v>69</v>
      </c>
      <c r="K8" t="str">
        <f>IF(A8&gt;0,FABRICAR!J6,NA())</f>
        <v>TERRAJAR</v>
      </c>
      <c r="L8" s="9">
        <f t="shared" si="0"/>
        <v>4.0423999999999998</v>
      </c>
      <c r="M8">
        <f>IF(A8&gt;0,FABRICAR!N6,NA())</f>
        <v>15000</v>
      </c>
      <c r="N8">
        <f>IF(B8=0,B8,IF(A8&gt;0,FABRICAR!M6,"")*9)</f>
        <v>711</v>
      </c>
      <c r="O8" s="3">
        <f t="shared" si="5"/>
        <v>711</v>
      </c>
      <c r="P8">
        <f t="shared" si="6"/>
        <v>711</v>
      </c>
      <c r="Q8">
        <f t="shared" si="7"/>
        <v>711</v>
      </c>
      <c r="R8">
        <f t="shared" si="8"/>
        <v>711</v>
      </c>
      <c r="S8">
        <f t="shared" si="9"/>
        <v>711</v>
      </c>
      <c r="T8">
        <f t="shared" si="10"/>
        <v>711</v>
      </c>
      <c r="U8">
        <f t="shared" si="11"/>
        <v>711</v>
      </c>
      <c r="V8">
        <f t="shared" si="12"/>
        <v>711</v>
      </c>
      <c r="W8">
        <f t="shared" si="13"/>
        <v>711</v>
      </c>
      <c r="X8">
        <f t="shared" si="14"/>
        <v>711</v>
      </c>
      <c r="Y8">
        <f t="shared" si="15"/>
        <v>711</v>
      </c>
      <c r="Z8">
        <f t="shared" si="1"/>
        <v>711</v>
      </c>
      <c r="AA8">
        <f t="shared" si="16"/>
        <v>711</v>
      </c>
      <c r="AB8">
        <f t="shared" si="17"/>
        <v>711</v>
      </c>
      <c r="AC8">
        <f t="shared" si="18"/>
        <v>711</v>
      </c>
      <c r="AD8">
        <f t="shared" si="19"/>
        <v>711</v>
      </c>
      <c r="AE8">
        <f t="shared" si="20"/>
        <v>711</v>
      </c>
      <c r="AF8">
        <f t="shared" si="21"/>
        <v>711</v>
      </c>
      <c r="AG8">
        <f t="shared" si="22"/>
        <v>711</v>
      </c>
      <c r="AH8">
        <f t="shared" si="23"/>
        <v>711</v>
      </c>
      <c r="AI8">
        <f t="shared" si="24"/>
        <v>711</v>
      </c>
      <c r="AJ8">
        <f t="shared" si="25"/>
        <v>69</v>
      </c>
      <c r="AK8">
        <f t="shared" si="26"/>
        <v>0</v>
      </c>
      <c r="AL8">
        <f t="shared" si="27"/>
        <v>0</v>
      </c>
      <c r="AM8">
        <f t="shared" si="28"/>
        <v>0</v>
      </c>
      <c r="AN8">
        <f t="shared" si="29"/>
        <v>0</v>
      </c>
      <c r="AO8">
        <f t="shared" si="30"/>
        <v>0</v>
      </c>
      <c r="AP8">
        <f t="shared" si="31"/>
        <v>0</v>
      </c>
      <c r="AQ8">
        <f t="shared" si="32"/>
        <v>0</v>
      </c>
      <c r="AR8">
        <f t="shared" si="33"/>
        <v>0</v>
      </c>
      <c r="AS8">
        <f t="shared" si="34"/>
        <v>0</v>
      </c>
      <c r="AT8">
        <f t="shared" si="35"/>
        <v>0</v>
      </c>
      <c r="AU8">
        <f t="shared" si="36"/>
        <v>0</v>
      </c>
      <c r="AV8">
        <f t="shared" si="37"/>
        <v>0</v>
      </c>
      <c r="AW8">
        <f t="shared" si="38"/>
        <v>0</v>
      </c>
      <c r="AX8">
        <f t="shared" si="39"/>
        <v>0</v>
      </c>
      <c r="AY8">
        <f>IF(M8&gt;N8+(SUM(O8:AX8)),N8,M8-(SUM($O8:AX8)))</f>
        <v>0</v>
      </c>
      <c r="AZ8">
        <f t="shared" si="40"/>
        <v>0</v>
      </c>
      <c r="BA8">
        <f t="shared" si="41"/>
        <v>0</v>
      </c>
      <c r="BB8">
        <f t="shared" si="42"/>
        <v>0</v>
      </c>
      <c r="BC8">
        <f t="shared" si="43"/>
        <v>0</v>
      </c>
      <c r="BD8">
        <f t="shared" si="44"/>
        <v>0</v>
      </c>
      <c r="BE8">
        <f t="shared" si="45"/>
        <v>0</v>
      </c>
      <c r="BF8">
        <f t="shared" si="46"/>
        <v>0</v>
      </c>
      <c r="BG8">
        <f t="shared" si="47"/>
        <v>0</v>
      </c>
      <c r="BH8">
        <f t="shared" si="48"/>
        <v>0</v>
      </c>
      <c r="BI8">
        <f t="shared" si="49"/>
        <v>0</v>
      </c>
      <c r="BJ8">
        <f t="shared" si="50"/>
        <v>0</v>
      </c>
      <c r="BK8">
        <f t="shared" si="51"/>
        <v>0</v>
      </c>
      <c r="BL8">
        <f t="shared" si="52"/>
        <v>0</v>
      </c>
      <c r="BM8">
        <f t="shared" si="53"/>
        <v>0</v>
      </c>
      <c r="BN8">
        <f t="shared" si="54"/>
        <v>0</v>
      </c>
      <c r="BO8">
        <f t="shared" si="55"/>
        <v>0</v>
      </c>
      <c r="BP8">
        <f t="shared" si="56"/>
        <v>0</v>
      </c>
      <c r="BQ8">
        <f t="shared" si="57"/>
        <v>0</v>
      </c>
      <c r="BR8">
        <f t="shared" si="58"/>
        <v>0</v>
      </c>
      <c r="BS8">
        <f t="shared" si="59"/>
        <v>0</v>
      </c>
      <c r="BT8">
        <f t="shared" si="60"/>
        <v>0</v>
      </c>
      <c r="BU8">
        <f t="shared" si="61"/>
        <v>0</v>
      </c>
      <c r="BV8">
        <f t="shared" si="62"/>
        <v>0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</row>
    <row r="9" spans="1:252" s="90" customFormat="1" x14ac:dyDescent="0.25">
      <c r="A9" s="91">
        <v>6</v>
      </c>
      <c r="B9" s="90">
        <f>IF(A9&gt;0,FABRICAR!F7,NA())</f>
        <v>36542</v>
      </c>
      <c r="C9" t="str">
        <f>IF(A9&gt;0,FABRICAR!G7,NA())</f>
        <v>Perno Ojo 5/8x9x5H</v>
      </c>
      <c r="D9" s="1" t="str">
        <f t="shared" si="2"/>
        <v>365420</v>
      </c>
      <c r="E9">
        <f>IF(A9&gt;0,FABRICAR!P20,"")</f>
        <v>0</v>
      </c>
      <c r="F9" t="str">
        <f t="shared" si="3"/>
        <v/>
      </c>
      <c r="G9"/>
      <c r="H9" t="str">
        <f>IF(A9&gt;0,FABRICAR!H7,NA())</f>
        <v>PRENSA FR - 01</v>
      </c>
      <c r="I9" s="90">
        <f>IF(A9&gt;0,FABRICAR!B7,NA())</f>
        <v>2</v>
      </c>
      <c r="J9" s="75">
        <f t="shared" si="4"/>
        <v>19</v>
      </c>
      <c r="K9" t="str">
        <f>IF(A9&gt;0,FABRICAR!J7,NA())</f>
        <v>ESTAMPAR</v>
      </c>
      <c r="L9" s="9">
        <f t="shared" si="0"/>
        <v>0.58699999999999997</v>
      </c>
      <c r="M9" s="90">
        <f>IF(A9&gt;0,FABRICAR!N7,NA())</f>
        <v>5050</v>
      </c>
      <c r="N9">
        <f>IF(B9=0,B9,IF(A9&gt;0,FABRICAR!M7,"")*9)</f>
        <v>387</v>
      </c>
      <c r="O9" s="92">
        <f t="shared" si="5"/>
        <v>387</v>
      </c>
      <c r="P9" s="90">
        <f t="shared" si="6"/>
        <v>387</v>
      </c>
      <c r="Q9" s="90">
        <f t="shared" si="7"/>
        <v>387</v>
      </c>
      <c r="R9" s="90">
        <f t="shared" si="8"/>
        <v>387</v>
      </c>
      <c r="S9" s="90">
        <f t="shared" si="9"/>
        <v>387</v>
      </c>
      <c r="T9" s="90">
        <f t="shared" si="10"/>
        <v>387</v>
      </c>
      <c r="U9" s="90">
        <f t="shared" si="11"/>
        <v>387</v>
      </c>
      <c r="V9" s="90">
        <f t="shared" si="12"/>
        <v>387</v>
      </c>
      <c r="W9" s="90">
        <f t="shared" si="13"/>
        <v>387</v>
      </c>
      <c r="X9" s="90">
        <f t="shared" si="14"/>
        <v>387</v>
      </c>
      <c r="Y9" s="90">
        <f t="shared" si="15"/>
        <v>387</v>
      </c>
      <c r="Z9" s="90">
        <f t="shared" si="1"/>
        <v>387</v>
      </c>
      <c r="AA9" s="90">
        <f t="shared" si="16"/>
        <v>387</v>
      </c>
      <c r="AB9" s="90">
        <f t="shared" si="17"/>
        <v>19</v>
      </c>
      <c r="AC9" s="90">
        <f t="shared" si="18"/>
        <v>0</v>
      </c>
      <c r="AD9" s="90">
        <f t="shared" si="19"/>
        <v>0</v>
      </c>
      <c r="AE9" s="90">
        <f t="shared" si="20"/>
        <v>0</v>
      </c>
      <c r="AF9" s="90">
        <f t="shared" si="21"/>
        <v>0</v>
      </c>
      <c r="AG9" s="90">
        <f t="shared" si="22"/>
        <v>0</v>
      </c>
      <c r="AH9" s="90">
        <f t="shared" si="23"/>
        <v>0</v>
      </c>
      <c r="AI9" s="90">
        <f t="shared" si="24"/>
        <v>0</v>
      </c>
      <c r="AJ9" s="90">
        <f t="shared" si="25"/>
        <v>0</v>
      </c>
      <c r="AK9" s="90">
        <f t="shared" si="26"/>
        <v>0</v>
      </c>
      <c r="AL9" s="90">
        <f t="shared" si="27"/>
        <v>0</v>
      </c>
      <c r="AM9" s="90">
        <f t="shared" si="28"/>
        <v>0</v>
      </c>
      <c r="AN9" s="90">
        <f t="shared" si="29"/>
        <v>0</v>
      </c>
      <c r="AO9" s="90">
        <f t="shared" si="30"/>
        <v>0</v>
      </c>
      <c r="AP9" s="90">
        <f t="shared" si="31"/>
        <v>0</v>
      </c>
      <c r="AQ9" s="90">
        <f t="shared" si="32"/>
        <v>0</v>
      </c>
      <c r="AR9" s="90">
        <f t="shared" si="33"/>
        <v>0</v>
      </c>
      <c r="AS9" s="90">
        <f t="shared" si="34"/>
        <v>0</v>
      </c>
      <c r="AT9" s="90">
        <f t="shared" si="35"/>
        <v>0</v>
      </c>
      <c r="AU9" s="90">
        <f t="shared" si="36"/>
        <v>0</v>
      </c>
      <c r="AV9" s="90">
        <f t="shared" si="37"/>
        <v>0</v>
      </c>
      <c r="AW9" s="90">
        <f t="shared" si="38"/>
        <v>0</v>
      </c>
      <c r="AX9" s="90">
        <f t="shared" si="39"/>
        <v>0</v>
      </c>
      <c r="AY9" s="90">
        <f>IF(M9&gt;N9+(SUM(O9:AX9)),N9,M9-(SUM($O9:AX9)))</f>
        <v>0</v>
      </c>
      <c r="AZ9" s="90">
        <f t="shared" si="40"/>
        <v>0</v>
      </c>
      <c r="BA9" s="90">
        <f t="shared" si="41"/>
        <v>0</v>
      </c>
      <c r="BB9" s="90">
        <f t="shared" si="42"/>
        <v>0</v>
      </c>
      <c r="BC9" s="90">
        <f t="shared" si="43"/>
        <v>0</v>
      </c>
      <c r="BD9" s="90">
        <f t="shared" si="44"/>
        <v>0</v>
      </c>
      <c r="BE9" s="90">
        <f t="shared" si="45"/>
        <v>0</v>
      </c>
      <c r="BF9" s="90">
        <f t="shared" si="46"/>
        <v>0</v>
      </c>
      <c r="BG9" s="90">
        <f t="shared" si="47"/>
        <v>0</v>
      </c>
      <c r="BH9" s="90">
        <f t="shared" si="48"/>
        <v>0</v>
      </c>
      <c r="BI9" s="90">
        <f t="shared" si="49"/>
        <v>0</v>
      </c>
      <c r="BJ9" s="90">
        <f t="shared" si="50"/>
        <v>0</v>
      </c>
      <c r="BK9" s="90">
        <f t="shared" si="51"/>
        <v>0</v>
      </c>
      <c r="BL9" s="90">
        <f t="shared" si="52"/>
        <v>0</v>
      </c>
      <c r="BM9" s="90">
        <f t="shared" si="53"/>
        <v>0</v>
      </c>
      <c r="BN9" s="90">
        <f t="shared" si="54"/>
        <v>0</v>
      </c>
      <c r="BO9" s="90">
        <f t="shared" si="55"/>
        <v>0</v>
      </c>
      <c r="BP9" s="90">
        <f t="shared" si="56"/>
        <v>0</v>
      </c>
      <c r="BQ9" s="90">
        <f t="shared" si="57"/>
        <v>0</v>
      </c>
      <c r="BR9" s="90">
        <f t="shared" si="58"/>
        <v>0</v>
      </c>
      <c r="BS9" s="90">
        <f t="shared" si="59"/>
        <v>0</v>
      </c>
      <c r="BT9" s="90">
        <f t="shared" si="60"/>
        <v>0</v>
      </c>
      <c r="BU9" s="90">
        <f t="shared" si="61"/>
        <v>0</v>
      </c>
      <c r="BV9" s="90">
        <f t="shared" si="62"/>
        <v>0</v>
      </c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/>
      <c r="CH9" s="92"/>
      <c r="CI9" s="92"/>
      <c r="CJ9" s="92"/>
      <c r="CK9" s="92"/>
      <c r="CL9" s="92"/>
      <c r="CM9" s="92"/>
      <c r="CN9" s="92"/>
      <c r="CO9" s="92"/>
      <c r="CP9" s="92"/>
      <c r="CQ9" s="92"/>
      <c r="CR9" s="92"/>
      <c r="CS9" s="92"/>
      <c r="CT9" s="92"/>
      <c r="CU9" s="92"/>
      <c r="CV9" s="92"/>
      <c r="CW9" s="92"/>
      <c r="CX9" s="92"/>
      <c r="CY9" s="92"/>
      <c r="CZ9" s="92"/>
      <c r="DA9" s="92"/>
      <c r="DB9" s="92"/>
      <c r="DC9" s="92"/>
      <c r="DD9" s="92"/>
      <c r="DE9" s="92"/>
      <c r="DF9" s="92"/>
      <c r="DG9" s="92"/>
      <c r="DH9" s="92"/>
      <c r="DI9" s="92"/>
      <c r="DJ9" s="92"/>
      <c r="DK9" s="92"/>
      <c r="DL9" s="92"/>
      <c r="DM9" s="92"/>
      <c r="DN9" s="92"/>
      <c r="DO9" s="92"/>
      <c r="DP9" s="92"/>
      <c r="DQ9" s="92"/>
      <c r="DR9" s="92"/>
      <c r="DS9" s="92"/>
      <c r="DT9" s="92"/>
      <c r="DU9" s="92"/>
      <c r="DV9" s="92"/>
      <c r="DW9" s="92"/>
      <c r="DX9" s="92"/>
      <c r="DY9" s="92"/>
      <c r="DZ9" s="92"/>
      <c r="EA9" s="92"/>
      <c r="EB9" s="92"/>
      <c r="EC9" s="92"/>
      <c r="ED9" s="92"/>
      <c r="EE9" s="92"/>
      <c r="EF9" s="92"/>
      <c r="EG9" s="92"/>
      <c r="EH9" s="92"/>
      <c r="EI9" s="92"/>
      <c r="EJ9" s="92"/>
      <c r="EK9" s="92"/>
      <c r="EL9" s="92"/>
      <c r="EM9" s="92"/>
      <c r="EN9" s="92"/>
      <c r="EO9" s="92"/>
      <c r="EP9" s="92"/>
      <c r="EQ9" s="92"/>
      <c r="ER9" s="92"/>
      <c r="ES9" s="92"/>
      <c r="ET9" s="92"/>
      <c r="EU9" s="92"/>
      <c r="EV9" s="92"/>
      <c r="EW9" s="92"/>
      <c r="EX9" s="92"/>
      <c r="EY9" s="92"/>
      <c r="EZ9" s="92"/>
      <c r="FA9" s="92"/>
      <c r="FB9" s="92"/>
      <c r="FC9" s="92"/>
      <c r="FD9" s="92"/>
      <c r="FE9" s="92"/>
      <c r="FF9" s="92"/>
      <c r="FG9" s="92"/>
      <c r="FH9" s="92"/>
      <c r="FI9" s="92"/>
      <c r="FJ9" s="92"/>
      <c r="FK9" s="92"/>
      <c r="FL9" s="92"/>
      <c r="FM9" s="92"/>
      <c r="FN9" s="92"/>
      <c r="FO9" s="92"/>
      <c r="FP9" s="92"/>
      <c r="FQ9" s="92"/>
      <c r="FR9" s="92"/>
      <c r="FS9" s="92"/>
      <c r="FT9" s="92"/>
      <c r="FU9" s="92"/>
      <c r="FV9" s="92"/>
      <c r="FW9" s="92"/>
      <c r="FX9" s="92"/>
      <c r="FY9" s="92"/>
      <c r="FZ9" s="92"/>
      <c r="GA9" s="92"/>
      <c r="GB9" s="92"/>
      <c r="GC9" s="92"/>
      <c r="GD9" s="92"/>
      <c r="GE9" s="92"/>
      <c r="GF9" s="92"/>
      <c r="GG9" s="92"/>
      <c r="GH9" s="92"/>
      <c r="GI9" s="92"/>
      <c r="GJ9" s="92"/>
      <c r="GK9" s="92"/>
      <c r="GL9" s="92"/>
      <c r="GM9" s="92"/>
      <c r="GN9" s="92"/>
      <c r="GO9" s="92"/>
      <c r="GP9" s="92"/>
      <c r="GQ9" s="92"/>
      <c r="GR9" s="92"/>
      <c r="GS9" s="92"/>
      <c r="GT9" s="92"/>
      <c r="GU9" s="92"/>
      <c r="GV9" s="92"/>
      <c r="GW9" s="92"/>
      <c r="GX9" s="92"/>
      <c r="GY9" s="92"/>
      <c r="GZ9" s="92"/>
      <c r="HA9" s="92"/>
      <c r="HB9" s="92"/>
      <c r="HC9" s="92"/>
      <c r="HD9" s="92"/>
      <c r="HE9" s="92"/>
      <c r="HF9" s="92"/>
      <c r="HG9" s="92"/>
      <c r="HH9" s="92"/>
      <c r="HI9" s="92"/>
      <c r="HJ9" s="92"/>
      <c r="HK9" s="92"/>
      <c r="HL9" s="92"/>
      <c r="HM9" s="92"/>
      <c r="HN9" s="92"/>
      <c r="HO9" s="92"/>
      <c r="HP9" s="92"/>
      <c r="HQ9" s="92"/>
      <c r="HR9" s="92"/>
      <c r="HS9" s="92"/>
      <c r="HT9" s="92"/>
      <c r="HU9" s="92"/>
      <c r="HV9" s="92"/>
      <c r="HW9" s="92"/>
      <c r="HX9" s="92"/>
      <c r="HY9" s="92"/>
      <c r="HZ9" s="92"/>
      <c r="IA9" s="92"/>
      <c r="IB9" s="92"/>
      <c r="IC9" s="92"/>
      <c r="ID9" s="92"/>
      <c r="IE9" s="92"/>
      <c r="IF9" s="92"/>
      <c r="IG9" s="92"/>
      <c r="IH9" s="92"/>
      <c r="II9" s="92"/>
      <c r="IJ9" s="92"/>
      <c r="IK9" s="92"/>
      <c r="IL9" s="92"/>
      <c r="IM9" s="92"/>
      <c r="IN9" s="92"/>
      <c r="IO9" s="92"/>
      <c r="IP9" s="92"/>
      <c r="IQ9" s="92"/>
      <c r="IR9" s="92"/>
    </row>
    <row r="10" spans="1:252" x14ac:dyDescent="0.25">
      <c r="A10" s="81">
        <v>7</v>
      </c>
      <c r="B10">
        <f>IF(A10&gt;0,FABRICAR!F8,NA())</f>
        <v>36542</v>
      </c>
      <c r="C10" t="str">
        <f>IF(A10&gt;0,FABRICAR!G8,NA())</f>
        <v>Perno Ojo 5/8x9x5H</v>
      </c>
      <c r="D10" s="1" t="str">
        <f t="shared" si="2"/>
        <v>365420</v>
      </c>
      <c r="E10">
        <f>IF(A10&gt;0,FABRICAR!P21,"")</f>
        <v>0</v>
      </c>
      <c r="F10" t="str">
        <f t="shared" si="3"/>
        <v/>
      </c>
      <c r="H10" t="str">
        <f>IF(A10&gt;0,FABRICAR!H8,NA())</f>
        <v>PRENSA EX - 15</v>
      </c>
      <c r="I10">
        <f>IF(A10&gt;0,FABRICAR!B8,NA())</f>
        <v>0</v>
      </c>
      <c r="J10" s="75">
        <f t="shared" si="4"/>
        <v>1450</v>
      </c>
      <c r="K10" t="str">
        <f>IF(A10&gt;0,FABRICAR!J8,NA())</f>
        <v>REBABA EXT</v>
      </c>
      <c r="L10" s="9">
        <f t="shared" si="0"/>
        <v>0.58699999999999997</v>
      </c>
      <c r="M10">
        <f>IF(A10&gt;0,FABRICAR!N8,NA())</f>
        <v>5050</v>
      </c>
      <c r="N10">
        <f>IF(B10=0,B10,IF(A10&gt;0,FABRICAR!M8,"")*9)</f>
        <v>1800</v>
      </c>
      <c r="O10" s="3">
        <f t="shared" si="5"/>
        <v>1800</v>
      </c>
      <c r="P10">
        <f t="shared" si="6"/>
        <v>1800</v>
      </c>
      <c r="Q10">
        <f t="shared" si="7"/>
        <v>1450</v>
      </c>
      <c r="R10">
        <f t="shared" si="8"/>
        <v>0</v>
      </c>
      <c r="S10">
        <f t="shared" si="9"/>
        <v>0</v>
      </c>
      <c r="T10">
        <f t="shared" si="10"/>
        <v>0</v>
      </c>
      <c r="U10">
        <f t="shared" si="11"/>
        <v>0</v>
      </c>
      <c r="V10">
        <f t="shared" si="12"/>
        <v>0</v>
      </c>
      <c r="W10">
        <f t="shared" si="13"/>
        <v>0</v>
      </c>
      <c r="X10">
        <f t="shared" si="14"/>
        <v>0</v>
      </c>
      <c r="Y10">
        <f t="shared" si="15"/>
        <v>0</v>
      </c>
      <c r="Z10">
        <f t="shared" si="1"/>
        <v>0</v>
      </c>
      <c r="AA10">
        <f t="shared" si="16"/>
        <v>0</v>
      </c>
      <c r="AB10">
        <f t="shared" si="17"/>
        <v>0</v>
      </c>
      <c r="AC10">
        <f t="shared" si="18"/>
        <v>0</v>
      </c>
      <c r="AD10">
        <f t="shared" si="19"/>
        <v>0</v>
      </c>
      <c r="AE10">
        <f t="shared" si="20"/>
        <v>0</v>
      </c>
      <c r="AF10">
        <f t="shared" si="21"/>
        <v>0</v>
      </c>
      <c r="AG10">
        <f t="shared" si="22"/>
        <v>0</v>
      </c>
      <c r="AH10">
        <f t="shared" si="23"/>
        <v>0</v>
      </c>
      <c r="AI10">
        <f t="shared" si="24"/>
        <v>0</v>
      </c>
      <c r="AJ10">
        <f t="shared" si="25"/>
        <v>0</v>
      </c>
      <c r="AK10">
        <f t="shared" si="26"/>
        <v>0</v>
      </c>
      <c r="AL10">
        <f t="shared" si="27"/>
        <v>0</v>
      </c>
      <c r="AM10">
        <f t="shared" si="28"/>
        <v>0</v>
      </c>
      <c r="AN10">
        <f t="shared" si="29"/>
        <v>0</v>
      </c>
      <c r="AO10">
        <f t="shared" si="30"/>
        <v>0</v>
      </c>
      <c r="AP10">
        <f t="shared" si="31"/>
        <v>0</v>
      </c>
      <c r="AQ10">
        <f t="shared" si="32"/>
        <v>0</v>
      </c>
      <c r="AR10">
        <f t="shared" si="33"/>
        <v>0</v>
      </c>
      <c r="AS10">
        <f t="shared" si="34"/>
        <v>0</v>
      </c>
      <c r="AT10">
        <f t="shared" si="35"/>
        <v>0</v>
      </c>
      <c r="AU10">
        <f t="shared" si="36"/>
        <v>0</v>
      </c>
      <c r="AV10">
        <f t="shared" si="37"/>
        <v>0</v>
      </c>
      <c r="AW10">
        <f t="shared" si="38"/>
        <v>0</v>
      </c>
      <c r="AX10">
        <f t="shared" si="39"/>
        <v>0</v>
      </c>
      <c r="AY10">
        <f>IF(M10&gt;N10+(SUM(O10:AX10)),N10,M10-(SUM($O10:AX10)))</f>
        <v>0</v>
      </c>
      <c r="AZ10">
        <f t="shared" si="40"/>
        <v>0</v>
      </c>
      <c r="BA10">
        <f t="shared" si="41"/>
        <v>0</v>
      </c>
      <c r="BB10">
        <f t="shared" si="42"/>
        <v>0</v>
      </c>
      <c r="BC10">
        <f t="shared" si="43"/>
        <v>0</v>
      </c>
      <c r="BD10">
        <f t="shared" si="44"/>
        <v>0</v>
      </c>
      <c r="BE10">
        <f t="shared" si="45"/>
        <v>0</v>
      </c>
      <c r="BF10">
        <f t="shared" si="46"/>
        <v>0</v>
      </c>
      <c r="BG10">
        <f t="shared" si="47"/>
        <v>0</v>
      </c>
      <c r="BH10">
        <f t="shared" si="48"/>
        <v>0</v>
      </c>
      <c r="BI10">
        <f t="shared" si="49"/>
        <v>0</v>
      </c>
      <c r="BJ10">
        <f t="shared" si="50"/>
        <v>0</v>
      </c>
      <c r="BK10">
        <f t="shared" si="51"/>
        <v>0</v>
      </c>
      <c r="BL10">
        <f t="shared" si="52"/>
        <v>0</v>
      </c>
      <c r="BM10">
        <f t="shared" si="53"/>
        <v>0</v>
      </c>
      <c r="BN10">
        <f t="shared" si="54"/>
        <v>0</v>
      </c>
      <c r="BO10">
        <f t="shared" si="55"/>
        <v>0</v>
      </c>
      <c r="BP10">
        <f t="shared" si="56"/>
        <v>0</v>
      </c>
      <c r="BQ10">
        <f t="shared" si="57"/>
        <v>0</v>
      </c>
      <c r="BR10">
        <f t="shared" si="58"/>
        <v>0</v>
      </c>
      <c r="BS10">
        <f t="shared" si="59"/>
        <v>0</v>
      </c>
      <c r="BT10">
        <f t="shared" si="60"/>
        <v>0</v>
      </c>
      <c r="BU10">
        <f t="shared" si="61"/>
        <v>0</v>
      </c>
      <c r="BV10">
        <f t="shared" si="62"/>
        <v>0</v>
      </c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</row>
    <row r="11" spans="1:252" x14ac:dyDescent="0.25">
      <c r="A11" s="81">
        <v>8</v>
      </c>
      <c r="B11">
        <f>IF(A11&gt;0,FABRICAR!F9,NA())</f>
        <v>36542</v>
      </c>
      <c r="C11" t="str">
        <f>IF(A11&gt;0,FABRICAR!G9,NA())</f>
        <v>Perno Ojo 5/8x9x5H</v>
      </c>
      <c r="D11" s="1" t="str">
        <f t="shared" si="2"/>
        <v>365420</v>
      </c>
      <c r="E11">
        <f>IF(A11&gt;0,FABRICAR!P22,"")</f>
        <v>0</v>
      </c>
      <c r="F11" t="str">
        <f t="shared" si="3"/>
        <v/>
      </c>
      <c r="H11" t="str">
        <f>IF(A11&gt;0,FABRICAR!H9,NA())</f>
        <v>PRENSA EX - 15</v>
      </c>
      <c r="I11">
        <f>IF(A11&gt;0,FABRICAR!B9,NA())</f>
        <v>0</v>
      </c>
      <c r="J11" s="75">
        <f t="shared" si="4"/>
        <v>1450</v>
      </c>
      <c r="K11" t="str">
        <f>IF(A11&gt;0,FABRICAR!J9,NA())</f>
        <v>REBABA INT</v>
      </c>
      <c r="L11" s="9">
        <f t="shared" si="0"/>
        <v>0.58699999999999997</v>
      </c>
      <c r="M11">
        <f>IF(A11&gt;0,FABRICAR!N9,NA())</f>
        <v>5050</v>
      </c>
      <c r="N11">
        <f>IF(B11=0,B11,IF(A11&gt;0,FABRICAR!M9,"")*9)</f>
        <v>1800</v>
      </c>
      <c r="O11" s="3">
        <f t="shared" si="5"/>
        <v>1800</v>
      </c>
      <c r="P11">
        <f t="shared" si="6"/>
        <v>1800</v>
      </c>
      <c r="Q11">
        <f t="shared" si="7"/>
        <v>1450</v>
      </c>
      <c r="R11">
        <f t="shared" si="8"/>
        <v>0</v>
      </c>
      <c r="S11">
        <f t="shared" si="9"/>
        <v>0</v>
      </c>
      <c r="T11">
        <f t="shared" si="10"/>
        <v>0</v>
      </c>
      <c r="U11">
        <f t="shared" si="11"/>
        <v>0</v>
      </c>
      <c r="V11">
        <f t="shared" si="12"/>
        <v>0</v>
      </c>
      <c r="W11">
        <f t="shared" si="13"/>
        <v>0</v>
      </c>
      <c r="X11">
        <f t="shared" si="14"/>
        <v>0</v>
      </c>
      <c r="Y11">
        <f t="shared" si="15"/>
        <v>0</v>
      </c>
      <c r="Z11">
        <f t="shared" si="1"/>
        <v>0</v>
      </c>
      <c r="AA11">
        <f t="shared" si="16"/>
        <v>0</v>
      </c>
      <c r="AB11">
        <f t="shared" si="17"/>
        <v>0</v>
      </c>
      <c r="AC11">
        <f t="shared" si="18"/>
        <v>0</v>
      </c>
      <c r="AD11">
        <f t="shared" si="19"/>
        <v>0</v>
      </c>
      <c r="AE11">
        <f t="shared" si="20"/>
        <v>0</v>
      </c>
      <c r="AF11">
        <f t="shared" si="21"/>
        <v>0</v>
      </c>
      <c r="AG11">
        <f t="shared" si="22"/>
        <v>0</v>
      </c>
      <c r="AH11">
        <f t="shared" si="23"/>
        <v>0</v>
      </c>
      <c r="AI11">
        <f t="shared" si="24"/>
        <v>0</v>
      </c>
      <c r="AJ11">
        <f t="shared" si="25"/>
        <v>0</v>
      </c>
      <c r="AK11">
        <f t="shared" si="26"/>
        <v>0</v>
      </c>
      <c r="AL11">
        <f t="shared" si="27"/>
        <v>0</v>
      </c>
      <c r="AM11">
        <f t="shared" si="28"/>
        <v>0</v>
      </c>
      <c r="AN11">
        <f t="shared" si="29"/>
        <v>0</v>
      </c>
      <c r="AO11">
        <f t="shared" si="30"/>
        <v>0</v>
      </c>
      <c r="AP11">
        <f t="shared" si="31"/>
        <v>0</v>
      </c>
      <c r="AQ11">
        <f t="shared" si="32"/>
        <v>0</v>
      </c>
      <c r="AR11">
        <f t="shared" si="33"/>
        <v>0</v>
      </c>
      <c r="AS11">
        <f t="shared" si="34"/>
        <v>0</v>
      </c>
      <c r="AT11">
        <f t="shared" si="35"/>
        <v>0</v>
      </c>
      <c r="AU11">
        <f t="shared" si="36"/>
        <v>0</v>
      </c>
      <c r="AV11">
        <f t="shared" si="37"/>
        <v>0</v>
      </c>
      <c r="AW11">
        <f t="shared" si="38"/>
        <v>0</v>
      </c>
      <c r="AX11">
        <f t="shared" si="39"/>
        <v>0</v>
      </c>
      <c r="AY11">
        <f>IF(M11&gt;N11+(SUM(O11:AX11)),N11,M11-(SUM($O11:AX11)))</f>
        <v>0</v>
      </c>
      <c r="AZ11">
        <f t="shared" si="40"/>
        <v>0</v>
      </c>
      <c r="BA11">
        <f t="shared" si="41"/>
        <v>0</v>
      </c>
      <c r="BB11">
        <f t="shared" si="42"/>
        <v>0</v>
      </c>
      <c r="BC11">
        <f t="shared" si="43"/>
        <v>0</v>
      </c>
      <c r="BD11">
        <f t="shared" si="44"/>
        <v>0</v>
      </c>
      <c r="BE11">
        <f t="shared" si="45"/>
        <v>0</v>
      </c>
      <c r="BF11">
        <f t="shared" si="46"/>
        <v>0</v>
      </c>
      <c r="BG11">
        <f t="shared" si="47"/>
        <v>0</v>
      </c>
      <c r="BH11">
        <f t="shared" si="48"/>
        <v>0</v>
      </c>
      <c r="BI11">
        <f t="shared" si="49"/>
        <v>0</v>
      </c>
      <c r="BJ11">
        <f t="shared" si="50"/>
        <v>0</v>
      </c>
      <c r="BK11">
        <f t="shared" si="51"/>
        <v>0</v>
      </c>
      <c r="BL11">
        <f t="shared" si="52"/>
        <v>0</v>
      </c>
      <c r="BM11">
        <f t="shared" si="53"/>
        <v>0</v>
      </c>
      <c r="BN11">
        <f t="shared" si="54"/>
        <v>0</v>
      </c>
      <c r="BO11">
        <f t="shared" si="55"/>
        <v>0</v>
      </c>
      <c r="BP11">
        <f t="shared" si="56"/>
        <v>0</v>
      </c>
      <c r="BQ11">
        <f t="shared" si="57"/>
        <v>0</v>
      </c>
      <c r="BR11">
        <f t="shared" si="58"/>
        <v>0</v>
      </c>
      <c r="BS11">
        <f t="shared" si="59"/>
        <v>0</v>
      </c>
      <c r="BT11">
        <f t="shared" si="60"/>
        <v>0</v>
      </c>
      <c r="BU11">
        <f t="shared" si="61"/>
        <v>0</v>
      </c>
      <c r="BV11">
        <f t="shared" si="62"/>
        <v>0</v>
      </c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</row>
    <row r="12" spans="1:252" x14ac:dyDescent="0.25">
      <c r="A12" s="81">
        <v>9</v>
      </c>
      <c r="B12">
        <f>IF(A12&gt;0,FABRICAR!F10,NA())</f>
        <v>36542</v>
      </c>
      <c r="C12" t="str">
        <f>IF(A12&gt;0,FABRICAR!G10,NA())</f>
        <v>Perno Ojo 5/8x9x5H</v>
      </c>
      <c r="D12" s="1" t="str">
        <f t="shared" si="2"/>
        <v>36542T</v>
      </c>
      <c r="E12" t="str">
        <f>IF(A12&gt;0,FABRICAR!P23,"")</f>
        <v>T</v>
      </c>
      <c r="F12">
        <f t="shared" si="3"/>
        <v>0.58699999999999997</v>
      </c>
      <c r="H12" t="str">
        <f>IF(A12&gt;0,FABRICAR!H10,NA())</f>
        <v>PRENSA EX - 14</v>
      </c>
      <c r="I12">
        <f>IF(A12&gt;0,FABRICAR!B10,NA())</f>
        <v>0</v>
      </c>
      <c r="J12" s="75">
        <f t="shared" si="4"/>
        <v>1450</v>
      </c>
      <c r="K12" t="str">
        <f>IF(A12&gt;0,FABRICAR!J10,NA())</f>
        <v>ENDEREZAR</v>
      </c>
      <c r="L12" s="9">
        <f t="shared" si="0"/>
        <v>0.58699999999999997</v>
      </c>
      <c r="M12">
        <f>IF(A12&gt;0,FABRICAR!N10,NA())</f>
        <v>5050</v>
      </c>
      <c r="N12">
        <f>IF(B12=0,B12,IF(A12&gt;0,FABRICAR!M10,"")*9)</f>
        <v>1800</v>
      </c>
      <c r="O12" s="3">
        <f t="shared" si="5"/>
        <v>1800</v>
      </c>
      <c r="P12">
        <f t="shared" si="6"/>
        <v>1800</v>
      </c>
      <c r="Q12">
        <f t="shared" si="7"/>
        <v>1450</v>
      </c>
      <c r="R12">
        <f t="shared" si="8"/>
        <v>0</v>
      </c>
      <c r="S12">
        <f t="shared" si="9"/>
        <v>0</v>
      </c>
      <c r="T12">
        <f t="shared" si="10"/>
        <v>0</v>
      </c>
      <c r="U12">
        <f t="shared" si="11"/>
        <v>0</v>
      </c>
      <c r="V12">
        <f t="shared" si="12"/>
        <v>0</v>
      </c>
      <c r="W12">
        <f t="shared" si="13"/>
        <v>0</v>
      </c>
      <c r="X12">
        <f t="shared" si="14"/>
        <v>0</v>
      </c>
      <c r="Y12">
        <f t="shared" si="15"/>
        <v>0</v>
      </c>
      <c r="Z12">
        <f t="shared" si="1"/>
        <v>0</v>
      </c>
      <c r="AA12">
        <f t="shared" si="16"/>
        <v>0</v>
      </c>
      <c r="AB12">
        <f t="shared" si="17"/>
        <v>0</v>
      </c>
      <c r="AC12">
        <f t="shared" si="18"/>
        <v>0</v>
      </c>
      <c r="AD12">
        <f t="shared" si="19"/>
        <v>0</v>
      </c>
      <c r="AE12">
        <f t="shared" si="20"/>
        <v>0</v>
      </c>
      <c r="AF12">
        <f t="shared" si="21"/>
        <v>0</v>
      </c>
      <c r="AG12">
        <f t="shared" si="22"/>
        <v>0</v>
      </c>
      <c r="AH12">
        <f t="shared" si="23"/>
        <v>0</v>
      </c>
      <c r="AI12">
        <f t="shared" si="24"/>
        <v>0</v>
      </c>
      <c r="AJ12">
        <f t="shared" si="25"/>
        <v>0</v>
      </c>
      <c r="AK12">
        <f t="shared" si="26"/>
        <v>0</v>
      </c>
      <c r="AL12">
        <f t="shared" si="27"/>
        <v>0</v>
      </c>
      <c r="AM12">
        <f t="shared" si="28"/>
        <v>0</v>
      </c>
      <c r="AN12">
        <f t="shared" si="29"/>
        <v>0</v>
      </c>
      <c r="AO12">
        <f t="shared" si="30"/>
        <v>0</v>
      </c>
      <c r="AP12">
        <f t="shared" si="31"/>
        <v>0</v>
      </c>
      <c r="AQ12">
        <f t="shared" si="32"/>
        <v>0</v>
      </c>
      <c r="AR12">
        <f t="shared" si="33"/>
        <v>0</v>
      </c>
      <c r="AS12">
        <f t="shared" si="34"/>
        <v>0</v>
      </c>
      <c r="AT12">
        <f t="shared" si="35"/>
        <v>0</v>
      </c>
      <c r="AU12">
        <f t="shared" si="36"/>
        <v>0</v>
      </c>
      <c r="AV12">
        <f t="shared" si="37"/>
        <v>0</v>
      </c>
      <c r="AW12">
        <f t="shared" si="38"/>
        <v>0</v>
      </c>
      <c r="AX12">
        <f t="shared" si="39"/>
        <v>0</v>
      </c>
      <c r="AY12">
        <f>IF(M12&gt;N12+(SUM(O12:AX12)),N12,M12-(SUM($O12:AX12)))</f>
        <v>0</v>
      </c>
      <c r="AZ12">
        <f t="shared" si="40"/>
        <v>0</v>
      </c>
      <c r="BA12">
        <f t="shared" si="41"/>
        <v>0</v>
      </c>
      <c r="BB12">
        <f t="shared" si="42"/>
        <v>0</v>
      </c>
      <c r="BC12">
        <f t="shared" si="43"/>
        <v>0</v>
      </c>
      <c r="BD12">
        <f t="shared" si="44"/>
        <v>0</v>
      </c>
      <c r="BE12">
        <f t="shared" si="45"/>
        <v>0</v>
      </c>
      <c r="BF12">
        <f t="shared" si="46"/>
        <v>0</v>
      </c>
      <c r="BG12">
        <f t="shared" si="47"/>
        <v>0</v>
      </c>
      <c r="BH12">
        <f t="shared" si="48"/>
        <v>0</v>
      </c>
      <c r="BI12">
        <f t="shared" si="49"/>
        <v>0</v>
      </c>
      <c r="BJ12">
        <f t="shared" si="50"/>
        <v>0</v>
      </c>
      <c r="BK12">
        <f t="shared" si="51"/>
        <v>0</v>
      </c>
      <c r="BL12">
        <f t="shared" si="52"/>
        <v>0</v>
      </c>
      <c r="BM12">
        <f t="shared" si="53"/>
        <v>0</v>
      </c>
      <c r="BN12">
        <f t="shared" si="54"/>
        <v>0</v>
      </c>
      <c r="BO12">
        <f t="shared" si="55"/>
        <v>0</v>
      </c>
      <c r="BP12">
        <f t="shared" si="56"/>
        <v>0</v>
      </c>
      <c r="BQ12">
        <f t="shared" si="57"/>
        <v>0</v>
      </c>
      <c r="BR12">
        <f t="shared" si="58"/>
        <v>0</v>
      </c>
      <c r="BS12">
        <f t="shared" si="59"/>
        <v>0</v>
      </c>
      <c r="BT12">
        <f t="shared" si="60"/>
        <v>0</v>
      </c>
      <c r="BU12">
        <f t="shared" si="61"/>
        <v>0</v>
      </c>
      <c r="BV12">
        <f t="shared" si="62"/>
        <v>0</v>
      </c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</row>
    <row r="13" spans="1:252" x14ac:dyDescent="0.25">
      <c r="A13" s="81">
        <v>10</v>
      </c>
      <c r="B13">
        <f>IF(A13&gt;0,FABRICAR!F11,NA())</f>
        <v>36542</v>
      </c>
      <c r="C13" t="str">
        <f>IF(A13&gt;0,FABRICAR!G11,NA())</f>
        <v>Perno Ojo 5/8x9x5H</v>
      </c>
      <c r="D13" s="1" t="str">
        <f t="shared" si="2"/>
        <v>365420</v>
      </c>
      <c r="E13">
        <f>IF(A13&gt;0,FABRICAR!P24,"")</f>
        <v>0</v>
      </c>
      <c r="F13" t="str">
        <f t="shared" si="3"/>
        <v/>
      </c>
      <c r="H13" t="str">
        <f>IF(A13&gt;0,FABRICAR!H11,NA())</f>
        <v>PUNT PER</v>
      </c>
      <c r="I13">
        <f>IF(A13&gt;0,FABRICAR!B11,NA())</f>
        <v>0</v>
      </c>
      <c r="J13" s="75">
        <f t="shared" si="4"/>
        <v>325</v>
      </c>
      <c r="K13" t="str">
        <f>IF(A13&gt;0,FABRICAR!J11,NA())</f>
        <v>PUNTEAR</v>
      </c>
      <c r="L13" s="9">
        <f t="shared" si="0"/>
        <v>0.58699999999999997</v>
      </c>
      <c r="M13">
        <f>IF(A13&gt;0,FABRICAR!N11,NA())</f>
        <v>5050</v>
      </c>
      <c r="N13">
        <f>IF(B13=0,B13,IF(A13&gt;0,FABRICAR!M11,"")*9)</f>
        <v>675</v>
      </c>
      <c r="O13" s="3">
        <f t="shared" si="5"/>
        <v>675</v>
      </c>
      <c r="P13">
        <f t="shared" si="6"/>
        <v>675</v>
      </c>
      <c r="Q13">
        <f t="shared" si="7"/>
        <v>675</v>
      </c>
      <c r="R13">
        <f t="shared" si="8"/>
        <v>675</v>
      </c>
      <c r="S13">
        <f t="shared" si="9"/>
        <v>675</v>
      </c>
      <c r="T13">
        <f t="shared" si="10"/>
        <v>675</v>
      </c>
      <c r="U13">
        <f t="shared" si="11"/>
        <v>675</v>
      </c>
      <c r="V13">
        <f t="shared" si="12"/>
        <v>325</v>
      </c>
      <c r="W13">
        <f t="shared" si="13"/>
        <v>0</v>
      </c>
      <c r="X13">
        <f t="shared" si="14"/>
        <v>0</v>
      </c>
      <c r="Y13">
        <f t="shared" si="15"/>
        <v>0</v>
      </c>
      <c r="Z13">
        <f t="shared" si="1"/>
        <v>0</v>
      </c>
      <c r="AA13">
        <f t="shared" si="16"/>
        <v>0</v>
      </c>
      <c r="AB13">
        <f t="shared" si="17"/>
        <v>0</v>
      </c>
      <c r="AC13">
        <f t="shared" si="18"/>
        <v>0</v>
      </c>
      <c r="AD13">
        <f t="shared" si="19"/>
        <v>0</v>
      </c>
      <c r="AE13">
        <f t="shared" si="20"/>
        <v>0</v>
      </c>
      <c r="AF13">
        <f t="shared" si="21"/>
        <v>0</v>
      </c>
      <c r="AG13">
        <f t="shared" si="22"/>
        <v>0</v>
      </c>
      <c r="AH13">
        <f t="shared" si="23"/>
        <v>0</v>
      </c>
      <c r="AI13">
        <f t="shared" si="24"/>
        <v>0</v>
      </c>
      <c r="AJ13">
        <f t="shared" si="25"/>
        <v>0</v>
      </c>
      <c r="AK13">
        <f t="shared" si="26"/>
        <v>0</v>
      </c>
      <c r="AL13">
        <f t="shared" si="27"/>
        <v>0</v>
      </c>
      <c r="AM13">
        <f t="shared" si="28"/>
        <v>0</v>
      </c>
      <c r="AN13">
        <f t="shared" si="29"/>
        <v>0</v>
      </c>
      <c r="AO13">
        <f t="shared" si="30"/>
        <v>0</v>
      </c>
      <c r="AP13">
        <f t="shared" si="31"/>
        <v>0</v>
      </c>
      <c r="AQ13">
        <f t="shared" si="32"/>
        <v>0</v>
      </c>
      <c r="AR13">
        <f t="shared" si="33"/>
        <v>0</v>
      </c>
      <c r="AS13">
        <f t="shared" si="34"/>
        <v>0</v>
      </c>
      <c r="AT13">
        <f t="shared" si="35"/>
        <v>0</v>
      </c>
      <c r="AU13">
        <f t="shared" si="36"/>
        <v>0</v>
      </c>
      <c r="AV13">
        <f t="shared" si="37"/>
        <v>0</v>
      </c>
      <c r="AW13">
        <f t="shared" si="38"/>
        <v>0</v>
      </c>
      <c r="AX13">
        <f t="shared" si="39"/>
        <v>0</v>
      </c>
      <c r="AY13">
        <f>IF(M13&gt;N13+(SUM(O13:AX13)),N13,M13-(SUM($O13:AX13)))</f>
        <v>0</v>
      </c>
      <c r="AZ13">
        <f t="shared" si="40"/>
        <v>0</v>
      </c>
      <c r="BA13">
        <f t="shared" si="41"/>
        <v>0</v>
      </c>
      <c r="BB13">
        <f t="shared" si="42"/>
        <v>0</v>
      </c>
      <c r="BC13">
        <f t="shared" si="43"/>
        <v>0</v>
      </c>
      <c r="BD13">
        <f t="shared" si="44"/>
        <v>0</v>
      </c>
      <c r="BE13">
        <f t="shared" si="45"/>
        <v>0</v>
      </c>
      <c r="BF13">
        <f t="shared" si="46"/>
        <v>0</v>
      </c>
      <c r="BG13">
        <f t="shared" si="47"/>
        <v>0</v>
      </c>
      <c r="BH13">
        <f t="shared" si="48"/>
        <v>0</v>
      </c>
      <c r="BI13">
        <f t="shared" si="49"/>
        <v>0</v>
      </c>
      <c r="BJ13">
        <f t="shared" si="50"/>
        <v>0</v>
      </c>
      <c r="BK13">
        <f t="shared" si="51"/>
        <v>0</v>
      </c>
      <c r="BL13">
        <f t="shared" si="52"/>
        <v>0</v>
      </c>
      <c r="BM13">
        <f t="shared" si="53"/>
        <v>0</v>
      </c>
      <c r="BN13">
        <f t="shared" si="54"/>
        <v>0</v>
      </c>
      <c r="BO13">
        <f t="shared" si="55"/>
        <v>0</v>
      </c>
      <c r="BP13">
        <f t="shared" si="56"/>
        <v>0</v>
      </c>
      <c r="BQ13">
        <f t="shared" si="57"/>
        <v>0</v>
      </c>
      <c r="BR13">
        <f t="shared" si="58"/>
        <v>0</v>
      </c>
      <c r="BS13">
        <f t="shared" si="59"/>
        <v>0</v>
      </c>
      <c r="BT13">
        <f t="shared" si="60"/>
        <v>0</v>
      </c>
      <c r="BU13">
        <f t="shared" si="61"/>
        <v>0</v>
      </c>
      <c r="BV13">
        <f t="shared" si="62"/>
        <v>0</v>
      </c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</row>
    <row r="14" spans="1:252" x14ac:dyDescent="0.25">
      <c r="A14" s="81">
        <v>11</v>
      </c>
      <c r="B14">
        <f>IF(A14&gt;0,FABRICAR!F12,NA())</f>
        <v>36542</v>
      </c>
      <c r="C14" t="str">
        <f>IF(A14&gt;0,FABRICAR!G12,NA())</f>
        <v>Perno Ojo 5/8x9x5H</v>
      </c>
      <c r="D14" s="1" t="str">
        <f t="shared" si="2"/>
        <v>365420</v>
      </c>
      <c r="E14">
        <f>IF(A14&gt;0,FABRICAR!P25,"")</f>
        <v>0</v>
      </c>
      <c r="F14" t="str">
        <f t="shared" si="3"/>
        <v/>
      </c>
      <c r="H14" t="str">
        <f>IF(A14&gt;0,FABRICAR!H12,NA())</f>
        <v>TERR PER - 03</v>
      </c>
      <c r="I14">
        <f>IF(A14&gt;0,FABRICAR!B12,NA())</f>
        <v>0</v>
      </c>
      <c r="J14" s="75">
        <f t="shared" si="4"/>
        <v>190</v>
      </c>
      <c r="K14" t="str">
        <f>IF(A14&gt;0,FABRICAR!J12,NA())</f>
        <v>TERRAJAR</v>
      </c>
      <c r="L14" s="9">
        <f t="shared" si="0"/>
        <v>0.58699999999999997</v>
      </c>
      <c r="M14">
        <f>IF(A14&gt;0,FABRICAR!N12,NA())</f>
        <v>5050</v>
      </c>
      <c r="N14">
        <f>IF(B14=0,B14,IF(A14&gt;0,FABRICAR!M12,"")*9)</f>
        <v>540</v>
      </c>
      <c r="O14" s="3">
        <f t="shared" si="5"/>
        <v>540</v>
      </c>
      <c r="P14">
        <f t="shared" si="6"/>
        <v>540</v>
      </c>
      <c r="Q14">
        <f t="shared" si="7"/>
        <v>540</v>
      </c>
      <c r="R14">
        <f t="shared" si="8"/>
        <v>540</v>
      </c>
      <c r="S14">
        <f t="shared" si="9"/>
        <v>540</v>
      </c>
      <c r="T14">
        <f t="shared" si="10"/>
        <v>540</v>
      </c>
      <c r="U14">
        <f t="shared" si="11"/>
        <v>540</v>
      </c>
      <c r="V14">
        <f t="shared" si="12"/>
        <v>540</v>
      </c>
      <c r="W14">
        <f t="shared" si="13"/>
        <v>540</v>
      </c>
      <c r="X14">
        <f t="shared" si="14"/>
        <v>190</v>
      </c>
      <c r="Y14">
        <f t="shared" si="15"/>
        <v>0</v>
      </c>
      <c r="Z14">
        <f t="shared" si="1"/>
        <v>0</v>
      </c>
      <c r="AA14">
        <f t="shared" si="16"/>
        <v>0</v>
      </c>
      <c r="AB14">
        <f t="shared" si="17"/>
        <v>0</v>
      </c>
      <c r="AC14">
        <f t="shared" si="18"/>
        <v>0</v>
      </c>
      <c r="AD14">
        <f t="shared" si="19"/>
        <v>0</v>
      </c>
      <c r="AE14">
        <f t="shared" si="20"/>
        <v>0</v>
      </c>
      <c r="AF14">
        <f t="shared" si="21"/>
        <v>0</v>
      </c>
      <c r="AG14">
        <f t="shared" si="22"/>
        <v>0</v>
      </c>
      <c r="AH14">
        <f t="shared" si="23"/>
        <v>0</v>
      </c>
      <c r="AI14">
        <f t="shared" si="24"/>
        <v>0</v>
      </c>
      <c r="AJ14">
        <f t="shared" si="25"/>
        <v>0</v>
      </c>
      <c r="AK14">
        <f t="shared" si="26"/>
        <v>0</v>
      </c>
      <c r="AL14">
        <f t="shared" si="27"/>
        <v>0</v>
      </c>
      <c r="AM14">
        <f t="shared" si="28"/>
        <v>0</v>
      </c>
      <c r="AN14">
        <f t="shared" si="29"/>
        <v>0</v>
      </c>
      <c r="AO14">
        <f t="shared" si="30"/>
        <v>0</v>
      </c>
      <c r="AP14">
        <f t="shared" si="31"/>
        <v>0</v>
      </c>
      <c r="AQ14">
        <f t="shared" si="32"/>
        <v>0</v>
      </c>
      <c r="AR14">
        <f t="shared" si="33"/>
        <v>0</v>
      </c>
      <c r="AS14">
        <f t="shared" si="34"/>
        <v>0</v>
      </c>
      <c r="AT14">
        <f t="shared" si="35"/>
        <v>0</v>
      </c>
      <c r="AU14">
        <f t="shared" si="36"/>
        <v>0</v>
      </c>
      <c r="AV14">
        <f t="shared" si="37"/>
        <v>0</v>
      </c>
      <c r="AW14">
        <f t="shared" si="38"/>
        <v>0</v>
      </c>
      <c r="AX14">
        <f t="shared" si="39"/>
        <v>0</v>
      </c>
      <c r="AY14">
        <f>IF(M14&gt;N14+(SUM(O14:AX14)),N14,M14-(SUM($O14:AX14)))</f>
        <v>0</v>
      </c>
      <c r="AZ14">
        <f t="shared" si="40"/>
        <v>0</v>
      </c>
      <c r="BA14">
        <f t="shared" si="41"/>
        <v>0</v>
      </c>
      <c r="BB14">
        <f t="shared" si="42"/>
        <v>0</v>
      </c>
      <c r="BC14">
        <f t="shared" si="43"/>
        <v>0</v>
      </c>
      <c r="BD14">
        <f t="shared" si="44"/>
        <v>0</v>
      </c>
      <c r="BE14">
        <f t="shared" si="45"/>
        <v>0</v>
      </c>
      <c r="BF14">
        <f t="shared" si="46"/>
        <v>0</v>
      </c>
      <c r="BG14">
        <f t="shared" si="47"/>
        <v>0</v>
      </c>
      <c r="BH14">
        <f t="shared" si="48"/>
        <v>0</v>
      </c>
      <c r="BI14">
        <f t="shared" si="49"/>
        <v>0</v>
      </c>
      <c r="BJ14">
        <f t="shared" si="50"/>
        <v>0</v>
      </c>
      <c r="BK14">
        <f t="shared" si="51"/>
        <v>0</v>
      </c>
      <c r="BL14">
        <f t="shared" si="52"/>
        <v>0</v>
      </c>
      <c r="BM14">
        <f t="shared" si="53"/>
        <v>0</v>
      </c>
      <c r="BN14">
        <f t="shared" si="54"/>
        <v>0</v>
      </c>
      <c r="BO14">
        <f t="shared" si="55"/>
        <v>0</v>
      </c>
      <c r="BP14">
        <f t="shared" si="56"/>
        <v>0</v>
      </c>
      <c r="BQ14">
        <f t="shared" si="57"/>
        <v>0</v>
      </c>
      <c r="BR14">
        <f t="shared" si="58"/>
        <v>0</v>
      </c>
      <c r="BS14">
        <f t="shared" si="59"/>
        <v>0</v>
      </c>
      <c r="BT14">
        <f t="shared" si="60"/>
        <v>0</v>
      </c>
      <c r="BU14">
        <f t="shared" si="61"/>
        <v>0</v>
      </c>
      <c r="BV14">
        <f t="shared" si="62"/>
        <v>0</v>
      </c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</row>
    <row r="15" spans="1:252" s="90" customFormat="1" x14ac:dyDescent="0.25">
      <c r="A15" s="91">
        <v>12</v>
      </c>
      <c r="B15" s="90">
        <f>IF(A15&gt;0,FABRICAR!F13,NA())</f>
        <v>38562</v>
      </c>
      <c r="C15" t="str">
        <f>IF(A15&gt;0,FABRICAR!G13,NA())</f>
        <v>Perno Ojo 5/8x9x5H</v>
      </c>
      <c r="D15" s="1" t="str">
        <f t="shared" si="2"/>
        <v>385620</v>
      </c>
      <c r="E15">
        <f>IF(A15&gt;0,FABRICAR!P26,"")</f>
        <v>0</v>
      </c>
      <c r="F15" t="str">
        <f t="shared" si="3"/>
        <v/>
      </c>
      <c r="G15"/>
      <c r="H15" t="str">
        <f>IF(A15&gt;0,FABRICAR!H13,NA())</f>
        <v>PRENSA FR - 01</v>
      </c>
      <c r="I15" s="90">
        <f>IF(A15&gt;0,FABRICAR!B13,NA())</f>
        <v>3</v>
      </c>
      <c r="J15" s="75">
        <f t="shared" si="4"/>
        <v>330</v>
      </c>
      <c r="K15" t="str">
        <f>IF(A15&gt;0,FABRICAR!J13,NA())</f>
        <v>ESTAMPAR</v>
      </c>
      <c r="L15" s="9">
        <f t="shared" si="0"/>
        <v>0.58699999999999997</v>
      </c>
      <c r="M15" s="90">
        <f>IF(A15&gt;0,FABRICAR!N13,NA())</f>
        <v>4200</v>
      </c>
      <c r="N15">
        <f>IF(B15=0,B15,IF(A15&gt;0,FABRICAR!M13,"")*9)</f>
        <v>387</v>
      </c>
      <c r="O15" s="92">
        <f t="shared" si="5"/>
        <v>387</v>
      </c>
      <c r="P15" s="90">
        <f t="shared" si="6"/>
        <v>387</v>
      </c>
      <c r="Q15" s="90">
        <f t="shared" si="7"/>
        <v>387</v>
      </c>
      <c r="R15" s="90">
        <f t="shared" si="8"/>
        <v>387</v>
      </c>
      <c r="S15" s="90">
        <f t="shared" si="9"/>
        <v>387</v>
      </c>
      <c r="T15" s="90">
        <f t="shared" si="10"/>
        <v>387</v>
      </c>
      <c r="U15" s="90">
        <f t="shared" si="11"/>
        <v>387</v>
      </c>
      <c r="V15" s="90">
        <f t="shared" si="12"/>
        <v>387</v>
      </c>
      <c r="W15" s="90">
        <f t="shared" si="13"/>
        <v>387</v>
      </c>
      <c r="X15" s="90">
        <f t="shared" si="14"/>
        <v>387</v>
      </c>
      <c r="Y15" s="90">
        <f t="shared" si="15"/>
        <v>330</v>
      </c>
      <c r="Z15" s="90">
        <f t="shared" si="1"/>
        <v>0</v>
      </c>
      <c r="AA15" s="90">
        <f t="shared" si="16"/>
        <v>0</v>
      </c>
      <c r="AB15" s="90">
        <f t="shared" si="17"/>
        <v>0</v>
      </c>
      <c r="AC15" s="90">
        <f t="shared" si="18"/>
        <v>0</v>
      </c>
      <c r="AD15" s="90">
        <f t="shared" si="19"/>
        <v>0</v>
      </c>
      <c r="AE15" s="90">
        <f t="shared" si="20"/>
        <v>0</v>
      </c>
      <c r="AF15" s="90">
        <f t="shared" si="21"/>
        <v>0</v>
      </c>
      <c r="AG15" s="90">
        <f t="shared" si="22"/>
        <v>0</v>
      </c>
      <c r="AH15" s="90">
        <f t="shared" si="23"/>
        <v>0</v>
      </c>
      <c r="AI15" s="90">
        <f t="shared" si="24"/>
        <v>0</v>
      </c>
      <c r="AJ15" s="90">
        <f t="shared" si="25"/>
        <v>0</v>
      </c>
      <c r="AK15" s="90">
        <f t="shared" si="26"/>
        <v>0</v>
      </c>
      <c r="AL15" s="90">
        <f t="shared" si="27"/>
        <v>0</v>
      </c>
      <c r="AM15" s="90">
        <f t="shared" si="28"/>
        <v>0</v>
      </c>
      <c r="AN15" s="90">
        <f t="shared" si="29"/>
        <v>0</v>
      </c>
      <c r="AO15" s="90">
        <f t="shared" si="30"/>
        <v>0</v>
      </c>
      <c r="AP15" s="90">
        <f t="shared" si="31"/>
        <v>0</v>
      </c>
      <c r="AQ15" s="90">
        <f t="shared" si="32"/>
        <v>0</v>
      </c>
      <c r="AR15" s="90">
        <f t="shared" si="33"/>
        <v>0</v>
      </c>
      <c r="AS15" s="90">
        <f t="shared" si="34"/>
        <v>0</v>
      </c>
      <c r="AT15" s="90">
        <f t="shared" si="35"/>
        <v>0</v>
      </c>
      <c r="AU15" s="90">
        <f t="shared" si="36"/>
        <v>0</v>
      </c>
      <c r="AV15" s="90">
        <f t="shared" si="37"/>
        <v>0</v>
      </c>
      <c r="AW15" s="90">
        <f t="shared" si="38"/>
        <v>0</v>
      </c>
      <c r="AX15" s="90">
        <f t="shared" si="39"/>
        <v>0</v>
      </c>
      <c r="AY15" s="90">
        <f>IF(M15&gt;N15+(SUM(O15:AX15)),N15,M15-(SUM($O15:AX15)))</f>
        <v>0</v>
      </c>
      <c r="AZ15" s="90">
        <f t="shared" si="40"/>
        <v>0</v>
      </c>
      <c r="BA15" s="90">
        <f t="shared" si="41"/>
        <v>0</v>
      </c>
      <c r="BB15" s="90">
        <f t="shared" si="42"/>
        <v>0</v>
      </c>
      <c r="BC15" s="90">
        <f t="shared" si="43"/>
        <v>0</v>
      </c>
      <c r="BD15" s="90">
        <f t="shared" si="44"/>
        <v>0</v>
      </c>
      <c r="BE15" s="90">
        <f t="shared" si="45"/>
        <v>0</v>
      </c>
      <c r="BF15" s="90">
        <f t="shared" si="46"/>
        <v>0</v>
      </c>
      <c r="BG15" s="90">
        <f t="shared" si="47"/>
        <v>0</v>
      </c>
      <c r="BH15" s="90">
        <f t="shared" si="48"/>
        <v>0</v>
      </c>
      <c r="BI15" s="90">
        <f t="shared" si="49"/>
        <v>0</v>
      </c>
      <c r="BJ15" s="90">
        <f t="shared" si="50"/>
        <v>0</v>
      </c>
      <c r="BK15" s="90">
        <f t="shared" si="51"/>
        <v>0</v>
      </c>
      <c r="BL15" s="90">
        <f t="shared" si="52"/>
        <v>0</v>
      </c>
      <c r="BM15" s="90">
        <f t="shared" si="53"/>
        <v>0</v>
      </c>
      <c r="BN15" s="90">
        <f t="shared" si="54"/>
        <v>0</v>
      </c>
      <c r="BO15" s="90">
        <f t="shared" si="55"/>
        <v>0</v>
      </c>
      <c r="BP15" s="90">
        <f t="shared" si="56"/>
        <v>0</v>
      </c>
      <c r="BQ15" s="90">
        <f t="shared" si="57"/>
        <v>0</v>
      </c>
      <c r="BR15" s="90">
        <f t="shared" si="58"/>
        <v>0</v>
      </c>
      <c r="BS15" s="90">
        <f t="shared" si="59"/>
        <v>0</v>
      </c>
      <c r="BT15" s="90">
        <f t="shared" si="60"/>
        <v>0</v>
      </c>
      <c r="BU15" s="90">
        <f t="shared" si="61"/>
        <v>0</v>
      </c>
      <c r="BV15" s="90">
        <f t="shared" si="62"/>
        <v>0</v>
      </c>
      <c r="BW15" s="92"/>
      <c r="BX15" s="92"/>
      <c r="BY15" s="92"/>
      <c r="BZ15" s="92"/>
      <c r="CA15" s="92"/>
      <c r="CB15" s="92"/>
      <c r="CC15" s="92"/>
      <c r="CD15" s="92"/>
      <c r="CE15" s="92"/>
      <c r="CF15" s="92"/>
      <c r="CG15" s="92"/>
      <c r="CH15" s="92"/>
      <c r="CI15" s="92"/>
      <c r="CJ15" s="92"/>
      <c r="CK15" s="92"/>
      <c r="CL15" s="92"/>
      <c r="CM15" s="92"/>
      <c r="CN15" s="92"/>
      <c r="CO15" s="92"/>
      <c r="CP15" s="92"/>
      <c r="CQ15" s="92"/>
      <c r="CR15" s="92"/>
      <c r="CS15" s="92"/>
      <c r="CT15" s="92"/>
      <c r="CU15" s="92"/>
      <c r="CV15" s="92"/>
      <c r="CW15" s="92"/>
      <c r="CX15" s="92"/>
      <c r="CY15" s="92"/>
      <c r="CZ15" s="92"/>
      <c r="DA15" s="92"/>
      <c r="DB15" s="92"/>
      <c r="DC15" s="92"/>
      <c r="DD15" s="92"/>
      <c r="DE15" s="92"/>
      <c r="DF15" s="92"/>
      <c r="DG15" s="92"/>
      <c r="DH15" s="92"/>
      <c r="DI15" s="92"/>
      <c r="DJ15" s="92"/>
      <c r="DK15" s="92"/>
      <c r="DL15" s="92"/>
      <c r="DM15" s="92"/>
      <c r="DN15" s="92"/>
      <c r="DO15" s="92"/>
      <c r="DP15" s="92"/>
      <c r="DQ15" s="92"/>
      <c r="DR15" s="92"/>
      <c r="DS15" s="92"/>
      <c r="DT15" s="92"/>
      <c r="DU15" s="92"/>
      <c r="DV15" s="92"/>
      <c r="DW15" s="92"/>
      <c r="DX15" s="92"/>
      <c r="DY15" s="92"/>
      <c r="DZ15" s="92"/>
      <c r="EA15" s="92"/>
      <c r="EB15" s="92"/>
      <c r="EC15" s="92"/>
      <c r="ED15" s="92"/>
      <c r="EE15" s="92"/>
      <c r="EF15" s="92"/>
      <c r="EG15" s="92"/>
      <c r="EH15" s="92"/>
      <c r="EI15" s="92"/>
      <c r="EJ15" s="92"/>
      <c r="EK15" s="92"/>
      <c r="EL15" s="92"/>
      <c r="EM15" s="92"/>
      <c r="EN15" s="92"/>
      <c r="EO15" s="92"/>
      <c r="EP15" s="92"/>
      <c r="EQ15" s="92"/>
      <c r="ER15" s="92"/>
      <c r="ES15" s="92"/>
      <c r="ET15" s="92"/>
      <c r="EU15" s="92"/>
      <c r="EV15" s="92"/>
      <c r="EW15" s="92"/>
      <c r="EX15" s="92"/>
      <c r="EY15" s="92"/>
      <c r="EZ15" s="92"/>
      <c r="FA15" s="92"/>
      <c r="FB15" s="92"/>
      <c r="FC15" s="92"/>
      <c r="FD15" s="92"/>
      <c r="FE15" s="92"/>
      <c r="FF15" s="92"/>
      <c r="FG15" s="92"/>
      <c r="FH15" s="92"/>
      <c r="FI15" s="92"/>
      <c r="FJ15" s="92"/>
      <c r="FK15" s="92"/>
      <c r="FL15" s="92"/>
      <c r="FM15" s="92"/>
      <c r="FN15" s="92"/>
      <c r="FO15" s="92"/>
      <c r="FP15" s="92"/>
      <c r="FQ15" s="92"/>
      <c r="FR15" s="92"/>
      <c r="FS15" s="92"/>
      <c r="FT15" s="92"/>
      <c r="FU15" s="92"/>
      <c r="FV15" s="92"/>
      <c r="FW15" s="92"/>
      <c r="FX15" s="92"/>
      <c r="FY15" s="92"/>
      <c r="FZ15" s="92"/>
      <c r="GA15" s="92"/>
      <c r="GB15" s="92"/>
      <c r="GC15" s="92"/>
      <c r="GD15" s="92"/>
      <c r="GE15" s="92"/>
      <c r="GF15" s="92"/>
      <c r="GG15" s="92"/>
      <c r="GH15" s="92"/>
      <c r="GI15" s="92"/>
      <c r="GJ15" s="92"/>
      <c r="GK15" s="92"/>
      <c r="GL15" s="92"/>
      <c r="GM15" s="92"/>
      <c r="GN15" s="92"/>
      <c r="GO15" s="92"/>
      <c r="GP15" s="92"/>
      <c r="GQ15" s="92"/>
      <c r="GR15" s="92"/>
      <c r="GS15" s="92"/>
      <c r="GT15" s="92"/>
      <c r="GU15" s="92"/>
      <c r="GV15" s="92"/>
      <c r="GW15" s="92"/>
      <c r="GX15" s="92"/>
      <c r="GY15" s="92"/>
      <c r="GZ15" s="92"/>
      <c r="HA15" s="92"/>
      <c r="HB15" s="92"/>
      <c r="HC15" s="92"/>
      <c r="HD15" s="92"/>
      <c r="HE15" s="92"/>
      <c r="HF15" s="92"/>
      <c r="HG15" s="92"/>
      <c r="HH15" s="92"/>
      <c r="HI15" s="92"/>
      <c r="HJ15" s="92"/>
      <c r="HK15" s="92"/>
      <c r="HL15" s="92"/>
      <c r="HM15" s="92"/>
      <c r="HN15" s="92"/>
      <c r="HO15" s="92"/>
      <c r="HP15" s="92"/>
      <c r="HQ15" s="92"/>
      <c r="HR15" s="92"/>
      <c r="HS15" s="92"/>
      <c r="HT15" s="92"/>
      <c r="HU15" s="92"/>
      <c r="HV15" s="92"/>
      <c r="HW15" s="92"/>
      <c r="HX15" s="92"/>
      <c r="HY15" s="92"/>
      <c r="HZ15" s="92"/>
      <c r="IA15" s="92"/>
      <c r="IB15" s="92"/>
      <c r="IC15" s="92"/>
      <c r="ID15" s="92"/>
      <c r="IE15" s="92"/>
      <c r="IF15" s="92"/>
      <c r="IG15" s="92"/>
      <c r="IH15" s="92"/>
      <c r="II15" s="92"/>
      <c r="IJ15" s="92"/>
      <c r="IK15" s="92"/>
      <c r="IL15" s="92"/>
      <c r="IM15" s="92"/>
      <c r="IN15" s="92"/>
      <c r="IO15" s="92"/>
      <c r="IP15" s="92"/>
      <c r="IQ15" s="92"/>
      <c r="IR15" s="92"/>
    </row>
    <row r="16" spans="1:252" x14ac:dyDescent="0.25">
      <c r="A16" s="81">
        <v>13</v>
      </c>
      <c r="B16">
        <f>IF(A16&gt;0,FABRICAR!F14,NA())</f>
        <v>38562</v>
      </c>
      <c r="C16" t="str">
        <f>IF(A16&gt;0,FABRICAR!G14,NA())</f>
        <v>Perno Ojo 5/8x9x5H</v>
      </c>
      <c r="D16" s="1" t="str">
        <f t="shared" si="2"/>
        <v>385620</v>
      </c>
      <c r="E16">
        <f>IF(A16&gt;0,FABRICAR!P27,"")</f>
        <v>0</v>
      </c>
      <c r="F16" t="str">
        <f t="shared" si="3"/>
        <v/>
      </c>
      <c r="H16" t="str">
        <f>IF(A16&gt;0,FABRICAR!H14,NA())</f>
        <v>PRENSA EX - 15</v>
      </c>
      <c r="I16">
        <f>IF(A16&gt;0,FABRICAR!B14,NA())</f>
        <v>0</v>
      </c>
      <c r="J16" s="75">
        <f t="shared" si="4"/>
        <v>600</v>
      </c>
      <c r="K16" t="str">
        <f>IF(A16&gt;0,FABRICAR!J14,NA())</f>
        <v>REBABA EXT</v>
      </c>
      <c r="L16" s="9">
        <f t="shared" si="0"/>
        <v>0.58699999999999997</v>
      </c>
      <c r="M16">
        <f>IF(A16&gt;0,FABRICAR!N14,NA())</f>
        <v>4200</v>
      </c>
      <c r="N16">
        <f>IF(B16=0,B16,IF(A16&gt;0,FABRICAR!M14,"")*9)</f>
        <v>1800</v>
      </c>
      <c r="O16" s="3">
        <f t="shared" si="5"/>
        <v>1800</v>
      </c>
      <c r="P16">
        <f t="shared" si="6"/>
        <v>1800</v>
      </c>
      <c r="Q16">
        <f t="shared" si="7"/>
        <v>600</v>
      </c>
      <c r="R16">
        <f t="shared" si="8"/>
        <v>0</v>
      </c>
      <c r="S16">
        <f t="shared" si="9"/>
        <v>0</v>
      </c>
      <c r="T16">
        <f t="shared" si="10"/>
        <v>0</v>
      </c>
      <c r="U16">
        <f t="shared" si="11"/>
        <v>0</v>
      </c>
      <c r="V16">
        <f t="shared" si="12"/>
        <v>0</v>
      </c>
      <c r="W16">
        <f t="shared" si="13"/>
        <v>0</v>
      </c>
      <c r="X16">
        <f t="shared" si="14"/>
        <v>0</v>
      </c>
      <c r="Y16">
        <f t="shared" si="15"/>
        <v>0</v>
      </c>
      <c r="Z16">
        <f t="shared" si="1"/>
        <v>0</v>
      </c>
      <c r="AA16">
        <f t="shared" si="16"/>
        <v>0</v>
      </c>
      <c r="AB16">
        <f t="shared" si="17"/>
        <v>0</v>
      </c>
      <c r="AC16">
        <f t="shared" si="18"/>
        <v>0</v>
      </c>
      <c r="AD16">
        <f t="shared" si="19"/>
        <v>0</v>
      </c>
      <c r="AE16">
        <f t="shared" si="20"/>
        <v>0</v>
      </c>
      <c r="AF16">
        <f t="shared" si="21"/>
        <v>0</v>
      </c>
      <c r="AG16">
        <f t="shared" si="22"/>
        <v>0</v>
      </c>
      <c r="AH16">
        <f t="shared" si="23"/>
        <v>0</v>
      </c>
      <c r="AI16">
        <f t="shared" si="24"/>
        <v>0</v>
      </c>
      <c r="AJ16">
        <f t="shared" si="25"/>
        <v>0</v>
      </c>
      <c r="AK16">
        <f t="shared" si="26"/>
        <v>0</v>
      </c>
      <c r="AL16">
        <f t="shared" si="27"/>
        <v>0</v>
      </c>
      <c r="AM16">
        <f t="shared" si="28"/>
        <v>0</v>
      </c>
      <c r="AN16">
        <f t="shared" si="29"/>
        <v>0</v>
      </c>
      <c r="AO16">
        <f t="shared" si="30"/>
        <v>0</v>
      </c>
      <c r="AP16">
        <f t="shared" si="31"/>
        <v>0</v>
      </c>
      <c r="AQ16">
        <f t="shared" si="32"/>
        <v>0</v>
      </c>
      <c r="AR16">
        <f t="shared" si="33"/>
        <v>0</v>
      </c>
      <c r="AS16">
        <f t="shared" si="34"/>
        <v>0</v>
      </c>
      <c r="AT16">
        <f t="shared" si="35"/>
        <v>0</v>
      </c>
      <c r="AU16">
        <f t="shared" si="36"/>
        <v>0</v>
      </c>
      <c r="AV16">
        <f t="shared" si="37"/>
        <v>0</v>
      </c>
      <c r="AW16">
        <f t="shared" si="38"/>
        <v>0</v>
      </c>
      <c r="AX16">
        <f t="shared" si="39"/>
        <v>0</v>
      </c>
      <c r="AY16">
        <f>IF(M16&gt;N16+(SUM(O16:AX16)),N16,M16-(SUM($O16:AX16)))</f>
        <v>0</v>
      </c>
      <c r="AZ16">
        <f t="shared" si="40"/>
        <v>0</v>
      </c>
      <c r="BA16">
        <f t="shared" si="41"/>
        <v>0</v>
      </c>
      <c r="BB16">
        <f t="shared" si="42"/>
        <v>0</v>
      </c>
      <c r="BC16">
        <f t="shared" si="43"/>
        <v>0</v>
      </c>
      <c r="BD16">
        <f t="shared" si="44"/>
        <v>0</v>
      </c>
      <c r="BE16">
        <f t="shared" si="45"/>
        <v>0</v>
      </c>
      <c r="BF16">
        <f t="shared" si="46"/>
        <v>0</v>
      </c>
      <c r="BG16">
        <f t="shared" si="47"/>
        <v>0</v>
      </c>
      <c r="BH16">
        <f t="shared" si="48"/>
        <v>0</v>
      </c>
      <c r="BI16">
        <f t="shared" si="49"/>
        <v>0</v>
      </c>
      <c r="BJ16">
        <f t="shared" si="50"/>
        <v>0</v>
      </c>
      <c r="BK16">
        <f t="shared" si="51"/>
        <v>0</v>
      </c>
      <c r="BL16">
        <f t="shared" si="52"/>
        <v>0</v>
      </c>
      <c r="BM16">
        <f t="shared" si="53"/>
        <v>0</v>
      </c>
      <c r="BN16">
        <f t="shared" si="54"/>
        <v>0</v>
      </c>
      <c r="BO16">
        <f t="shared" si="55"/>
        <v>0</v>
      </c>
      <c r="BP16">
        <f t="shared" si="56"/>
        <v>0</v>
      </c>
      <c r="BQ16">
        <f t="shared" si="57"/>
        <v>0</v>
      </c>
      <c r="BR16">
        <f t="shared" si="58"/>
        <v>0</v>
      </c>
      <c r="BS16">
        <f t="shared" si="59"/>
        <v>0</v>
      </c>
      <c r="BT16">
        <f t="shared" si="60"/>
        <v>0</v>
      </c>
      <c r="BU16">
        <f t="shared" si="61"/>
        <v>0</v>
      </c>
      <c r="BV16">
        <f t="shared" si="62"/>
        <v>0</v>
      </c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</row>
    <row r="17" spans="1:168" x14ac:dyDescent="0.25">
      <c r="A17" s="81">
        <v>14</v>
      </c>
      <c r="B17">
        <f>IF(A17&gt;0,FABRICAR!F15,NA())</f>
        <v>38562</v>
      </c>
      <c r="C17" t="str">
        <f>IF(A17&gt;0,FABRICAR!G15,NA())</f>
        <v>Perno Ojo 5/8x9x5H</v>
      </c>
      <c r="D17" s="1" t="str">
        <f t="shared" si="2"/>
        <v>385620</v>
      </c>
      <c r="E17">
        <f>IF(A17&gt;0,FABRICAR!P28,"")</f>
        <v>0</v>
      </c>
      <c r="F17" t="str">
        <f t="shared" si="3"/>
        <v/>
      </c>
      <c r="H17" t="str">
        <f>IF(A17&gt;0,FABRICAR!H15,NA())</f>
        <v>PRENSA EX - 15</v>
      </c>
      <c r="I17">
        <f>IF(A17&gt;0,FABRICAR!B15,NA())</f>
        <v>0</v>
      </c>
      <c r="J17" s="75">
        <f t="shared" si="4"/>
        <v>600</v>
      </c>
      <c r="K17" t="str">
        <f>IF(A17&gt;0,FABRICAR!J15,NA())</f>
        <v>REBABA INT</v>
      </c>
      <c r="L17" s="9">
        <f t="shared" si="0"/>
        <v>0.58699999999999997</v>
      </c>
      <c r="M17">
        <f>IF(A17&gt;0,FABRICAR!N15,NA())</f>
        <v>4200</v>
      </c>
      <c r="N17">
        <f>IF(B17=0,B17,IF(A17&gt;0,FABRICAR!M15,"")*9)</f>
        <v>1800</v>
      </c>
      <c r="O17" s="3">
        <f t="shared" si="5"/>
        <v>1800</v>
      </c>
      <c r="P17">
        <f t="shared" si="6"/>
        <v>1800</v>
      </c>
      <c r="Q17">
        <f t="shared" si="7"/>
        <v>600</v>
      </c>
      <c r="R17">
        <f t="shared" si="8"/>
        <v>0</v>
      </c>
      <c r="S17">
        <f t="shared" si="9"/>
        <v>0</v>
      </c>
      <c r="T17">
        <f t="shared" si="10"/>
        <v>0</v>
      </c>
      <c r="U17">
        <f t="shared" si="11"/>
        <v>0</v>
      </c>
      <c r="V17">
        <f t="shared" si="12"/>
        <v>0</v>
      </c>
      <c r="W17">
        <f t="shared" si="13"/>
        <v>0</v>
      </c>
      <c r="X17">
        <f t="shared" si="14"/>
        <v>0</v>
      </c>
      <c r="Y17">
        <f t="shared" si="15"/>
        <v>0</v>
      </c>
      <c r="Z17">
        <f t="shared" si="1"/>
        <v>0</v>
      </c>
      <c r="AA17">
        <f t="shared" si="16"/>
        <v>0</v>
      </c>
      <c r="AB17">
        <f t="shared" si="17"/>
        <v>0</v>
      </c>
      <c r="AC17">
        <f t="shared" si="18"/>
        <v>0</v>
      </c>
      <c r="AD17">
        <f t="shared" si="19"/>
        <v>0</v>
      </c>
      <c r="AE17">
        <f t="shared" si="20"/>
        <v>0</v>
      </c>
      <c r="AF17">
        <f t="shared" si="21"/>
        <v>0</v>
      </c>
      <c r="AG17">
        <f t="shared" si="22"/>
        <v>0</v>
      </c>
      <c r="AH17">
        <f t="shared" si="23"/>
        <v>0</v>
      </c>
      <c r="AI17">
        <f t="shared" si="24"/>
        <v>0</v>
      </c>
      <c r="AJ17">
        <f t="shared" si="25"/>
        <v>0</v>
      </c>
      <c r="AK17">
        <f t="shared" si="26"/>
        <v>0</v>
      </c>
      <c r="AL17">
        <f t="shared" si="27"/>
        <v>0</v>
      </c>
      <c r="AM17">
        <f t="shared" si="28"/>
        <v>0</v>
      </c>
      <c r="AN17">
        <f t="shared" si="29"/>
        <v>0</v>
      </c>
      <c r="AO17">
        <f t="shared" si="30"/>
        <v>0</v>
      </c>
      <c r="AP17">
        <f t="shared" si="31"/>
        <v>0</v>
      </c>
      <c r="AQ17">
        <f t="shared" si="32"/>
        <v>0</v>
      </c>
      <c r="AR17">
        <f t="shared" si="33"/>
        <v>0</v>
      </c>
      <c r="AS17">
        <f t="shared" si="34"/>
        <v>0</v>
      </c>
      <c r="AT17">
        <f t="shared" si="35"/>
        <v>0</v>
      </c>
      <c r="AU17">
        <f t="shared" si="36"/>
        <v>0</v>
      </c>
      <c r="AV17">
        <f t="shared" si="37"/>
        <v>0</v>
      </c>
      <c r="AW17">
        <f t="shared" si="38"/>
        <v>0</v>
      </c>
      <c r="AX17">
        <f t="shared" si="39"/>
        <v>0</v>
      </c>
      <c r="AY17">
        <f>IF(M17&gt;N17+(SUM(O17:AX17)),N17,M17-(SUM($O17:AX17)))</f>
        <v>0</v>
      </c>
      <c r="AZ17">
        <f t="shared" si="40"/>
        <v>0</v>
      </c>
      <c r="BA17">
        <f t="shared" si="41"/>
        <v>0</v>
      </c>
      <c r="BB17">
        <f t="shared" si="42"/>
        <v>0</v>
      </c>
      <c r="BC17">
        <f t="shared" si="43"/>
        <v>0</v>
      </c>
      <c r="BD17">
        <f t="shared" si="44"/>
        <v>0</v>
      </c>
      <c r="BE17">
        <f t="shared" si="45"/>
        <v>0</v>
      </c>
      <c r="BF17">
        <f t="shared" si="46"/>
        <v>0</v>
      </c>
      <c r="BG17">
        <f t="shared" si="47"/>
        <v>0</v>
      </c>
      <c r="BH17">
        <f t="shared" si="48"/>
        <v>0</v>
      </c>
      <c r="BI17">
        <f t="shared" si="49"/>
        <v>0</v>
      </c>
      <c r="BJ17">
        <f t="shared" si="50"/>
        <v>0</v>
      </c>
      <c r="BK17">
        <f t="shared" si="51"/>
        <v>0</v>
      </c>
      <c r="BL17">
        <f t="shared" si="52"/>
        <v>0</v>
      </c>
      <c r="BM17">
        <f t="shared" si="53"/>
        <v>0</v>
      </c>
      <c r="BN17">
        <f t="shared" si="54"/>
        <v>0</v>
      </c>
      <c r="BO17">
        <f t="shared" si="55"/>
        <v>0</v>
      </c>
      <c r="BP17">
        <f t="shared" si="56"/>
        <v>0</v>
      </c>
      <c r="BQ17">
        <f t="shared" si="57"/>
        <v>0</v>
      </c>
      <c r="BR17">
        <f t="shared" si="58"/>
        <v>0</v>
      </c>
      <c r="BS17">
        <f t="shared" si="59"/>
        <v>0</v>
      </c>
      <c r="BT17">
        <f t="shared" si="60"/>
        <v>0</v>
      </c>
      <c r="BU17">
        <f t="shared" si="61"/>
        <v>0</v>
      </c>
      <c r="BV17">
        <f t="shared" si="62"/>
        <v>0</v>
      </c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</row>
    <row r="18" spans="1:168" x14ac:dyDescent="0.25">
      <c r="A18" s="81">
        <v>15</v>
      </c>
      <c r="B18">
        <f>IF(A18&gt;0,FABRICAR!F16,NA())</f>
        <v>38562</v>
      </c>
      <c r="C18" t="str">
        <f>IF(A18&gt;0,FABRICAR!G16,NA())</f>
        <v>Perno Ojo 5/8x9x5H</v>
      </c>
      <c r="D18" s="1" t="str">
        <f t="shared" si="2"/>
        <v>38562T</v>
      </c>
      <c r="E18" t="str">
        <f>IF(A18&gt;0,FABRICAR!P29,"")</f>
        <v>T</v>
      </c>
      <c r="F18">
        <f t="shared" si="3"/>
        <v>0.58699999999999997</v>
      </c>
      <c r="H18" t="str">
        <f>IF(A18&gt;0,FABRICAR!H16,NA())</f>
        <v>PRENSA EX - 14</v>
      </c>
      <c r="I18">
        <f>IF(A18&gt;0,FABRICAR!B16,NA())</f>
        <v>0</v>
      </c>
      <c r="J18" s="75">
        <f t="shared" si="4"/>
        <v>600</v>
      </c>
      <c r="K18" t="str">
        <f>IF(A18&gt;0,FABRICAR!J16,NA())</f>
        <v>ENDEREZAR</v>
      </c>
      <c r="L18" s="9">
        <f t="shared" si="0"/>
        <v>0.58699999999999997</v>
      </c>
      <c r="M18">
        <f>IF(A18&gt;0,FABRICAR!N16,NA())</f>
        <v>4200</v>
      </c>
      <c r="N18">
        <f>IF(B18=0,B18,IF(A18&gt;0,FABRICAR!M16,"")*9)</f>
        <v>1800</v>
      </c>
      <c r="O18" s="3">
        <f t="shared" si="5"/>
        <v>1800</v>
      </c>
      <c r="P18">
        <f t="shared" si="6"/>
        <v>1800</v>
      </c>
      <c r="Q18">
        <f t="shared" si="7"/>
        <v>600</v>
      </c>
      <c r="R18">
        <f t="shared" si="8"/>
        <v>0</v>
      </c>
      <c r="S18">
        <f t="shared" si="9"/>
        <v>0</v>
      </c>
      <c r="T18">
        <f t="shared" si="10"/>
        <v>0</v>
      </c>
      <c r="U18">
        <f t="shared" si="11"/>
        <v>0</v>
      </c>
      <c r="V18">
        <f t="shared" si="12"/>
        <v>0</v>
      </c>
      <c r="W18">
        <f t="shared" si="13"/>
        <v>0</v>
      </c>
      <c r="X18">
        <f t="shared" si="14"/>
        <v>0</v>
      </c>
      <c r="Y18">
        <f t="shared" si="15"/>
        <v>0</v>
      </c>
      <c r="Z18">
        <f t="shared" si="1"/>
        <v>0</v>
      </c>
      <c r="AA18">
        <f t="shared" si="16"/>
        <v>0</v>
      </c>
      <c r="AB18">
        <f t="shared" si="17"/>
        <v>0</v>
      </c>
      <c r="AC18">
        <f t="shared" si="18"/>
        <v>0</v>
      </c>
      <c r="AD18">
        <f t="shared" si="19"/>
        <v>0</v>
      </c>
      <c r="AE18">
        <f t="shared" si="20"/>
        <v>0</v>
      </c>
      <c r="AF18">
        <f t="shared" si="21"/>
        <v>0</v>
      </c>
      <c r="AG18">
        <f t="shared" si="22"/>
        <v>0</v>
      </c>
      <c r="AH18">
        <f t="shared" si="23"/>
        <v>0</v>
      </c>
      <c r="AI18">
        <f t="shared" si="24"/>
        <v>0</v>
      </c>
      <c r="AJ18">
        <f t="shared" si="25"/>
        <v>0</v>
      </c>
      <c r="AK18">
        <f t="shared" si="26"/>
        <v>0</v>
      </c>
      <c r="AL18">
        <f t="shared" si="27"/>
        <v>0</v>
      </c>
      <c r="AM18">
        <f t="shared" si="28"/>
        <v>0</v>
      </c>
      <c r="AN18">
        <f t="shared" si="29"/>
        <v>0</v>
      </c>
      <c r="AO18">
        <f t="shared" si="30"/>
        <v>0</v>
      </c>
      <c r="AP18">
        <f t="shared" si="31"/>
        <v>0</v>
      </c>
      <c r="AQ18">
        <f t="shared" si="32"/>
        <v>0</v>
      </c>
      <c r="AR18">
        <f t="shared" si="33"/>
        <v>0</v>
      </c>
      <c r="AS18">
        <f t="shared" si="34"/>
        <v>0</v>
      </c>
      <c r="AT18">
        <f t="shared" si="35"/>
        <v>0</v>
      </c>
      <c r="AU18">
        <f t="shared" si="36"/>
        <v>0</v>
      </c>
      <c r="AV18">
        <f t="shared" si="37"/>
        <v>0</v>
      </c>
      <c r="AW18">
        <f t="shared" si="38"/>
        <v>0</v>
      </c>
      <c r="AX18">
        <f t="shared" si="39"/>
        <v>0</v>
      </c>
      <c r="AY18">
        <f>IF(M18&gt;N18+(SUM(O18:AX18)),N18,M18-(SUM($O18:AX18)))</f>
        <v>0</v>
      </c>
      <c r="AZ18">
        <f t="shared" si="40"/>
        <v>0</v>
      </c>
      <c r="BA18">
        <f t="shared" si="41"/>
        <v>0</v>
      </c>
      <c r="BB18">
        <f t="shared" si="42"/>
        <v>0</v>
      </c>
      <c r="BC18">
        <f t="shared" si="43"/>
        <v>0</v>
      </c>
      <c r="BD18">
        <f t="shared" si="44"/>
        <v>0</v>
      </c>
      <c r="BE18">
        <f t="shared" si="45"/>
        <v>0</v>
      </c>
      <c r="BF18">
        <f t="shared" si="46"/>
        <v>0</v>
      </c>
      <c r="BG18">
        <f t="shared" si="47"/>
        <v>0</v>
      </c>
      <c r="BH18">
        <f t="shared" si="48"/>
        <v>0</v>
      </c>
      <c r="BI18">
        <f t="shared" si="49"/>
        <v>0</v>
      </c>
      <c r="BJ18">
        <f t="shared" si="50"/>
        <v>0</v>
      </c>
      <c r="BK18">
        <f t="shared" si="51"/>
        <v>0</v>
      </c>
      <c r="BL18">
        <f t="shared" si="52"/>
        <v>0</v>
      </c>
      <c r="BM18">
        <f t="shared" si="53"/>
        <v>0</v>
      </c>
      <c r="BN18">
        <f t="shared" si="54"/>
        <v>0</v>
      </c>
      <c r="BO18">
        <f t="shared" si="55"/>
        <v>0</v>
      </c>
      <c r="BP18">
        <f t="shared" si="56"/>
        <v>0</v>
      </c>
      <c r="BQ18">
        <f t="shared" si="57"/>
        <v>0</v>
      </c>
      <c r="BR18">
        <f t="shared" si="58"/>
        <v>0</v>
      </c>
      <c r="BS18">
        <f t="shared" si="59"/>
        <v>0</v>
      </c>
      <c r="BT18">
        <f t="shared" si="60"/>
        <v>0</v>
      </c>
      <c r="BU18">
        <f t="shared" si="61"/>
        <v>0</v>
      </c>
      <c r="BV18">
        <f t="shared" si="62"/>
        <v>0</v>
      </c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</row>
    <row r="19" spans="1:168" x14ac:dyDescent="0.25">
      <c r="A19" s="81">
        <v>16</v>
      </c>
      <c r="B19">
        <f>IF(A19&gt;0,FABRICAR!F17,NA())</f>
        <v>38562</v>
      </c>
      <c r="C19" t="str">
        <f>IF(A19&gt;0,FABRICAR!G17,NA())</f>
        <v>Perno Ojo 5/8x9x5H</v>
      </c>
      <c r="D19" s="1" t="str">
        <f t="shared" si="2"/>
        <v>385620</v>
      </c>
      <c r="E19">
        <f>IF(A19&gt;0,FABRICAR!P30,"")</f>
        <v>0</v>
      </c>
      <c r="F19" t="str">
        <f t="shared" si="3"/>
        <v/>
      </c>
      <c r="H19" t="str">
        <f>IF(A19&gt;0,FABRICAR!H17,NA())</f>
        <v>PUNT PER</v>
      </c>
      <c r="I19">
        <f>IF(A19&gt;0,FABRICAR!B17,NA())</f>
        <v>0</v>
      </c>
      <c r="J19" s="75">
        <f t="shared" si="4"/>
        <v>150</v>
      </c>
      <c r="K19" t="str">
        <f>IF(A19&gt;0,FABRICAR!J17,NA())</f>
        <v>PUNTEAR</v>
      </c>
      <c r="L19" s="9">
        <f t="shared" si="0"/>
        <v>0.58699999999999997</v>
      </c>
      <c r="M19">
        <f>IF(A19&gt;0,FABRICAR!N17,NA())</f>
        <v>4200</v>
      </c>
      <c r="N19">
        <f>IF(B19=0,B19,IF(A19&gt;0,FABRICAR!M17,"")*9)</f>
        <v>675</v>
      </c>
      <c r="O19" s="3">
        <f t="shared" si="5"/>
        <v>675</v>
      </c>
      <c r="P19">
        <f t="shared" si="6"/>
        <v>675</v>
      </c>
      <c r="Q19">
        <f t="shared" si="7"/>
        <v>675</v>
      </c>
      <c r="R19">
        <f t="shared" si="8"/>
        <v>675</v>
      </c>
      <c r="S19">
        <f t="shared" si="9"/>
        <v>675</v>
      </c>
      <c r="T19">
        <f t="shared" si="10"/>
        <v>675</v>
      </c>
      <c r="U19">
        <f t="shared" si="11"/>
        <v>150</v>
      </c>
      <c r="V19">
        <f t="shared" si="12"/>
        <v>0</v>
      </c>
      <c r="W19">
        <f t="shared" si="13"/>
        <v>0</v>
      </c>
      <c r="X19">
        <f t="shared" si="14"/>
        <v>0</v>
      </c>
      <c r="Y19">
        <f t="shared" si="15"/>
        <v>0</v>
      </c>
      <c r="Z19">
        <f t="shared" si="1"/>
        <v>0</v>
      </c>
      <c r="AA19">
        <f t="shared" si="16"/>
        <v>0</v>
      </c>
      <c r="AB19">
        <f t="shared" si="17"/>
        <v>0</v>
      </c>
      <c r="AC19">
        <f t="shared" si="18"/>
        <v>0</v>
      </c>
      <c r="AD19">
        <f t="shared" si="19"/>
        <v>0</v>
      </c>
      <c r="AE19">
        <f t="shared" si="20"/>
        <v>0</v>
      </c>
      <c r="AF19">
        <f t="shared" si="21"/>
        <v>0</v>
      </c>
      <c r="AG19">
        <f t="shared" si="22"/>
        <v>0</v>
      </c>
      <c r="AH19">
        <f t="shared" si="23"/>
        <v>0</v>
      </c>
      <c r="AI19">
        <f t="shared" si="24"/>
        <v>0</v>
      </c>
      <c r="AJ19">
        <f t="shared" si="25"/>
        <v>0</v>
      </c>
      <c r="AK19">
        <f t="shared" si="26"/>
        <v>0</v>
      </c>
      <c r="AL19">
        <f t="shared" si="27"/>
        <v>0</v>
      </c>
      <c r="AM19">
        <f t="shared" si="28"/>
        <v>0</v>
      </c>
      <c r="AN19">
        <f t="shared" si="29"/>
        <v>0</v>
      </c>
      <c r="AO19">
        <f t="shared" si="30"/>
        <v>0</v>
      </c>
      <c r="AP19">
        <f t="shared" si="31"/>
        <v>0</v>
      </c>
      <c r="AQ19">
        <f t="shared" si="32"/>
        <v>0</v>
      </c>
      <c r="AR19">
        <f t="shared" si="33"/>
        <v>0</v>
      </c>
      <c r="AS19">
        <f t="shared" si="34"/>
        <v>0</v>
      </c>
      <c r="AT19">
        <f t="shared" si="35"/>
        <v>0</v>
      </c>
      <c r="AU19">
        <f t="shared" si="36"/>
        <v>0</v>
      </c>
      <c r="AV19">
        <f t="shared" si="37"/>
        <v>0</v>
      </c>
      <c r="AW19">
        <f t="shared" si="38"/>
        <v>0</v>
      </c>
      <c r="AX19">
        <f t="shared" si="39"/>
        <v>0</v>
      </c>
      <c r="AY19">
        <f>IF(M19&gt;N19+(SUM(O19:AX19)),N19,M19-(SUM($O19:AX19)))</f>
        <v>0</v>
      </c>
      <c r="AZ19">
        <f t="shared" si="40"/>
        <v>0</v>
      </c>
      <c r="BA19">
        <f t="shared" si="41"/>
        <v>0</v>
      </c>
      <c r="BB19">
        <f t="shared" si="42"/>
        <v>0</v>
      </c>
      <c r="BC19">
        <f t="shared" si="43"/>
        <v>0</v>
      </c>
      <c r="BD19">
        <f t="shared" si="44"/>
        <v>0</v>
      </c>
      <c r="BE19">
        <f t="shared" si="45"/>
        <v>0</v>
      </c>
      <c r="BF19">
        <f t="shared" si="46"/>
        <v>0</v>
      </c>
      <c r="BG19">
        <f t="shared" si="47"/>
        <v>0</v>
      </c>
      <c r="BH19">
        <f t="shared" si="48"/>
        <v>0</v>
      </c>
      <c r="BI19">
        <f t="shared" si="49"/>
        <v>0</v>
      </c>
      <c r="BJ19">
        <f t="shared" si="50"/>
        <v>0</v>
      </c>
      <c r="BK19">
        <f t="shared" si="51"/>
        <v>0</v>
      </c>
      <c r="BL19">
        <f t="shared" si="52"/>
        <v>0</v>
      </c>
      <c r="BM19">
        <f t="shared" si="53"/>
        <v>0</v>
      </c>
      <c r="BN19">
        <f t="shared" si="54"/>
        <v>0</v>
      </c>
      <c r="BO19">
        <f t="shared" si="55"/>
        <v>0</v>
      </c>
      <c r="BP19">
        <f t="shared" si="56"/>
        <v>0</v>
      </c>
      <c r="BQ19">
        <f t="shared" si="57"/>
        <v>0</v>
      </c>
      <c r="BR19">
        <f t="shared" si="58"/>
        <v>0</v>
      </c>
      <c r="BS19">
        <f t="shared" si="59"/>
        <v>0</v>
      </c>
      <c r="BT19">
        <f t="shared" si="60"/>
        <v>0</v>
      </c>
      <c r="BU19">
        <f t="shared" si="61"/>
        <v>0</v>
      </c>
      <c r="BV19">
        <f t="shared" si="62"/>
        <v>0</v>
      </c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</row>
    <row r="20" spans="1:168" x14ac:dyDescent="0.25">
      <c r="A20" s="81">
        <v>17</v>
      </c>
      <c r="B20">
        <f>IF(A20&gt;0,FABRICAR!F18,NA())</f>
        <v>38562</v>
      </c>
      <c r="C20" t="str">
        <f>IF(A20&gt;0,FABRICAR!G18,NA())</f>
        <v>Perno Ojo 5/8x9x5H</v>
      </c>
      <c r="D20" s="1" t="str">
        <f t="shared" si="2"/>
        <v>385620</v>
      </c>
      <c r="E20">
        <f>IF(A20&gt;0,FABRICAR!P31,"")</f>
        <v>0</v>
      </c>
      <c r="F20" t="str">
        <f t="shared" si="3"/>
        <v/>
      </c>
      <c r="H20" t="str">
        <f>IF(A20&gt;0,FABRICAR!H18,NA())</f>
        <v>TERR PER - 03</v>
      </c>
      <c r="I20">
        <f>IF(A20&gt;0,FABRICAR!B18,NA())</f>
        <v>0</v>
      </c>
      <c r="J20" s="75">
        <f t="shared" si="4"/>
        <v>420</v>
      </c>
      <c r="K20" t="str">
        <f>IF(A20&gt;0,FABRICAR!J18,NA())</f>
        <v>TERRAJAR</v>
      </c>
      <c r="L20" s="9">
        <f t="shared" si="0"/>
        <v>0.58699999999999997</v>
      </c>
      <c r="M20">
        <f>IF(A20&gt;0,FABRICAR!N18,NA())</f>
        <v>4200</v>
      </c>
      <c r="N20">
        <f>IF(B20=0,B20,IF(A20&gt;0,FABRICAR!M18,"")*9)</f>
        <v>540</v>
      </c>
      <c r="O20" s="3">
        <f t="shared" si="5"/>
        <v>540</v>
      </c>
      <c r="P20">
        <f t="shared" si="6"/>
        <v>540</v>
      </c>
      <c r="Q20">
        <f t="shared" si="7"/>
        <v>540</v>
      </c>
      <c r="R20">
        <f t="shared" si="8"/>
        <v>540</v>
      </c>
      <c r="S20">
        <f t="shared" si="9"/>
        <v>540</v>
      </c>
      <c r="T20">
        <f t="shared" si="10"/>
        <v>540</v>
      </c>
      <c r="U20">
        <f t="shared" si="11"/>
        <v>540</v>
      </c>
      <c r="V20">
        <f t="shared" si="12"/>
        <v>420</v>
      </c>
      <c r="W20">
        <f t="shared" si="13"/>
        <v>0</v>
      </c>
      <c r="X20">
        <f t="shared" si="14"/>
        <v>0</v>
      </c>
      <c r="Y20">
        <f t="shared" si="15"/>
        <v>0</v>
      </c>
      <c r="Z20">
        <f t="shared" si="1"/>
        <v>0</v>
      </c>
      <c r="AA20">
        <f t="shared" si="16"/>
        <v>0</v>
      </c>
      <c r="AB20">
        <f t="shared" si="17"/>
        <v>0</v>
      </c>
      <c r="AC20">
        <f t="shared" si="18"/>
        <v>0</v>
      </c>
      <c r="AD20">
        <f t="shared" si="19"/>
        <v>0</v>
      </c>
      <c r="AE20">
        <f t="shared" si="20"/>
        <v>0</v>
      </c>
      <c r="AF20">
        <f t="shared" si="21"/>
        <v>0</v>
      </c>
      <c r="AG20">
        <f t="shared" si="22"/>
        <v>0</v>
      </c>
      <c r="AH20">
        <f t="shared" si="23"/>
        <v>0</v>
      </c>
      <c r="AI20">
        <f t="shared" si="24"/>
        <v>0</v>
      </c>
      <c r="AJ20">
        <f t="shared" si="25"/>
        <v>0</v>
      </c>
      <c r="AK20">
        <f t="shared" si="26"/>
        <v>0</v>
      </c>
      <c r="AL20">
        <f t="shared" si="27"/>
        <v>0</v>
      </c>
      <c r="AM20">
        <f t="shared" si="28"/>
        <v>0</v>
      </c>
      <c r="AN20">
        <f t="shared" si="29"/>
        <v>0</v>
      </c>
      <c r="AO20">
        <f t="shared" si="30"/>
        <v>0</v>
      </c>
      <c r="AP20">
        <f t="shared" si="31"/>
        <v>0</v>
      </c>
      <c r="AQ20">
        <f t="shared" si="32"/>
        <v>0</v>
      </c>
      <c r="AR20">
        <f t="shared" si="33"/>
        <v>0</v>
      </c>
      <c r="AS20">
        <f t="shared" si="34"/>
        <v>0</v>
      </c>
      <c r="AT20">
        <f t="shared" si="35"/>
        <v>0</v>
      </c>
      <c r="AU20">
        <f t="shared" si="36"/>
        <v>0</v>
      </c>
      <c r="AV20">
        <f t="shared" si="37"/>
        <v>0</v>
      </c>
      <c r="AW20">
        <f t="shared" si="38"/>
        <v>0</v>
      </c>
      <c r="AX20">
        <f t="shared" si="39"/>
        <v>0</v>
      </c>
      <c r="AY20">
        <f>IF(M20&gt;N20+(SUM(O20:AX20)),N20,M20-(SUM($O20:AX20)))</f>
        <v>0</v>
      </c>
      <c r="AZ20">
        <f t="shared" si="40"/>
        <v>0</v>
      </c>
      <c r="BA20">
        <f t="shared" si="41"/>
        <v>0</v>
      </c>
      <c r="BB20">
        <f t="shared" si="42"/>
        <v>0</v>
      </c>
      <c r="BC20">
        <f t="shared" si="43"/>
        <v>0</v>
      </c>
      <c r="BD20">
        <f t="shared" si="44"/>
        <v>0</v>
      </c>
      <c r="BE20">
        <f t="shared" si="45"/>
        <v>0</v>
      </c>
      <c r="BF20">
        <f t="shared" si="46"/>
        <v>0</v>
      </c>
      <c r="BG20">
        <f t="shared" si="47"/>
        <v>0</v>
      </c>
      <c r="BH20">
        <f t="shared" si="48"/>
        <v>0</v>
      </c>
      <c r="BI20">
        <f t="shared" si="49"/>
        <v>0</v>
      </c>
      <c r="BJ20">
        <f t="shared" si="50"/>
        <v>0</v>
      </c>
      <c r="BK20">
        <f t="shared" si="51"/>
        <v>0</v>
      </c>
      <c r="BL20">
        <f t="shared" si="52"/>
        <v>0</v>
      </c>
      <c r="BM20">
        <f t="shared" si="53"/>
        <v>0</v>
      </c>
      <c r="BN20">
        <f t="shared" si="54"/>
        <v>0</v>
      </c>
      <c r="BO20">
        <f t="shared" si="55"/>
        <v>0</v>
      </c>
      <c r="BP20">
        <f t="shared" si="56"/>
        <v>0</v>
      </c>
      <c r="BQ20">
        <f t="shared" si="57"/>
        <v>0</v>
      </c>
      <c r="BR20">
        <f t="shared" si="58"/>
        <v>0</v>
      </c>
      <c r="BS20">
        <f t="shared" si="59"/>
        <v>0</v>
      </c>
      <c r="BT20">
        <f t="shared" si="60"/>
        <v>0</v>
      </c>
      <c r="BU20">
        <f t="shared" si="61"/>
        <v>0</v>
      </c>
      <c r="BV20">
        <f t="shared" si="62"/>
        <v>0</v>
      </c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</row>
    <row r="21" spans="1:168" x14ac:dyDescent="0.25">
      <c r="A21" s="81">
        <v>18</v>
      </c>
      <c r="B21">
        <f>IF(A21&gt;0,FABRICAR!F19,NA())</f>
        <v>39148</v>
      </c>
      <c r="C21" t="str">
        <f>IF(A21&gt;0,FABRICAR!G19,NA())</f>
        <v>Grillete 12mm, ojo chico</v>
      </c>
      <c r="D21" s="1" t="str">
        <f t="shared" si="2"/>
        <v>391480</v>
      </c>
      <c r="E21">
        <f>IF(A21&gt;0,FABRICAR!P32,"")</f>
        <v>0</v>
      </c>
      <c r="F21" t="str">
        <f t="shared" si="3"/>
        <v/>
      </c>
      <c r="H21" t="str">
        <f>IF(A21&gt;0,FABRICAR!H19,NA())</f>
        <v>PRENSA FR - 04</v>
      </c>
      <c r="I21">
        <f>IF(A21&gt;0,FABRICAR!B19,NA())</f>
        <v>1</v>
      </c>
      <c r="J21" s="75">
        <f t="shared" si="4"/>
        <v>305</v>
      </c>
      <c r="K21" t="str">
        <f>IF(A21&gt;0,FABRICAR!J19,NA())</f>
        <v>1° GOLPE</v>
      </c>
      <c r="L21" s="9">
        <f t="shared" si="0"/>
        <v>0.223</v>
      </c>
      <c r="M21">
        <f>IF(A21&gt;0,FABRICAR!N19,NA())</f>
        <v>8000</v>
      </c>
      <c r="N21">
        <f>IF(B21=0,B21,IF(A21&gt;0,FABRICAR!M19,"")*9)</f>
        <v>1539</v>
      </c>
      <c r="O21" s="3">
        <f t="shared" si="5"/>
        <v>1539</v>
      </c>
      <c r="P21">
        <f t="shared" si="6"/>
        <v>1539</v>
      </c>
      <c r="Q21">
        <f t="shared" si="7"/>
        <v>1539</v>
      </c>
      <c r="R21">
        <f t="shared" si="8"/>
        <v>1539</v>
      </c>
      <c r="S21">
        <f t="shared" si="9"/>
        <v>1539</v>
      </c>
      <c r="T21">
        <f t="shared" si="10"/>
        <v>305</v>
      </c>
      <c r="U21">
        <f t="shared" si="11"/>
        <v>0</v>
      </c>
      <c r="V21">
        <f t="shared" si="12"/>
        <v>0</v>
      </c>
      <c r="W21">
        <f t="shared" si="13"/>
        <v>0</v>
      </c>
      <c r="X21">
        <f t="shared" si="14"/>
        <v>0</v>
      </c>
      <c r="Y21">
        <f t="shared" si="15"/>
        <v>0</v>
      </c>
      <c r="Z21">
        <f t="shared" si="1"/>
        <v>0</v>
      </c>
      <c r="AA21">
        <f t="shared" si="16"/>
        <v>0</v>
      </c>
      <c r="AB21">
        <f t="shared" si="17"/>
        <v>0</v>
      </c>
      <c r="AC21">
        <f t="shared" si="18"/>
        <v>0</v>
      </c>
      <c r="AD21">
        <f t="shared" si="19"/>
        <v>0</v>
      </c>
      <c r="AE21">
        <f t="shared" si="20"/>
        <v>0</v>
      </c>
      <c r="AF21">
        <f t="shared" si="21"/>
        <v>0</v>
      </c>
      <c r="AG21">
        <f t="shared" si="22"/>
        <v>0</v>
      </c>
      <c r="AH21">
        <f t="shared" si="23"/>
        <v>0</v>
      </c>
      <c r="AI21">
        <f t="shared" si="24"/>
        <v>0</v>
      </c>
      <c r="AJ21">
        <f t="shared" si="25"/>
        <v>0</v>
      </c>
      <c r="AK21">
        <f t="shared" si="26"/>
        <v>0</v>
      </c>
      <c r="AL21">
        <f t="shared" si="27"/>
        <v>0</v>
      </c>
      <c r="AM21">
        <f t="shared" si="28"/>
        <v>0</v>
      </c>
      <c r="AN21">
        <f t="shared" si="29"/>
        <v>0</v>
      </c>
      <c r="AO21">
        <f t="shared" si="30"/>
        <v>0</v>
      </c>
      <c r="AP21">
        <f t="shared" si="31"/>
        <v>0</v>
      </c>
      <c r="AQ21">
        <f t="shared" si="32"/>
        <v>0</v>
      </c>
      <c r="AR21">
        <f t="shared" si="33"/>
        <v>0</v>
      </c>
      <c r="AS21">
        <f t="shared" si="34"/>
        <v>0</v>
      </c>
      <c r="AT21">
        <f t="shared" si="35"/>
        <v>0</v>
      </c>
      <c r="AU21">
        <f t="shared" si="36"/>
        <v>0</v>
      </c>
      <c r="AV21">
        <f t="shared" si="37"/>
        <v>0</v>
      </c>
      <c r="AW21">
        <f t="shared" si="38"/>
        <v>0</v>
      </c>
      <c r="AX21">
        <f t="shared" si="39"/>
        <v>0</v>
      </c>
      <c r="AY21">
        <f>IF(M21&gt;N21+(SUM(O21:AX21)),N21,M21-(SUM($O21:AX21)))</f>
        <v>0</v>
      </c>
      <c r="AZ21">
        <f t="shared" si="40"/>
        <v>0</v>
      </c>
      <c r="BA21">
        <f t="shared" si="41"/>
        <v>0</v>
      </c>
      <c r="BB21">
        <f t="shared" si="42"/>
        <v>0</v>
      </c>
      <c r="BC21">
        <f t="shared" si="43"/>
        <v>0</v>
      </c>
      <c r="BD21">
        <f t="shared" si="44"/>
        <v>0</v>
      </c>
      <c r="BE21">
        <f t="shared" si="45"/>
        <v>0</v>
      </c>
      <c r="BF21">
        <f t="shared" si="46"/>
        <v>0</v>
      </c>
      <c r="BG21">
        <f t="shared" si="47"/>
        <v>0</v>
      </c>
      <c r="BH21">
        <f t="shared" si="48"/>
        <v>0</v>
      </c>
      <c r="BI21">
        <f t="shared" si="49"/>
        <v>0</v>
      </c>
      <c r="BJ21">
        <f t="shared" si="50"/>
        <v>0</v>
      </c>
      <c r="BK21">
        <f t="shared" si="51"/>
        <v>0</v>
      </c>
      <c r="BL21">
        <f t="shared" si="52"/>
        <v>0</v>
      </c>
      <c r="BM21">
        <f t="shared" si="53"/>
        <v>0</v>
      </c>
      <c r="BN21">
        <f t="shared" si="54"/>
        <v>0</v>
      </c>
      <c r="BO21">
        <f t="shared" si="55"/>
        <v>0</v>
      </c>
      <c r="BP21">
        <f t="shared" si="56"/>
        <v>0</v>
      </c>
      <c r="BQ21">
        <f t="shared" si="57"/>
        <v>0</v>
      </c>
      <c r="BR21">
        <f t="shared" si="58"/>
        <v>0</v>
      </c>
      <c r="BS21">
        <f t="shared" si="59"/>
        <v>0</v>
      </c>
      <c r="BT21">
        <f t="shared" si="60"/>
        <v>0</v>
      </c>
      <c r="BU21">
        <f t="shared" si="61"/>
        <v>0</v>
      </c>
      <c r="BV21">
        <f t="shared" si="62"/>
        <v>0</v>
      </c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</row>
    <row r="22" spans="1:168" x14ac:dyDescent="0.25">
      <c r="A22" s="81">
        <v>19</v>
      </c>
      <c r="B22">
        <f>IF(A22&gt;0,FABRICAR!F20,NA())</f>
        <v>39148</v>
      </c>
      <c r="C22" t="str">
        <f>IF(A22&gt;0,FABRICAR!G20,NA())</f>
        <v>Grillete 12mm, ojo chico</v>
      </c>
      <c r="D22" s="1" t="str">
        <f t="shared" si="2"/>
        <v>391480</v>
      </c>
      <c r="E22">
        <f>IF(A22&gt;0,FABRICAR!P33,"")</f>
        <v>0</v>
      </c>
      <c r="F22" t="str">
        <f t="shared" si="3"/>
        <v/>
      </c>
      <c r="H22" t="str">
        <f>IF(A22&gt;0,FABRICAR!H20,NA())</f>
        <v>PRENSA FR - 04</v>
      </c>
      <c r="I22">
        <f>IF(A22&gt;0,FABRICAR!B20,NA())</f>
        <v>0</v>
      </c>
      <c r="J22" s="75">
        <f t="shared" si="4"/>
        <v>800</v>
      </c>
      <c r="K22" t="str">
        <f>IF(A22&gt;0,FABRICAR!J20,NA())</f>
        <v>2° GOLPE</v>
      </c>
      <c r="L22" s="9">
        <f t="shared" si="0"/>
        <v>0.223</v>
      </c>
      <c r="M22">
        <f>IF(A22&gt;0,FABRICAR!N20,NA())</f>
        <v>8000</v>
      </c>
      <c r="N22">
        <f>IF(B22=0,B22,IF(A22&gt;0,FABRICAR!M20,"")*9)</f>
        <v>1800</v>
      </c>
      <c r="O22" s="3">
        <f t="shared" si="5"/>
        <v>1800</v>
      </c>
      <c r="P22">
        <f t="shared" si="6"/>
        <v>1800</v>
      </c>
      <c r="Q22">
        <f t="shared" si="7"/>
        <v>1800</v>
      </c>
      <c r="R22">
        <f t="shared" si="8"/>
        <v>1800</v>
      </c>
      <c r="S22">
        <f t="shared" si="9"/>
        <v>800</v>
      </c>
      <c r="T22">
        <f t="shared" si="10"/>
        <v>0</v>
      </c>
      <c r="U22">
        <f t="shared" si="11"/>
        <v>0</v>
      </c>
      <c r="V22">
        <f t="shared" si="12"/>
        <v>0</v>
      </c>
      <c r="W22">
        <f t="shared" si="13"/>
        <v>0</v>
      </c>
      <c r="X22">
        <f t="shared" si="14"/>
        <v>0</v>
      </c>
      <c r="Y22">
        <f t="shared" si="15"/>
        <v>0</v>
      </c>
      <c r="Z22">
        <f t="shared" si="1"/>
        <v>0</v>
      </c>
      <c r="AA22">
        <f t="shared" si="16"/>
        <v>0</v>
      </c>
      <c r="AB22">
        <f t="shared" si="17"/>
        <v>0</v>
      </c>
      <c r="AC22">
        <f t="shared" si="18"/>
        <v>0</v>
      </c>
      <c r="AD22">
        <f t="shared" si="19"/>
        <v>0</v>
      </c>
      <c r="AE22">
        <f t="shared" si="20"/>
        <v>0</v>
      </c>
      <c r="AF22">
        <f t="shared" si="21"/>
        <v>0</v>
      </c>
      <c r="AG22">
        <f t="shared" si="22"/>
        <v>0</v>
      </c>
      <c r="AH22">
        <f t="shared" si="23"/>
        <v>0</v>
      </c>
      <c r="AI22">
        <f t="shared" si="24"/>
        <v>0</v>
      </c>
      <c r="AJ22">
        <f t="shared" si="25"/>
        <v>0</v>
      </c>
      <c r="AK22">
        <f t="shared" si="26"/>
        <v>0</v>
      </c>
      <c r="AL22">
        <f t="shared" si="27"/>
        <v>0</v>
      </c>
      <c r="AM22">
        <f t="shared" si="28"/>
        <v>0</v>
      </c>
      <c r="AN22">
        <f t="shared" si="29"/>
        <v>0</v>
      </c>
      <c r="AO22">
        <f t="shared" si="30"/>
        <v>0</v>
      </c>
      <c r="AP22">
        <f t="shared" si="31"/>
        <v>0</v>
      </c>
      <c r="AQ22">
        <f t="shared" si="32"/>
        <v>0</v>
      </c>
      <c r="AR22">
        <f t="shared" si="33"/>
        <v>0</v>
      </c>
      <c r="AS22">
        <f t="shared" si="34"/>
        <v>0</v>
      </c>
      <c r="AT22">
        <f t="shared" si="35"/>
        <v>0</v>
      </c>
      <c r="AU22">
        <f t="shared" si="36"/>
        <v>0</v>
      </c>
      <c r="AV22">
        <f t="shared" si="37"/>
        <v>0</v>
      </c>
      <c r="AW22">
        <f t="shared" si="38"/>
        <v>0</v>
      </c>
      <c r="AX22">
        <f t="shared" si="39"/>
        <v>0</v>
      </c>
      <c r="AY22">
        <f>IF(M22&gt;N22+(SUM(O22:AX22)),N22,M22-(SUM($O22:AX22)))</f>
        <v>0</v>
      </c>
      <c r="AZ22">
        <f t="shared" si="40"/>
        <v>0</v>
      </c>
      <c r="BA22">
        <f t="shared" si="41"/>
        <v>0</v>
      </c>
      <c r="BB22">
        <f t="shared" si="42"/>
        <v>0</v>
      </c>
      <c r="BC22">
        <f t="shared" si="43"/>
        <v>0</v>
      </c>
      <c r="BD22">
        <f t="shared" si="44"/>
        <v>0</v>
      </c>
      <c r="BE22">
        <f t="shared" si="45"/>
        <v>0</v>
      </c>
      <c r="BF22">
        <f t="shared" si="46"/>
        <v>0</v>
      </c>
      <c r="BG22">
        <f t="shared" si="47"/>
        <v>0</v>
      </c>
      <c r="BH22">
        <f t="shared" si="48"/>
        <v>0</v>
      </c>
      <c r="BI22">
        <f t="shared" si="49"/>
        <v>0</v>
      </c>
      <c r="BJ22">
        <f t="shared" si="50"/>
        <v>0</v>
      </c>
      <c r="BK22">
        <f t="shared" si="51"/>
        <v>0</v>
      </c>
      <c r="BL22">
        <f t="shared" si="52"/>
        <v>0</v>
      </c>
      <c r="BM22">
        <f t="shared" si="53"/>
        <v>0</v>
      </c>
      <c r="BN22">
        <f t="shared" si="54"/>
        <v>0</v>
      </c>
      <c r="BO22">
        <f t="shared" si="55"/>
        <v>0</v>
      </c>
      <c r="BP22">
        <f t="shared" si="56"/>
        <v>0</v>
      </c>
      <c r="BQ22">
        <f t="shared" si="57"/>
        <v>0</v>
      </c>
      <c r="BR22">
        <f t="shared" si="58"/>
        <v>0</v>
      </c>
      <c r="BS22">
        <f t="shared" si="59"/>
        <v>0</v>
      </c>
      <c r="BT22">
        <f t="shared" si="60"/>
        <v>0</v>
      </c>
      <c r="BU22">
        <f t="shared" si="61"/>
        <v>0</v>
      </c>
      <c r="BV22">
        <f t="shared" si="62"/>
        <v>0</v>
      </c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</row>
    <row r="23" spans="1:168" x14ac:dyDescent="0.25">
      <c r="A23" s="81">
        <v>20</v>
      </c>
      <c r="B23">
        <f>IF(A23&gt;0,FABRICAR!F21,NA())</f>
        <v>39148</v>
      </c>
      <c r="C23" t="str">
        <f>IF(A23&gt;0,FABRICAR!G21,NA())</f>
        <v>Grillete 12mm, ojo chico</v>
      </c>
      <c r="D23" s="1" t="str">
        <f t="shared" si="2"/>
        <v>39148T</v>
      </c>
      <c r="E23" t="str">
        <f>IF(A23&gt;0,FABRICAR!P34,"")</f>
        <v>T</v>
      </c>
      <c r="F23">
        <f t="shared" si="3"/>
        <v>0.223</v>
      </c>
      <c r="H23" t="str">
        <f>IF(A23&gt;0,FABRICAR!H21,NA())</f>
        <v>FAMAE - 02</v>
      </c>
      <c r="I23">
        <f>IF(A23&gt;0,FABRICAR!B21,NA())</f>
        <v>0</v>
      </c>
      <c r="J23" s="75">
        <f t="shared" si="4"/>
        <v>1520</v>
      </c>
      <c r="K23" t="str">
        <f>IF(A23&gt;0,FABRICAR!J21,NA())</f>
        <v>REBABAR</v>
      </c>
      <c r="L23" s="9">
        <f t="shared" si="0"/>
        <v>0.223</v>
      </c>
      <c r="M23">
        <f>IF(A23&gt;0,FABRICAR!N21,NA())</f>
        <v>8000</v>
      </c>
      <c r="N23">
        <f>IF(B23=0,B23,IF(A23&gt;0,FABRICAR!M21,"")*9)</f>
        <v>2160</v>
      </c>
      <c r="O23" s="3">
        <f t="shared" si="5"/>
        <v>2160</v>
      </c>
      <c r="P23">
        <f t="shared" si="6"/>
        <v>2160</v>
      </c>
      <c r="Q23">
        <f t="shared" si="7"/>
        <v>2160</v>
      </c>
      <c r="R23">
        <f t="shared" si="8"/>
        <v>1520</v>
      </c>
      <c r="S23">
        <f t="shared" si="9"/>
        <v>0</v>
      </c>
      <c r="T23">
        <f t="shared" si="10"/>
        <v>0</v>
      </c>
      <c r="U23">
        <f t="shared" si="11"/>
        <v>0</v>
      </c>
      <c r="V23">
        <f t="shared" si="12"/>
        <v>0</v>
      </c>
      <c r="W23">
        <f t="shared" si="13"/>
        <v>0</v>
      </c>
      <c r="X23">
        <f t="shared" si="14"/>
        <v>0</v>
      </c>
      <c r="Y23">
        <f t="shared" si="15"/>
        <v>0</v>
      </c>
      <c r="Z23">
        <f t="shared" si="1"/>
        <v>0</v>
      </c>
      <c r="AA23">
        <f t="shared" si="16"/>
        <v>0</v>
      </c>
      <c r="AB23">
        <f t="shared" si="17"/>
        <v>0</v>
      </c>
      <c r="AC23">
        <f t="shared" si="18"/>
        <v>0</v>
      </c>
      <c r="AD23">
        <f t="shared" si="19"/>
        <v>0</v>
      </c>
      <c r="AE23">
        <f t="shared" si="20"/>
        <v>0</v>
      </c>
      <c r="AF23">
        <f t="shared" si="21"/>
        <v>0</v>
      </c>
      <c r="AG23">
        <f t="shared" si="22"/>
        <v>0</v>
      </c>
      <c r="AH23">
        <f t="shared" si="23"/>
        <v>0</v>
      </c>
      <c r="AI23">
        <f t="shared" si="24"/>
        <v>0</v>
      </c>
      <c r="AJ23">
        <f t="shared" si="25"/>
        <v>0</v>
      </c>
      <c r="AK23">
        <f t="shared" si="26"/>
        <v>0</v>
      </c>
      <c r="AL23">
        <f t="shared" si="27"/>
        <v>0</v>
      </c>
      <c r="AM23">
        <f t="shared" si="28"/>
        <v>0</v>
      </c>
      <c r="AN23">
        <f t="shared" si="29"/>
        <v>0</v>
      </c>
      <c r="AO23">
        <f t="shared" si="30"/>
        <v>0</v>
      </c>
      <c r="AP23">
        <f t="shared" si="31"/>
        <v>0</v>
      </c>
      <c r="AQ23">
        <f t="shared" si="32"/>
        <v>0</v>
      </c>
      <c r="AR23">
        <f t="shared" si="33"/>
        <v>0</v>
      </c>
      <c r="AS23">
        <f t="shared" si="34"/>
        <v>0</v>
      </c>
      <c r="AT23">
        <f t="shared" si="35"/>
        <v>0</v>
      </c>
      <c r="AU23">
        <f t="shared" si="36"/>
        <v>0</v>
      </c>
      <c r="AV23">
        <f t="shared" si="37"/>
        <v>0</v>
      </c>
      <c r="AW23">
        <f t="shared" si="38"/>
        <v>0</v>
      </c>
      <c r="AX23">
        <f t="shared" si="39"/>
        <v>0</v>
      </c>
      <c r="AY23">
        <f>IF(M23&gt;N23+(SUM(O23:AX23)),N23,M23-(SUM($O23:AX23)))</f>
        <v>0</v>
      </c>
      <c r="AZ23">
        <f t="shared" si="40"/>
        <v>0</v>
      </c>
      <c r="BA23">
        <f t="shared" si="41"/>
        <v>0</v>
      </c>
      <c r="BB23">
        <f t="shared" si="42"/>
        <v>0</v>
      </c>
      <c r="BC23">
        <f t="shared" si="43"/>
        <v>0</v>
      </c>
      <c r="BD23">
        <f t="shared" si="44"/>
        <v>0</v>
      </c>
      <c r="BE23">
        <f t="shared" si="45"/>
        <v>0</v>
      </c>
      <c r="BF23">
        <f t="shared" si="46"/>
        <v>0</v>
      </c>
      <c r="BG23">
        <f t="shared" si="47"/>
        <v>0</v>
      </c>
      <c r="BH23">
        <f t="shared" si="48"/>
        <v>0</v>
      </c>
      <c r="BI23">
        <f t="shared" si="49"/>
        <v>0</v>
      </c>
      <c r="BJ23">
        <f t="shared" si="50"/>
        <v>0</v>
      </c>
      <c r="BK23">
        <f t="shared" si="51"/>
        <v>0</v>
      </c>
      <c r="BL23">
        <f t="shared" si="52"/>
        <v>0</v>
      </c>
      <c r="BM23">
        <f t="shared" si="53"/>
        <v>0</v>
      </c>
      <c r="BN23">
        <f t="shared" si="54"/>
        <v>0</v>
      </c>
      <c r="BO23">
        <f t="shared" si="55"/>
        <v>0</v>
      </c>
      <c r="BP23">
        <f t="shared" si="56"/>
        <v>0</v>
      </c>
      <c r="BQ23">
        <f t="shared" si="57"/>
        <v>0</v>
      </c>
      <c r="BR23">
        <f t="shared" si="58"/>
        <v>0</v>
      </c>
      <c r="BS23">
        <f t="shared" si="59"/>
        <v>0</v>
      </c>
      <c r="BT23">
        <f t="shared" si="60"/>
        <v>0</v>
      </c>
      <c r="BU23">
        <f t="shared" si="61"/>
        <v>0</v>
      </c>
      <c r="BV23">
        <f t="shared" si="62"/>
        <v>0</v>
      </c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</row>
    <row r="24" spans="1:168" x14ac:dyDescent="0.25">
      <c r="A24" s="81">
        <v>21</v>
      </c>
      <c r="B24">
        <f>IF(A24&gt;0,FABRICAR!F22,NA())</f>
        <v>39148</v>
      </c>
      <c r="C24" t="str">
        <f>IF(A24&gt;0,FABRICAR!G22,NA())</f>
        <v>Grillete 12mm, ojo chico</v>
      </c>
      <c r="D24" s="1" t="str">
        <f t="shared" si="2"/>
        <v>391480</v>
      </c>
      <c r="E24">
        <f>IF(A24&gt;0,FABRICAR!P35,"")</f>
        <v>0</v>
      </c>
      <c r="F24" t="str">
        <f t="shared" si="3"/>
        <v/>
      </c>
      <c r="H24" t="str">
        <f>IF(A24&gt;0,FABRICAR!H22,NA())</f>
        <v>PRENSA EX - 16</v>
      </c>
      <c r="I24">
        <f>IF(A24&gt;0,FABRICAR!B22,NA())</f>
        <v>0</v>
      </c>
      <c r="J24" s="75">
        <f t="shared" si="4"/>
        <v>1925</v>
      </c>
      <c r="K24" t="str">
        <f>IF(A24&gt;0,FABRICAR!J22,NA())</f>
        <v xml:space="preserve">PERFORAR </v>
      </c>
      <c r="L24" s="9">
        <f t="shared" si="0"/>
        <v>0.223</v>
      </c>
      <c r="M24">
        <f>IF(A24&gt;0,FABRICAR!N22,NA())</f>
        <v>8000</v>
      </c>
      <c r="N24">
        <f>IF(B24=0,B24,IF(A24&gt;0,FABRICAR!M22,"")*9)</f>
        <v>2025</v>
      </c>
      <c r="O24" s="3">
        <f t="shared" si="5"/>
        <v>2025</v>
      </c>
      <c r="P24">
        <f t="shared" si="6"/>
        <v>2025</v>
      </c>
      <c r="Q24">
        <f t="shared" si="7"/>
        <v>2025</v>
      </c>
      <c r="R24">
        <f t="shared" si="8"/>
        <v>1925</v>
      </c>
      <c r="S24">
        <f t="shared" si="9"/>
        <v>0</v>
      </c>
      <c r="T24">
        <f t="shared" si="10"/>
        <v>0</v>
      </c>
      <c r="U24">
        <f t="shared" si="11"/>
        <v>0</v>
      </c>
      <c r="V24">
        <f t="shared" si="12"/>
        <v>0</v>
      </c>
      <c r="W24">
        <f t="shared" si="13"/>
        <v>0</v>
      </c>
      <c r="X24">
        <f t="shared" si="14"/>
        <v>0</v>
      </c>
      <c r="Y24">
        <f t="shared" si="15"/>
        <v>0</v>
      </c>
      <c r="Z24">
        <f t="shared" si="1"/>
        <v>0</v>
      </c>
      <c r="AA24">
        <f t="shared" si="16"/>
        <v>0</v>
      </c>
      <c r="AB24">
        <f t="shared" si="17"/>
        <v>0</v>
      </c>
      <c r="AC24">
        <f t="shared" si="18"/>
        <v>0</v>
      </c>
      <c r="AD24">
        <f t="shared" si="19"/>
        <v>0</v>
      </c>
      <c r="AE24">
        <f t="shared" si="20"/>
        <v>0</v>
      </c>
      <c r="AF24">
        <f t="shared" si="21"/>
        <v>0</v>
      </c>
      <c r="AG24">
        <f t="shared" si="22"/>
        <v>0</v>
      </c>
      <c r="AH24">
        <f t="shared" si="23"/>
        <v>0</v>
      </c>
      <c r="AI24">
        <f t="shared" si="24"/>
        <v>0</v>
      </c>
      <c r="AJ24">
        <f t="shared" si="25"/>
        <v>0</v>
      </c>
      <c r="AK24">
        <f t="shared" si="26"/>
        <v>0</v>
      </c>
      <c r="AL24">
        <f t="shared" si="27"/>
        <v>0</v>
      </c>
      <c r="AM24">
        <f t="shared" si="28"/>
        <v>0</v>
      </c>
      <c r="AN24">
        <f t="shared" si="29"/>
        <v>0</v>
      </c>
      <c r="AO24">
        <f t="shared" si="30"/>
        <v>0</v>
      </c>
      <c r="AP24">
        <f t="shared" si="31"/>
        <v>0</v>
      </c>
      <c r="AQ24">
        <f t="shared" si="32"/>
        <v>0</v>
      </c>
      <c r="AR24">
        <f t="shared" si="33"/>
        <v>0</v>
      </c>
      <c r="AS24">
        <f t="shared" si="34"/>
        <v>0</v>
      </c>
      <c r="AT24">
        <f t="shared" si="35"/>
        <v>0</v>
      </c>
      <c r="AU24">
        <f t="shared" si="36"/>
        <v>0</v>
      </c>
      <c r="AV24">
        <f t="shared" si="37"/>
        <v>0</v>
      </c>
      <c r="AW24">
        <f t="shared" si="38"/>
        <v>0</v>
      </c>
      <c r="AX24">
        <f t="shared" si="39"/>
        <v>0</v>
      </c>
      <c r="AY24">
        <f>IF(M24&gt;N24+(SUM(O24:AX24)),N24,M24-(SUM($O24:AX24)))</f>
        <v>0</v>
      </c>
      <c r="AZ24">
        <f t="shared" si="40"/>
        <v>0</v>
      </c>
      <c r="BA24">
        <f t="shared" si="41"/>
        <v>0</v>
      </c>
      <c r="BB24">
        <f t="shared" si="42"/>
        <v>0</v>
      </c>
      <c r="BC24">
        <f t="shared" si="43"/>
        <v>0</v>
      </c>
      <c r="BD24">
        <f t="shared" si="44"/>
        <v>0</v>
      </c>
      <c r="BE24">
        <f t="shared" si="45"/>
        <v>0</v>
      </c>
      <c r="BF24">
        <f t="shared" si="46"/>
        <v>0</v>
      </c>
      <c r="BG24">
        <f t="shared" si="47"/>
        <v>0</v>
      </c>
      <c r="BH24">
        <f t="shared" si="48"/>
        <v>0</v>
      </c>
      <c r="BI24">
        <f t="shared" si="49"/>
        <v>0</v>
      </c>
      <c r="BJ24">
        <f t="shared" si="50"/>
        <v>0</v>
      </c>
      <c r="BK24">
        <f t="shared" si="51"/>
        <v>0</v>
      </c>
      <c r="BL24">
        <f t="shared" si="52"/>
        <v>0</v>
      </c>
      <c r="BM24">
        <f t="shared" si="53"/>
        <v>0</v>
      </c>
      <c r="BN24">
        <f t="shared" si="54"/>
        <v>0</v>
      </c>
      <c r="BO24">
        <f t="shared" si="55"/>
        <v>0</v>
      </c>
      <c r="BP24">
        <f t="shared" si="56"/>
        <v>0</v>
      </c>
      <c r="BQ24">
        <f t="shared" si="57"/>
        <v>0</v>
      </c>
      <c r="BR24">
        <f t="shared" si="58"/>
        <v>0</v>
      </c>
      <c r="BS24">
        <f t="shared" si="59"/>
        <v>0</v>
      </c>
      <c r="BT24">
        <f t="shared" si="60"/>
        <v>0</v>
      </c>
      <c r="BU24">
        <f t="shared" si="61"/>
        <v>0</v>
      </c>
      <c r="BV24">
        <f t="shared" si="62"/>
        <v>0</v>
      </c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</row>
    <row r="25" spans="1:168" s="90" customFormat="1" x14ac:dyDescent="0.25">
      <c r="A25" s="91">
        <v>22</v>
      </c>
      <c r="B25" s="90">
        <f>IF(A25&gt;0,FABRICAR!F23,NA())</f>
        <v>39148</v>
      </c>
      <c r="C25" t="str">
        <f>IF(A25&gt;0,FABRICAR!G23,NA())</f>
        <v>Grillete 12mm, ojo chico</v>
      </c>
      <c r="D25" s="1" t="str">
        <f t="shared" si="2"/>
        <v>391480</v>
      </c>
      <c r="E25">
        <f>IF(A25&gt;0,FABRICAR!P36,"")</f>
        <v>0</v>
      </c>
      <c r="F25" t="str">
        <f t="shared" si="3"/>
        <v/>
      </c>
      <c r="G25"/>
      <c r="H25" t="str">
        <f>IF(A25&gt;0,FABRICAR!H23,NA())</f>
        <v>PRENSA FR - 05</v>
      </c>
      <c r="I25" s="90">
        <f>IF(A25&gt;0,FABRICAR!B23,NA())</f>
        <v>0</v>
      </c>
      <c r="J25" s="75">
        <f t="shared" si="4"/>
        <v>125</v>
      </c>
      <c r="K25" t="str">
        <f>IF(A25&gt;0,FABRICAR!J23,NA())</f>
        <v>FORJAR</v>
      </c>
      <c r="L25" s="9">
        <f t="shared" si="0"/>
        <v>0.223</v>
      </c>
      <c r="M25" s="90">
        <f>IF(A25&gt;0,FABRICAR!N23,NA())</f>
        <v>8000</v>
      </c>
      <c r="N25">
        <f>IF(B25=0,B25,IF(A25&gt;0,FABRICAR!M23,"")*9)</f>
        <v>1575</v>
      </c>
      <c r="O25" s="92">
        <f t="shared" si="5"/>
        <v>1575</v>
      </c>
      <c r="P25" s="90">
        <f t="shared" si="6"/>
        <v>1575</v>
      </c>
      <c r="Q25" s="90">
        <f>IF(M25&gt;N25+(SUM(O25:P25)),N25,M25-(SUM(O25:P25)))</f>
        <v>1575</v>
      </c>
      <c r="R25" s="90">
        <f>IF(M25&gt;N25+(SUM(O25:Q25)),N25,M25-(SUM(O25:Q25)))</f>
        <v>1575</v>
      </c>
      <c r="S25" s="90">
        <f>IF(M25&gt;N25+(SUM(O25:R25)),N25,M25-(SUM(O25:R25)))</f>
        <v>1575</v>
      </c>
      <c r="T25" s="90">
        <f>IF(M25&gt;N25+(SUM(O25:S25)),N25,M25-(SUM(O25:S25)))</f>
        <v>125</v>
      </c>
      <c r="U25" s="90">
        <f>IF(M25&gt;N25+(SUM(O25:T25)),N25,M25-(SUM(O25:T25)))</f>
        <v>0</v>
      </c>
      <c r="V25" s="90">
        <f>IF(M25&gt;N25+(SUM(O25:U25)),N25,M25-(SUM(O25:U25)))</f>
        <v>0</v>
      </c>
      <c r="W25" s="90">
        <f>IF(M25&gt;N25+(SUM(O25:V25)),N25,M25-(SUM(O25:V25)))</f>
        <v>0</v>
      </c>
      <c r="X25" s="90">
        <f>IF(M25&gt;N25+(SUM(O25:W25)),N25,M25-(SUM(O25:W25)))</f>
        <v>0</v>
      </c>
      <c r="Y25" s="90">
        <f>IF(M25&gt;N25+(SUM(O25:X25)),N25,M25-(SUM(O25:X25)))</f>
        <v>0</v>
      </c>
      <c r="Z25" s="90">
        <f>IF(M25&gt;N25+(SUM(O25:Y25)),N25,M25-(SUM(O25:Y25)))</f>
        <v>0</v>
      </c>
      <c r="AA25" s="90">
        <f>IF(M25&gt;N25+(SUM(O25:Z25)),N25,M25-(SUM(O25:Z25)))</f>
        <v>0</v>
      </c>
      <c r="AB25" s="90">
        <f>IF(M25&gt;N25+(SUM(O25:AA25)),N25,M25-(SUM(O25:AA25)))</f>
        <v>0</v>
      </c>
      <c r="AC25" s="90">
        <f>IF(M25&gt;N25+(SUM(O25:AB25)),N25,M25-(SUM(O25:AB25)))</f>
        <v>0</v>
      </c>
      <c r="AD25" s="90">
        <f>IF(M25&gt;N25+(SUM(O25:AC25)),N25,M25-(SUM(O25:AC25)))</f>
        <v>0</v>
      </c>
      <c r="AE25" s="90">
        <f>IF(M25&gt;N25+(SUM(O25:AD25)),N25,M25-(SUM(O25:AD25)))</f>
        <v>0</v>
      </c>
      <c r="AF25" s="90">
        <f>IF(M25&gt;N25+(SUM(O25:AE25)),N25,M25-(SUM(O25:AE25)))</f>
        <v>0</v>
      </c>
      <c r="AG25" s="90">
        <f>IF(M25&gt;N25+(SUM(O25:AF25)),N25,M25-(SUM(O25:AF25)))</f>
        <v>0</v>
      </c>
      <c r="AH25" s="90">
        <f>IF(M25&gt;N25+(SUM(O25:AG25)),N25,M25-(SUM(O25:AG25)))</f>
        <v>0</v>
      </c>
      <c r="AI25" s="90">
        <f>IF(M25&gt;N25+(SUM(O25:AH25)),N25,M25-(SUM(O25:AH25)))</f>
        <v>0</v>
      </c>
      <c r="AJ25" s="90">
        <f>IF(M25&gt;N25+(SUM(O25:AI25)),N25,M25-(SUM(O25:AI25)))</f>
        <v>0</v>
      </c>
      <c r="AK25" s="90">
        <f>IF(M25&gt;N25+(SUM(O25:AJ25)),N25,M25-(SUM(O25:AJ25)))</f>
        <v>0</v>
      </c>
      <c r="AL25" s="90">
        <f>IF(M25&gt;N25+(SUM(O25:AK25)),N25,M25-(SUM(O25:AK25)))</f>
        <v>0</v>
      </c>
      <c r="AM25" s="90">
        <f>IF(M25&gt;N25+(SUM(O25:AL25)),N25,M25-(SUM(O25:AL25)))</f>
        <v>0</v>
      </c>
      <c r="AN25" s="90">
        <f t="shared" si="29"/>
        <v>0</v>
      </c>
      <c r="AO25" s="90">
        <f t="shared" si="30"/>
        <v>0</v>
      </c>
      <c r="AP25" s="90">
        <f t="shared" si="31"/>
        <v>0</v>
      </c>
      <c r="AQ25" s="90">
        <f t="shared" si="32"/>
        <v>0</v>
      </c>
      <c r="AR25" s="90">
        <f t="shared" si="33"/>
        <v>0</v>
      </c>
      <c r="AS25" s="90">
        <f t="shared" si="34"/>
        <v>0</v>
      </c>
      <c r="AT25" s="90">
        <f t="shared" si="35"/>
        <v>0</v>
      </c>
      <c r="AU25" s="90">
        <f t="shared" si="36"/>
        <v>0</v>
      </c>
      <c r="AV25" s="90">
        <f t="shared" si="37"/>
        <v>0</v>
      </c>
      <c r="AW25" s="90">
        <f t="shared" si="38"/>
        <v>0</v>
      </c>
      <c r="AX25" s="90">
        <f t="shared" si="39"/>
        <v>0</v>
      </c>
      <c r="AY25" s="90">
        <f>IF(M25&gt;N25+(SUM(O25:AX25)),N25,M25-(SUM($O25:AX25)))</f>
        <v>0</v>
      </c>
      <c r="AZ25" s="90">
        <f t="shared" si="40"/>
        <v>0</v>
      </c>
      <c r="BA25" s="90">
        <f t="shared" si="41"/>
        <v>0</v>
      </c>
      <c r="BB25" s="90">
        <f t="shared" si="42"/>
        <v>0</v>
      </c>
      <c r="BC25" s="90">
        <f t="shared" si="43"/>
        <v>0</v>
      </c>
      <c r="BD25" s="90">
        <f t="shared" si="44"/>
        <v>0</v>
      </c>
      <c r="BE25" s="90">
        <f t="shared" si="45"/>
        <v>0</v>
      </c>
      <c r="BF25" s="90">
        <f t="shared" si="46"/>
        <v>0</v>
      </c>
      <c r="BG25" s="90">
        <f t="shared" si="47"/>
        <v>0</v>
      </c>
      <c r="BH25" s="90">
        <f t="shared" si="48"/>
        <v>0</v>
      </c>
      <c r="BI25" s="90">
        <f t="shared" si="49"/>
        <v>0</v>
      </c>
      <c r="BJ25" s="90">
        <f t="shared" si="50"/>
        <v>0</v>
      </c>
      <c r="BK25" s="90">
        <f t="shared" si="51"/>
        <v>0</v>
      </c>
      <c r="BL25" s="90">
        <f t="shared" si="52"/>
        <v>0</v>
      </c>
      <c r="BM25" s="90">
        <f t="shared" si="53"/>
        <v>0</v>
      </c>
      <c r="BN25" s="90">
        <f t="shared" si="54"/>
        <v>0</v>
      </c>
      <c r="BO25" s="90">
        <f t="shared" si="55"/>
        <v>0</v>
      </c>
      <c r="BP25" s="90">
        <f t="shared" si="56"/>
        <v>0</v>
      </c>
      <c r="BQ25" s="90">
        <f t="shared" si="57"/>
        <v>0</v>
      </c>
      <c r="BR25" s="90">
        <f t="shared" si="58"/>
        <v>0</v>
      </c>
      <c r="BS25" s="90">
        <f t="shared" si="59"/>
        <v>0</v>
      </c>
      <c r="BT25" s="90">
        <f t="shared" si="60"/>
        <v>0</v>
      </c>
      <c r="BU25" s="90">
        <f t="shared" si="61"/>
        <v>0</v>
      </c>
      <c r="BV25" s="90">
        <f t="shared" si="62"/>
        <v>0</v>
      </c>
      <c r="BX25" s="92"/>
    </row>
    <row r="26" spans="1:168" x14ac:dyDescent="0.25">
      <c r="A26" s="81">
        <v>23</v>
      </c>
      <c r="B26">
        <f>IF(A26&gt;0,FABRICAR!F24,NA())</f>
        <v>39250</v>
      </c>
      <c r="C26" t="str">
        <f>IF(A26&gt;0,FABRICAR!G24,NA())</f>
        <v>Espiga 3/4x126x274 caps.1" Poliamida</v>
      </c>
      <c r="D26" s="1" t="str">
        <f t="shared" si="2"/>
        <v>392500</v>
      </c>
      <c r="E26">
        <f>IF(A26&gt;0,FABRICAR!P37,"")</f>
        <v>0</v>
      </c>
      <c r="F26" t="str">
        <f t="shared" si="3"/>
        <v/>
      </c>
      <c r="H26" t="str">
        <f>IF(A26&gt;0,FABRICAR!H24,NA())</f>
        <v>PRENSA FR - 06</v>
      </c>
      <c r="I26">
        <f>IF(A26&gt;0,FABRICAR!B24,NA())</f>
        <v>1</v>
      </c>
      <c r="J26" s="75">
        <f t="shared" si="4"/>
        <v>588</v>
      </c>
      <c r="K26" t="str">
        <f>IF(A26&gt;0,FABRICAR!J24,NA())</f>
        <v>ESTAMPAR</v>
      </c>
      <c r="L26" s="9">
        <f t="shared" si="0"/>
        <v>0.64100000000000001</v>
      </c>
      <c r="M26">
        <f>IF(A26&gt;0,FABRICAR!N24,NA())</f>
        <v>7500</v>
      </c>
      <c r="N26">
        <f>IF(B26=0,B26,IF(A26&gt;0,FABRICAR!M24,"")*9)</f>
        <v>864</v>
      </c>
      <c r="O26" s="3">
        <f t="shared" si="5"/>
        <v>864</v>
      </c>
      <c r="P26">
        <f t="shared" si="6"/>
        <v>864</v>
      </c>
      <c r="Q26">
        <f>IF(M26&gt;N26+(SUM(O26:P26)),N26,M26-(SUM(O26:P26)))</f>
        <v>864</v>
      </c>
      <c r="R26">
        <f>IF(M26&gt;N26+(SUM(O26:Q26)),N26,M26-(SUM(O26:Q26)))</f>
        <v>864</v>
      </c>
      <c r="S26">
        <f>IF(M26&gt;N26+(SUM(O26:R26)),N26,M26-(SUM(O26:R26)))</f>
        <v>864</v>
      </c>
      <c r="T26">
        <f>IF(M26&gt;N26+(SUM(O26:S26)),N26,M26-(SUM(O26:S26)))</f>
        <v>864</v>
      </c>
      <c r="U26">
        <f>IF(M26&gt;N26+(SUM(O26:T26)),N26,M26-(SUM(O26:T26)))</f>
        <v>864</v>
      </c>
      <c r="V26">
        <f>IF(M26&gt;N26+(SUM(O26:U26)),N26,M26-(SUM(O26:U26)))</f>
        <v>864</v>
      </c>
      <c r="W26">
        <f>IF(M26&gt;N26+(SUM(O26:V26)),N26,M26-(SUM(O26:V26)))</f>
        <v>588</v>
      </c>
      <c r="X26">
        <f>IF(M26&gt;N26+(SUM(O26:W26)),N26,M26-(SUM(O26:W26)))</f>
        <v>0</v>
      </c>
      <c r="Y26">
        <f>IF(M26&gt;N26+(SUM(O26:X26)),N26,M26-(SUM(O26:X26)))</f>
        <v>0</v>
      </c>
      <c r="Z26">
        <f>IF(M26&gt;N26+(SUM(O26:Y26)),N26,M26-(SUM(O26:Y26)))</f>
        <v>0</v>
      </c>
      <c r="AA26">
        <f>IF(M26&gt;N26+(SUM(O26:Z26)),N26,M26-(SUM(O26:Z26)))</f>
        <v>0</v>
      </c>
      <c r="AB26">
        <f>IF(M26&gt;N26+(SUM(O26:AA26)),N26,M26-(SUM(O26:AA26)))</f>
        <v>0</v>
      </c>
      <c r="AC26">
        <f>IF(M26&gt;N26+(SUM(O26:AB26)),N26,M26-(SUM(O26:AB26)))</f>
        <v>0</v>
      </c>
      <c r="AD26">
        <f>IF(M26&gt;N26+(SUM(O26:AC26)),N26,M26-(SUM(O26:AC26)))</f>
        <v>0</v>
      </c>
      <c r="AE26">
        <f>IF(M26&gt;N26+(SUM(O26:AD26)),N26,M26-(SUM(O26:AD26)))</f>
        <v>0</v>
      </c>
      <c r="AF26">
        <f>IF(M26&gt;N26+(SUM(O26:AE26)),N26,M26-(SUM(O26:AE26)))</f>
        <v>0</v>
      </c>
      <c r="AG26">
        <f>IF(M26&gt;N26+(SUM(O26:AF26)),N26,M26-(SUM(O26:AF26)))</f>
        <v>0</v>
      </c>
      <c r="AH26">
        <f>IF(M26&gt;N26+(SUM(O26:AG26)),N26,M26-(SUM(O26:AG26)))</f>
        <v>0</v>
      </c>
      <c r="AI26">
        <f>IF(M26&gt;N26+(SUM(O26:AH26)),N26,M26-(SUM(O26:AH26)))</f>
        <v>0</v>
      </c>
      <c r="AJ26">
        <f>IF(M26&gt;N26+(SUM(O26:AI26)),N26,M26-(SUM(O26:AI26)))</f>
        <v>0</v>
      </c>
      <c r="AK26">
        <f>IF(M26&gt;N26+(SUM(O26:AJ26)),N26,M26-(SUM(O26:AJ26)))</f>
        <v>0</v>
      </c>
      <c r="AL26">
        <f>IF(M26&gt;N26+(SUM(O26:AK26)),N26,M26-(SUM(O26:AK26)))</f>
        <v>0</v>
      </c>
      <c r="AM26">
        <f>IF(M26&gt;N26+(SUM(O26:AL26)),N26,M26-(SUM(O26:AL26)))</f>
        <v>0</v>
      </c>
      <c r="AN26">
        <f t="shared" si="29"/>
        <v>0</v>
      </c>
      <c r="AO26">
        <f t="shared" si="30"/>
        <v>0</v>
      </c>
      <c r="AP26">
        <f t="shared" si="31"/>
        <v>0</v>
      </c>
      <c r="AQ26">
        <f t="shared" si="32"/>
        <v>0</v>
      </c>
      <c r="AR26">
        <f t="shared" si="33"/>
        <v>0</v>
      </c>
      <c r="AS26">
        <f t="shared" si="34"/>
        <v>0</v>
      </c>
      <c r="AT26">
        <f t="shared" si="35"/>
        <v>0</v>
      </c>
      <c r="AU26">
        <f t="shared" si="36"/>
        <v>0</v>
      </c>
      <c r="AV26">
        <f t="shared" si="37"/>
        <v>0</v>
      </c>
      <c r="AW26">
        <f t="shared" si="38"/>
        <v>0</v>
      </c>
      <c r="AX26">
        <f t="shared" si="39"/>
        <v>0</v>
      </c>
      <c r="AY26">
        <f>IF(M26&gt;N26+(SUM(O26:AX26)),N26,M26-(SUM($O26:AX26)))</f>
        <v>0</v>
      </c>
      <c r="AZ26">
        <f t="shared" si="40"/>
        <v>0</v>
      </c>
      <c r="BA26">
        <f t="shared" si="41"/>
        <v>0</v>
      </c>
      <c r="BB26">
        <f t="shared" si="42"/>
        <v>0</v>
      </c>
      <c r="BC26">
        <f t="shared" si="43"/>
        <v>0</v>
      </c>
      <c r="BD26">
        <f t="shared" si="44"/>
        <v>0</v>
      </c>
      <c r="BE26">
        <f t="shared" si="45"/>
        <v>0</v>
      </c>
      <c r="BF26">
        <f t="shared" si="46"/>
        <v>0</v>
      </c>
      <c r="BG26">
        <f t="shared" si="47"/>
        <v>0</v>
      </c>
      <c r="BH26">
        <f t="shared" si="48"/>
        <v>0</v>
      </c>
      <c r="BI26">
        <f t="shared" si="49"/>
        <v>0</v>
      </c>
      <c r="BJ26">
        <f t="shared" si="50"/>
        <v>0</v>
      </c>
      <c r="BK26">
        <f t="shared" si="51"/>
        <v>0</v>
      </c>
      <c r="BL26">
        <f t="shared" si="52"/>
        <v>0</v>
      </c>
      <c r="BM26">
        <f t="shared" si="53"/>
        <v>0</v>
      </c>
      <c r="BN26">
        <f t="shared" si="54"/>
        <v>0</v>
      </c>
      <c r="BO26">
        <f t="shared" si="55"/>
        <v>0</v>
      </c>
      <c r="BP26">
        <f t="shared" si="56"/>
        <v>0</v>
      </c>
      <c r="BQ26">
        <f t="shared" si="57"/>
        <v>0</v>
      </c>
      <c r="BR26">
        <f t="shared" si="58"/>
        <v>0</v>
      </c>
      <c r="BS26">
        <f t="shared" si="59"/>
        <v>0</v>
      </c>
      <c r="BT26">
        <f t="shared" si="60"/>
        <v>0</v>
      </c>
      <c r="BU26">
        <f t="shared" si="61"/>
        <v>0</v>
      </c>
      <c r="BV26">
        <f t="shared" si="62"/>
        <v>0</v>
      </c>
      <c r="BY26"/>
    </row>
    <row r="27" spans="1:168" x14ac:dyDescent="0.25">
      <c r="A27" s="81">
        <v>24</v>
      </c>
      <c r="B27">
        <f>IF(A27&gt;0,FABRICAR!F25,NA())</f>
        <v>39250</v>
      </c>
      <c r="C27" t="str">
        <f>IF(A27&gt;0,FABRICAR!G25,NA())</f>
        <v>Espiga 3/4x126x274 caps.1" Poliamida</v>
      </c>
      <c r="D27" s="1" t="str">
        <f t="shared" si="2"/>
        <v>39250T</v>
      </c>
      <c r="E27" t="str">
        <f>IF(A27&gt;0,FABRICAR!P38,"")</f>
        <v>T</v>
      </c>
      <c r="F27">
        <f t="shared" si="3"/>
        <v>0.64100000000000001</v>
      </c>
      <c r="H27" t="str">
        <f>IF(A27&gt;0,FABRICAR!H25,NA())</f>
        <v>FAMAE - 02</v>
      </c>
      <c r="I27">
        <f>IF(A27&gt;0,FABRICAR!B25,NA())</f>
        <v>0</v>
      </c>
      <c r="J27" s="75">
        <f t="shared" si="4"/>
        <v>750</v>
      </c>
      <c r="K27" t="str">
        <f>IF(A27&gt;0,FABRICAR!J25,NA())</f>
        <v>REBABAR</v>
      </c>
      <c r="L27" s="9">
        <f t="shared" si="0"/>
        <v>0.64100000000000001</v>
      </c>
      <c r="M27">
        <f>IF(A27&gt;0,FABRICAR!N25,NA())</f>
        <v>7500</v>
      </c>
      <c r="N27">
        <f>IF(B27=0,B27,IF(A27&gt;0,FABRICAR!M25,"")*9)</f>
        <v>2250</v>
      </c>
      <c r="O27" s="3">
        <f t="shared" si="5"/>
        <v>2250</v>
      </c>
      <c r="P27">
        <f t="shared" si="6"/>
        <v>2250</v>
      </c>
      <c r="Q27">
        <f>IF(M27&gt;N27+(SUM(O27:P27)),N27,M27-(SUM(O27:P27)))</f>
        <v>2250</v>
      </c>
      <c r="R27">
        <f>IF(M27&gt;N27+(SUM(O27:Q27)),N27,M27-(SUM(O27:Q27)))</f>
        <v>750</v>
      </c>
      <c r="S27">
        <f>IF(M27&gt;N27+(SUM(O27:R27)),N27,M27-(SUM(O27:R27)))</f>
        <v>0</v>
      </c>
      <c r="T27">
        <f>IF(M27&gt;N27+(SUM(O27:S27)),N27,M27-(SUM(O27:S27)))</f>
        <v>0</v>
      </c>
      <c r="U27">
        <f>IF(M27&gt;N27+(SUM(O27:T27)),N27,M27-(SUM(O27:T27)))</f>
        <v>0</v>
      </c>
      <c r="V27">
        <f>IF(M27&gt;N27+(SUM(O27:U27)),N27,M27-(SUM(O27:U27)))</f>
        <v>0</v>
      </c>
      <c r="W27">
        <f>IF(M27&gt;N27+(SUM(O27:V27)),N27,M27-(SUM(O27:V27)))</f>
        <v>0</v>
      </c>
      <c r="X27">
        <f>IF(M27&gt;N27+(SUM(O27:W27)),N27,M27-(SUM(O27:W27)))</f>
        <v>0</v>
      </c>
      <c r="Y27">
        <f>IF(M27&gt;N27+(SUM(O27:X27)),N27,M27-(SUM(O27:X27)))</f>
        <v>0</v>
      </c>
      <c r="Z27">
        <f>IF(M27&gt;N27+(SUM(O27:Y27)),N27,M27-(SUM(O27:Y27)))</f>
        <v>0</v>
      </c>
      <c r="AA27">
        <f>IF(M27&gt;N27+(SUM(O27:Z27)),N27,M27-(SUM(O27:Z27)))</f>
        <v>0</v>
      </c>
      <c r="AB27">
        <f>IF(M27&gt;N27+(SUM(O27:AA27)),N27,M27-(SUM(O27:AA27)))</f>
        <v>0</v>
      </c>
      <c r="AC27">
        <f>IF(M27&gt;N27+(SUM(O27:AB27)),N27,M27-(SUM(O27:AB27)))</f>
        <v>0</v>
      </c>
      <c r="AD27">
        <f>IF(M27&gt;N27+(SUM(O27:AC27)),N27,M27-(SUM(O27:AC27)))</f>
        <v>0</v>
      </c>
      <c r="AE27">
        <f>IF(M27&gt;N27+(SUM(O27:AD27)),N27,M27-(SUM(O27:AD27)))</f>
        <v>0</v>
      </c>
      <c r="AF27">
        <f>IF(M27&gt;N27+(SUM(O27:AE27)),N27,M27-(SUM(O27:AE27)))</f>
        <v>0</v>
      </c>
      <c r="AG27">
        <f>IF(M27&gt;N27+(SUM(O27:AF27)),N27,M27-(SUM(O27:AF27)))</f>
        <v>0</v>
      </c>
      <c r="AH27">
        <f>IF(M27&gt;N27+(SUM(O27:AG27)),N27,M27-(SUM(O27:AG27)))</f>
        <v>0</v>
      </c>
      <c r="AI27">
        <f>IF(M27&gt;N27+(SUM(O27:AH27)),N27,M27-(SUM(O27:AH27)))</f>
        <v>0</v>
      </c>
      <c r="AJ27">
        <f>IF(M27&gt;N27+(SUM(O27:AI27)),N27,M27-(SUM(O27:AI27)))</f>
        <v>0</v>
      </c>
      <c r="AK27">
        <f>IF(M27&gt;N27+(SUM(O27:AJ27)),N27,M27-(SUM(O27:AJ27)))</f>
        <v>0</v>
      </c>
      <c r="AL27">
        <f>IF(M27&gt;N27+(SUM(O27:AK27)),N27,M27-(SUM(O27:AK27)))</f>
        <v>0</v>
      </c>
      <c r="AM27">
        <f>IF(M27&gt;N27+(SUM(O27:AL27)),N27,M27-(SUM(O27:AL27)))</f>
        <v>0</v>
      </c>
      <c r="AN27">
        <f t="shared" si="29"/>
        <v>0</v>
      </c>
      <c r="AO27">
        <f t="shared" si="30"/>
        <v>0</v>
      </c>
      <c r="AP27">
        <f t="shared" si="31"/>
        <v>0</v>
      </c>
      <c r="AQ27">
        <f t="shared" si="32"/>
        <v>0</v>
      </c>
      <c r="AR27">
        <f t="shared" si="33"/>
        <v>0</v>
      </c>
      <c r="AS27">
        <f t="shared" si="34"/>
        <v>0</v>
      </c>
      <c r="AT27">
        <f t="shared" si="35"/>
        <v>0</v>
      </c>
      <c r="AU27">
        <f t="shared" si="36"/>
        <v>0</v>
      </c>
      <c r="AV27">
        <f t="shared" si="37"/>
        <v>0</v>
      </c>
      <c r="AW27">
        <f t="shared" si="38"/>
        <v>0</v>
      </c>
      <c r="AX27">
        <f t="shared" si="39"/>
        <v>0</v>
      </c>
      <c r="AY27">
        <f>IF(M27&gt;N27+(SUM(O27:AX27)),N27,M27-(SUM($O27:AX27)))</f>
        <v>0</v>
      </c>
      <c r="AZ27">
        <f t="shared" si="40"/>
        <v>0</v>
      </c>
      <c r="BA27">
        <f t="shared" si="41"/>
        <v>0</v>
      </c>
      <c r="BB27">
        <f t="shared" si="42"/>
        <v>0</v>
      </c>
      <c r="BC27">
        <f t="shared" si="43"/>
        <v>0</v>
      </c>
      <c r="BD27">
        <f t="shared" si="44"/>
        <v>0</v>
      </c>
      <c r="BE27">
        <f t="shared" si="45"/>
        <v>0</v>
      </c>
      <c r="BF27">
        <f t="shared" si="46"/>
        <v>0</v>
      </c>
      <c r="BG27">
        <f t="shared" si="47"/>
        <v>0</v>
      </c>
      <c r="BH27">
        <f t="shared" si="48"/>
        <v>0</v>
      </c>
      <c r="BI27">
        <f t="shared" si="49"/>
        <v>0</v>
      </c>
      <c r="BJ27">
        <f t="shared" si="50"/>
        <v>0</v>
      </c>
      <c r="BK27">
        <f t="shared" si="51"/>
        <v>0</v>
      </c>
      <c r="BL27">
        <f t="shared" si="52"/>
        <v>0</v>
      </c>
      <c r="BM27">
        <f t="shared" si="53"/>
        <v>0</v>
      </c>
      <c r="BN27">
        <f t="shared" si="54"/>
        <v>0</v>
      </c>
      <c r="BO27">
        <f t="shared" si="55"/>
        <v>0</v>
      </c>
      <c r="BP27">
        <f t="shared" si="56"/>
        <v>0</v>
      </c>
      <c r="BQ27">
        <f t="shared" si="57"/>
        <v>0</v>
      </c>
      <c r="BR27">
        <f t="shared" si="58"/>
        <v>0</v>
      </c>
      <c r="BS27">
        <f t="shared" si="59"/>
        <v>0</v>
      </c>
      <c r="BT27">
        <f t="shared" si="60"/>
        <v>0</v>
      </c>
      <c r="BU27">
        <f t="shared" si="61"/>
        <v>0</v>
      </c>
      <c r="BV27">
        <f t="shared" si="62"/>
        <v>0</v>
      </c>
      <c r="BY27"/>
    </row>
    <row r="28" spans="1:168" x14ac:dyDescent="0.25">
      <c r="A28" s="81">
        <v>25</v>
      </c>
      <c r="B28">
        <f>IF(A28&gt;0,FABRICAR!F26,NA())</f>
        <v>39250</v>
      </c>
      <c r="C28" t="str">
        <f>IF(A28&gt;0,FABRICAR!G26,NA())</f>
        <v>Espiga 3/4x126x274 caps.1" Poliamida</v>
      </c>
      <c r="D28" s="1" t="e">
        <f t="shared" si="2"/>
        <v>#N/A</v>
      </c>
      <c r="E28" t="e">
        <f>IF(A28&gt;0,FABRICAR!P39,"")</f>
        <v>#N/A</v>
      </c>
      <c r="F28" t="e">
        <f t="shared" si="3"/>
        <v>#N/A</v>
      </c>
      <c r="H28" t="str">
        <f>IF(A28&gt;0,FABRICAR!H26,NA())</f>
        <v>PUNT 2 CAB</v>
      </c>
      <c r="I28">
        <f>IF(A28&gt;0,FABRICAR!B26,NA())</f>
        <v>0</v>
      </c>
      <c r="J28" s="75">
        <f t="shared" si="4"/>
        <v>750</v>
      </c>
      <c r="K28" t="str">
        <f>IF(A28&gt;0,FABRICAR!J26,NA())</f>
        <v>REBAJAR</v>
      </c>
      <c r="L28" s="9">
        <f t="shared" si="0"/>
        <v>0.64100000000000001</v>
      </c>
      <c r="M28">
        <f>IF(A28&gt;0,FABRICAR!N26,NA())</f>
        <v>7500</v>
      </c>
      <c r="N28">
        <f>IF(B28=0,B28,IF(A28&gt;0,FABRICAR!M26,"")*9)</f>
        <v>1350</v>
      </c>
      <c r="O28" s="3">
        <f t="shared" si="5"/>
        <v>1350</v>
      </c>
      <c r="P28">
        <f t="shared" si="6"/>
        <v>1350</v>
      </c>
      <c r="Q28">
        <f t="shared" ref="Q28:Q47" si="63">IF(M28&gt;N28+(SUM(O28:P28)),N28,M28-(SUM(O28:P28)))</f>
        <v>1350</v>
      </c>
      <c r="R28">
        <f t="shared" ref="R28:R47" si="64">IF(M28&gt;N28+(SUM(O28:Q28)),N28,M28-(SUM(O28:Q28)))</f>
        <v>1350</v>
      </c>
      <c r="S28">
        <f t="shared" ref="S28:S47" si="65">IF(M28&gt;N28+(SUM(O28:R28)),N28,M28-(SUM(O28:R28)))</f>
        <v>1350</v>
      </c>
      <c r="T28">
        <f t="shared" ref="T28:T47" si="66">IF(M28&gt;N28+(SUM(O28:S28)),N28,M28-(SUM(O28:S28)))</f>
        <v>750</v>
      </c>
      <c r="U28">
        <f t="shared" ref="U28:U47" si="67">IF(M28&gt;N28+(SUM(O28:T28)),N28,M28-(SUM(O28:T28)))</f>
        <v>0</v>
      </c>
      <c r="V28">
        <f t="shared" ref="V28:V47" si="68">IF(M28&gt;N28+(SUM(O28:U28)),N28,M28-(SUM(O28:U28)))</f>
        <v>0</v>
      </c>
      <c r="W28">
        <f t="shared" ref="W28:W47" si="69">IF(M28&gt;N28+(SUM(O28:V28)),N28,M28-(SUM(O28:V28)))</f>
        <v>0</v>
      </c>
      <c r="X28">
        <f t="shared" ref="X28:X47" si="70">IF(M28&gt;N28+(SUM(O28:W28)),N28,M28-(SUM(O28:W28)))</f>
        <v>0</v>
      </c>
      <c r="Y28">
        <f t="shared" ref="Y28:Y47" si="71">IF(M28&gt;N28+(SUM(O28:X28)),N28,M28-(SUM(O28:X28)))</f>
        <v>0</v>
      </c>
      <c r="Z28">
        <f t="shared" ref="Z28:Z47" si="72">IF(M28&gt;N28+(SUM(O28:Y28)),N28,M28-(SUM(O28:Y28)))</f>
        <v>0</v>
      </c>
      <c r="AA28">
        <f t="shared" ref="AA28:AA47" si="73">IF(M28&gt;N28+(SUM(O28:Z28)),N28,M28-(SUM(O28:Z28)))</f>
        <v>0</v>
      </c>
      <c r="AB28">
        <f t="shared" ref="AB28:AB47" si="74">IF(M28&gt;N28+(SUM(O28:AA28)),N28,M28-(SUM(O28:AA28)))</f>
        <v>0</v>
      </c>
      <c r="AC28">
        <f t="shared" ref="AC28:AC47" si="75">IF(M28&gt;N28+(SUM(O28:AB28)),N28,M28-(SUM(O28:AB28)))</f>
        <v>0</v>
      </c>
      <c r="AD28">
        <f t="shared" ref="AD28:AD47" si="76">IF(M28&gt;N28+(SUM(O28:AC28)),N28,M28-(SUM(O28:AC28)))</f>
        <v>0</v>
      </c>
      <c r="AE28">
        <f t="shared" ref="AE28:AE47" si="77">IF(M28&gt;N28+(SUM(O28:AD28)),N28,M28-(SUM(O28:AD28)))</f>
        <v>0</v>
      </c>
      <c r="AF28">
        <f t="shared" ref="AF28:AF47" si="78">IF(M28&gt;N28+(SUM(O28:AE28)),N28,M28-(SUM(O28:AE28)))</f>
        <v>0</v>
      </c>
      <c r="AG28">
        <f t="shared" ref="AG28:AG47" si="79">IF(M28&gt;N28+(SUM(O28:AF28)),N28,M28-(SUM(O28:AF28)))</f>
        <v>0</v>
      </c>
      <c r="AH28">
        <f t="shared" ref="AH28:AH47" si="80">IF(M28&gt;N28+(SUM(O28:AG28)),N28,M28-(SUM(O28:AG28)))</f>
        <v>0</v>
      </c>
      <c r="AI28">
        <f t="shared" ref="AI28:AI47" si="81">IF(M28&gt;N28+(SUM(O28:AH28)),N28,M28-(SUM(O28:AH28)))</f>
        <v>0</v>
      </c>
      <c r="AJ28">
        <f t="shared" ref="AJ28:AJ47" si="82">IF(M28&gt;N28+(SUM(O28:AI28)),N28,M28-(SUM(O28:AI28)))</f>
        <v>0</v>
      </c>
      <c r="AK28">
        <f t="shared" ref="AK28:AK47" si="83">IF(M28&gt;N28+(SUM(O28:AJ28)),N28,M28-(SUM(O28:AJ28)))</f>
        <v>0</v>
      </c>
      <c r="AL28">
        <f t="shared" ref="AL28:AL47" si="84">IF(M28&gt;N28+(SUM(O28:AK28)),N28,M28-(SUM(O28:AK28)))</f>
        <v>0</v>
      </c>
      <c r="AM28">
        <f t="shared" ref="AM28:AM47" si="85">IF(M28&gt;N28+(SUM(O28:AL28)),N28,M28-(SUM(O28:AL28)))</f>
        <v>0</v>
      </c>
      <c r="AN28">
        <f t="shared" ref="AN28:AN47" si="86">IF(M28&gt;N28+(SUM(O28:AM28)),N28,M28-(SUM(O28:AM28)))</f>
        <v>0</v>
      </c>
      <c r="AO28">
        <f t="shared" ref="AO28:AO47" si="87">IF(M28&gt;N28+(SUM(O28:AN28)),N28,M28-(SUM(O28:AN28)))</f>
        <v>0</v>
      </c>
      <c r="AP28">
        <f t="shared" ref="AP28:AP47" si="88">IF(M28&gt;N28+(SUM(O28:AO28)),N28,M28-(SUM(O28:AO28)))</f>
        <v>0</v>
      </c>
      <c r="AQ28">
        <f t="shared" ref="AQ28:AQ47" si="89">IF(M28&gt;N28+(SUM(O28:AP28)),N28,M28-(SUM(O28:AP28)))</f>
        <v>0</v>
      </c>
      <c r="AR28">
        <f t="shared" ref="AR28:AR47" si="90">IF(M28&gt;N28+(SUM(O28:AQ28)),N28,M28-(SUM(O28:AQ28)))</f>
        <v>0</v>
      </c>
      <c r="AS28">
        <f t="shared" ref="AS28:AS47" si="91">IF(M28&gt;N28+(SUM(O28:AR28)),N28,M28-(SUM(O28:AR28)))</f>
        <v>0</v>
      </c>
      <c r="AT28">
        <f t="shared" ref="AT28:AT47" si="92">IF(M28&gt;N28+(SUM(O28:AS28)),N28,M28-(SUM(O28:AS28)))</f>
        <v>0</v>
      </c>
      <c r="AU28">
        <f t="shared" ref="AU28:AU47" si="93">IF(M28&gt;N28+(SUM(O28:AT28)),N28,M28-(SUM(O28:AT28)))</f>
        <v>0</v>
      </c>
      <c r="AV28">
        <f t="shared" ref="AV28:AV47" si="94">IF(M28&gt;N28+(SUM(O28:AU28)),N28,M28-(SUM(O28:AU28)))</f>
        <v>0</v>
      </c>
      <c r="AW28">
        <f t="shared" ref="AW28:AW47" si="95">IF(M28&gt;N28+(SUM(O28:AV28)),N28,M28-(SUM(O28:AV28)))</f>
        <v>0</v>
      </c>
      <c r="AX28">
        <f t="shared" ref="AX28:AX47" si="96">IF(M28&gt;N28+(SUM(O28:AW28)),N28,M28-(SUM(O28:AW28)))</f>
        <v>0</v>
      </c>
      <c r="AY28">
        <f>IF(M28&gt;N28+(SUM(O28:AX28)),N28,M28-(SUM($O28:AX28)))</f>
        <v>0</v>
      </c>
      <c r="AZ28">
        <f t="shared" ref="AZ28:AZ47" si="97">IF(M28&gt;N28+(SUM(O28:AY28)),N28,M28-(SUM(O28:AY28)))</f>
        <v>0</v>
      </c>
      <c r="BA28">
        <f t="shared" ref="BA28:BA47" si="98">IF(M28&gt;N28+(SUM(O28:AZ28)),N28,M28-(SUM(O28:AZ28)))</f>
        <v>0</v>
      </c>
      <c r="BB28">
        <f t="shared" ref="BB28:BB47" si="99">IF(M28&gt;N28+(SUM(O28:BA28)),N28,M28-(SUM(O28:BA28)))</f>
        <v>0</v>
      </c>
      <c r="BC28">
        <f t="shared" ref="BC28:BC47" si="100">IF(M28&gt;N28+(SUM(O28:BB28)),N28,M28-(SUM(O28:BB28)))</f>
        <v>0</v>
      </c>
      <c r="BD28">
        <f t="shared" ref="BD28:BD47" si="101">IF(M28&gt;N28+(SUM(O28:BC28)),N28,M28-(SUM(O28:BC28)))</f>
        <v>0</v>
      </c>
      <c r="BE28">
        <f t="shared" ref="BE28:BE47" si="102">IF(M28&gt;N28+(SUM(O28:BD28)),N28,M28-(SUM(O28:BD28)))</f>
        <v>0</v>
      </c>
      <c r="BF28">
        <f t="shared" ref="BF28:BF47" si="103">IF(M28&gt;N28+(SUM(O28:BE28)),N28,M28-(SUM(O28:BE28)))</f>
        <v>0</v>
      </c>
      <c r="BG28">
        <f t="shared" ref="BG28:BG47" si="104">IF(M28&gt;N28+(SUM(O28:BF28)),N28,M28-(SUM(O28:BF28)))</f>
        <v>0</v>
      </c>
      <c r="BH28">
        <f t="shared" ref="BH28:BH47" si="105">IF(M28&gt;N28+(SUM(O28:BG28)),N28,M28-(SUM(O28:BG28)))</f>
        <v>0</v>
      </c>
      <c r="BI28">
        <f t="shared" ref="BI28:BI47" si="106">IF(M28&gt;N28+(SUM(O28:BH28)),N28,M28-(SUM(O28:BH28)))</f>
        <v>0</v>
      </c>
      <c r="BJ28">
        <f t="shared" ref="BJ28:BJ47" si="107">IF(M28&gt;N28+(SUM(O28:BI28)),N28,M28-(SUM(O28:BI28)))</f>
        <v>0</v>
      </c>
      <c r="BK28">
        <f t="shared" ref="BK28:BK47" si="108">IF(M28&gt;N28+(SUM(O28:BJ28)),N28,M28-(SUM(O28:BJ28)))</f>
        <v>0</v>
      </c>
      <c r="BL28">
        <f t="shared" ref="BL28:BL47" si="109">IF(M28&gt;N28+(SUM(O28:BK28)),N28,M28-(SUM(O28:BK28)))</f>
        <v>0</v>
      </c>
      <c r="BM28">
        <f t="shared" ref="BM28:BM47" si="110">IF(M28&gt;N28+(SUM(O28:BL28)),N28,M28-(SUM(O28:BL28)))</f>
        <v>0</v>
      </c>
      <c r="BN28">
        <f t="shared" ref="BN28:BN47" si="111">IF(M28&gt;N28+(SUM(O28:BM28)),N28,M28-(SUM(O28:BM28)))</f>
        <v>0</v>
      </c>
      <c r="BO28">
        <f t="shared" ref="BO28:BO47" si="112">IF(M28&gt;N28+(SUM(O28:BN28)),N28,M28-(SUM(O28:BN28)))</f>
        <v>0</v>
      </c>
      <c r="BP28">
        <f t="shared" ref="BP28:BP47" si="113">IF(M28&gt;N28+(SUM(O28:BO28)),N28,M28-(SUM(O28:BO28)))</f>
        <v>0</v>
      </c>
      <c r="BQ28">
        <f t="shared" ref="BQ28:BQ47" si="114">IF(M28&gt;N28+(SUM(O28:BP28)),N28,M28-(SUM(O28:BP28)))</f>
        <v>0</v>
      </c>
      <c r="BR28">
        <f t="shared" ref="BR28:BR47" si="115">IF(M28&gt;N28+(SUM(O28:BQ28)),N28,M28-(SUM(O28:BQ28)))</f>
        <v>0</v>
      </c>
      <c r="BS28">
        <f t="shared" ref="BS28:BS47" si="116">IF(M28&gt;N28+(SUM(O28:BR28)),N28,M28-(SUM(O28:BR28)))</f>
        <v>0</v>
      </c>
      <c r="BT28">
        <f t="shared" ref="BT28:BT47" si="117">IF(M28&gt;N28+(SUM(O28:BS28)),N28,M28-(SUM(O28:BS28)))</f>
        <v>0</v>
      </c>
      <c r="BU28">
        <f t="shared" ref="BU28:BU47" si="118">IF(M28&gt;N28+(SUM(O28:BT28)),N28,M28-(SUM(O28:BT28)))</f>
        <v>0</v>
      </c>
      <c r="BV28">
        <f t="shared" ref="BV28:BV47" si="119">IF(M28&gt;N28+(SUM(O28:BU28)),N28,M28-(SUM(O28:BU28)))</f>
        <v>0</v>
      </c>
      <c r="BY28"/>
    </row>
    <row r="29" spans="1:168" x14ac:dyDescent="0.25">
      <c r="A29" s="81">
        <v>26</v>
      </c>
      <c r="B29">
        <f>IF(A29&gt;0,FABRICAR!F27,NA())</f>
        <v>39250</v>
      </c>
      <c r="C29" t="str">
        <f>IF(A29&gt;0,FABRICAR!G27,NA())</f>
        <v>Espiga 3/4x126x274 caps.1" Poliamida</v>
      </c>
      <c r="D29" s="1" t="e">
        <f t="shared" ref="D29" si="120">B29&amp;E29</f>
        <v>#N/A</v>
      </c>
      <c r="E29" t="e">
        <f>IF(A29&gt;0,FABRICAR!P40,"")</f>
        <v>#N/A</v>
      </c>
      <c r="F29" t="e">
        <f t="shared" ref="F29" si="121">IF(E29="T",L29,"")</f>
        <v>#N/A</v>
      </c>
      <c r="H29" t="str">
        <f>IF(A29&gt;0,FABRICAR!H27,NA())</f>
        <v>PRENSA FR - 11</v>
      </c>
      <c r="I29">
        <f>IF(A29&gt;0,FABRICAR!B27,NA())</f>
        <v>0</v>
      </c>
      <c r="J29" s="75">
        <f t="shared" si="4"/>
        <v>1290</v>
      </c>
      <c r="K29" t="str">
        <f>IF(A29&gt;0,FABRICAR!J27,NA())</f>
        <v>ESTRIAR</v>
      </c>
      <c r="L29" s="9">
        <f t="shared" ref="L29" si="122">IFERROR(VLOOKUP(C29,PRODUCTOS,4,0),0)</f>
        <v>0.64100000000000001</v>
      </c>
      <c r="M29">
        <f>IF(A29&gt;0,FABRICAR!N27,NA())</f>
        <v>7500</v>
      </c>
      <c r="N29">
        <f>IF(B29=0,B29,IF(A29&gt;0,FABRICAR!M27,"")*9)</f>
        <v>2070</v>
      </c>
      <c r="O29" s="3">
        <f t="shared" ref="O29:O34" si="123">IF(M29&gt;N29,N29,M29)</f>
        <v>2070</v>
      </c>
      <c r="P29">
        <f t="shared" ref="P29:P34" si="124">IF(M29&gt;N29+(SUM(O29:O29)),N29,M29-(SUM(O29:O29)))</f>
        <v>2070</v>
      </c>
      <c r="Q29">
        <f t="shared" ref="Q29:Q34" si="125">IF(M29&gt;N29+(SUM(O29:P29)),N29,M29-(SUM(O29:P29)))</f>
        <v>2070</v>
      </c>
      <c r="R29">
        <f t="shared" ref="R29:R34" si="126">IF(M29&gt;N29+(SUM(O29:Q29)),N29,M29-(SUM(O29:Q29)))</f>
        <v>1290</v>
      </c>
      <c r="S29">
        <f t="shared" ref="S29:S34" si="127">IF(M29&gt;N29+(SUM(O29:R29)),N29,M29-(SUM(O29:R29)))</f>
        <v>0</v>
      </c>
      <c r="T29">
        <f t="shared" ref="T29:T34" si="128">IF(M29&gt;N29+(SUM(O29:S29)),N29,M29-(SUM(O29:S29)))</f>
        <v>0</v>
      </c>
      <c r="U29">
        <f t="shared" ref="U29:U34" si="129">IF(M29&gt;N29+(SUM(O29:T29)),N29,M29-(SUM(O29:T29)))</f>
        <v>0</v>
      </c>
      <c r="V29">
        <f t="shared" ref="V29:V34" si="130">IF(M29&gt;N29+(SUM(O29:U29)),N29,M29-(SUM(O29:U29)))</f>
        <v>0</v>
      </c>
      <c r="W29">
        <f t="shared" ref="W29:W34" si="131">IF(M29&gt;N29+(SUM(O29:V29)),N29,M29-(SUM(O29:V29)))</f>
        <v>0</v>
      </c>
      <c r="X29">
        <f t="shared" ref="X29:X34" si="132">IF(M29&gt;N29+(SUM(O29:W29)),N29,M29-(SUM(O29:W29)))</f>
        <v>0</v>
      </c>
      <c r="Y29">
        <f t="shared" ref="Y29:Y34" si="133">IF(M29&gt;N29+(SUM(O29:X29)),N29,M29-(SUM(O29:X29)))</f>
        <v>0</v>
      </c>
      <c r="Z29">
        <f t="shared" ref="Z29:Z34" si="134">IF(M29&gt;N29+(SUM(O29:Y29)),N29,M29-(SUM(O29:Y29)))</f>
        <v>0</v>
      </c>
      <c r="AA29">
        <f t="shared" ref="AA29:AA34" si="135">IF(M29&gt;N29+(SUM(O29:Z29)),N29,M29-(SUM(O29:Z29)))</f>
        <v>0</v>
      </c>
      <c r="AB29">
        <f t="shared" ref="AB29:AB34" si="136">IF(M29&gt;N29+(SUM(O29:AA29)),N29,M29-(SUM(O29:AA29)))</f>
        <v>0</v>
      </c>
      <c r="AC29">
        <f t="shared" ref="AC29:AC34" si="137">IF(M29&gt;N29+(SUM(O29:AB29)),N29,M29-(SUM(O29:AB29)))</f>
        <v>0</v>
      </c>
      <c r="AD29">
        <f t="shared" ref="AD29:AD34" si="138">IF(M29&gt;N29+(SUM(O29:AC29)),N29,M29-(SUM(O29:AC29)))</f>
        <v>0</v>
      </c>
      <c r="AE29">
        <f t="shared" ref="AE29:AE34" si="139">IF(M29&gt;N29+(SUM(O29:AD29)),N29,M29-(SUM(O29:AD29)))</f>
        <v>0</v>
      </c>
      <c r="AF29">
        <f t="shared" ref="AF29:AF34" si="140">IF(M29&gt;N29+(SUM(O29:AE29)),N29,M29-(SUM(O29:AE29)))</f>
        <v>0</v>
      </c>
      <c r="AG29">
        <f t="shared" ref="AG29:AG34" si="141">IF(M29&gt;N29+(SUM(O29:AF29)),N29,M29-(SUM(O29:AF29)))</f>
        <v>0</v>
      </c>
      <c r="AH29">
        <f t="shared" ref="AH29:AH34" si="142">IF(M29&gt;N29+(SUM(O29:AG29)),N29,M29-(SUM(O29:AG29)))</f>
        <v>0</v>
      </c>
      <c r="AI29">
        <f t="shared" ref="AI29:AI34" si="143">IF(M29&gt;N29+(SUM(O29:AH29)),N29,M29-(SUM(O29:AH29)))</f>
        <v>0</v>
      </c>
      <c r="AJ29">
        <f t="shared" ref="AJ29:AJ34" si="144">IF(M29&gt;N29+(SUM(O29:AI29)),N29,M29-(SUM(O29:AI29)))</f>
        <v>0</v>
      </c>
      <c r="AK29">
        <f t="shared" ref="AK29:AK34" si="145">IF(M29&gt;N29+(SUM(O29:AJ29)),N29,M29-(SUM(O29:AJ29)))</f>
        <v>0</v>
      </c>
      <c r="AL29">
        <f t="shared" ref="AL29:AL34" si="146">IF(M29&gt;N29+(SUM(O29:AK29)),N29,M29-(SUM(O29:AK29)))</f>
        <v>0</v>
      </c>
      <c r="AM29">
        <f t="shared" ref="AM29:AM34" si="147">IF(M29&gt;N29+(SUM(O29:AL29)),N29,M29-(SUM(O29:AL29)))</f>
        <v>0</v>
      </c>
      <c r="AN29">
        <f t="shared" si="86"/>
        <v>0</v>
      </c>
      <c r="AO29">
        <f t="shared" si="87"/>
        <v>0</v>
      </c>
      <c r="AP29">
        <f t="shared" si="88"/>
        <v>0</v>
      </c>
      <c r="AQ29">
        <f t="shared" si="89"/>
        <v>0</v>
      </c>
      <c r="AR29">
        <f t="shared" si="90"/>
        <v>0</v>
      </c>
      <c r="AS29">
        <f t="shared" si="91"/>
        <v>0</v>
      </c>
      <c r="AT29">
        <f t="shared" si="92"/>
        <v>0</v>
      </c>
      <c r="AU29">
        <f t="shared" si="93"/>
        <v>0</v>
      </c>
      <c r="AV29">
        <f t="shared" si="94"/>
        <v>0</v>
      </c>
      <c r="AW29">
        <f t="shared" si="95"/>
        <v>0</v>
      </c>
      <c r="AX29">
        <f t="shared" si="96"/>
        <v>0</v>
      </c>
      <c r="AY29">
        <f>IF(M29&gt;N29+(SUM(O29:AX29)),N29,M29-(SUM($O29:AX29)))</f>
        <v>0</v>
      </c>
      <c r="AZ29">
        <f t="shared" si="97"/>
        <v>0</v>
      </c>
      <c r="BA29">
        <f t="shared" si="98"/>
        <v>0</v>
      </c>
      <c r="BB29">
        <f t="shared" si="99"/>
        <v>0</v>
      </c>
      <c r="BC29">
        <f t="shared" si="100"/>
        <v>0</v>
      </c>
      <c r="BD29">
        <f t="shared" si="101"/>
        <v>0</v>
      </c>
      <c r="BE29">
        <f t="shared" si="102"/>
        <v>0</v>
      </c>
      <c r="BF29">
        <f t="shared" si="103"/>
        <v>0</v>
      </c>
      <c r="BG29">
        <f t="shared" si="104"/>
        <v>0</v>
      </c>
      <c r="BH29">
        <f t="shared" si="105"/>
        <v>0</v>
      </c>
      <c r="BI29">
        <f t="shared" si="106"/>
        <v>0</v>
      </c>
      <c r="BJ29">
        <f t="shared" si="107"/>
        <v>0</v>
      </c>
      <c r="BK29">
        <f t="shared" si="108"/>
        <v>0</v>
      </c>
      <c r="BL29">
        <f t="shared" si="109"/>
        <v>0</v>
      </c>
      <c r="BM29">
        <f t="shared" si="110"/>
        <v>0</v>
      </c>
      <c r="BN29">
        <f t="shared" si="111"/>
        <v>0</v>
      </c>
      <c r="BO29">
        <f t="shared" si="112"/>
        <v>0</v>
      </c>
      <c r="BP29">
        <f t="shared" si="113"/>
        <v>0</v>
      </c>
      <c r="BQ29">
        <f t="shared" si="114"/>
        <v>0</v>
      </c>
      <c r="BR29">
        <f t="shared" si="115"/>
        <v>0</v>
      </c>
      <c r="BS29">
        <f t="shared" si="116"/>
        <v>0</v>
      </c>
      <c r="BT29">
        <f t="shared" si="117"/>
        <v>0</v>
      </c>
      <c r="BU29">
        <f t="shared" si="118"/>
        <v>0</v>
      </c>
      <c r="BV29">
        <f t="shared" si="119"/>
        <v>0</v>
      </c>
      <c r="BY29"/>
    </row>
    <row r="30" spans="1:168" x14ac:dyDescent="0.25">
      <c r="A30" s="81">
        <v>27</v>
      </c>
      <c r="B30">
        <f>IF(A30&gt;0,FABRICAR!F28,NA())</f>
        <v>39250</v>
      </c>
      <c r="C30" t="str">
        <f>IF(A30&gt;0,FABRICAR!G28,NA())</f>
        <v>Espiga 3/4x126x274 caps.1" Poliamida</v>
      </c>
      <c r="D30" s="1" t="e">
        <f t="shared" ref="D30:D34" si="148">B30&amp;E30</f>
        <v>#N/A</v>
      </c>
      <c r="E30" t="e">
        <f>IF(A30&gt;0,FABRICAR!P41,"")</f>
        <v>#N/A</v>
      </c>
      <c r="F30" t="e">
        <f t="shared" ref="F30:F34" si="149">IF(E30="T",L30,"")</f>
        <v>#N/A</v>
      </c>
      <c r="H30" t="str">
        <f>IF(A30&gt;0,FABRICAR!H28,NA())</f>
        <v>PUNT PER</v>
      </c>
      <c r="I30">
        <f>IF(A30&gt;0,FABRICAR!B28,NA())</f>
        <v>0</v>
      </c>
      <c r="J30" s="75">
        <f t="shared" si="4"/>
        <v>1200</v>
      </c>
      <c r="K30" t="str">
        <f>IF(A30&gt;0,FABRICAR!J28,NA())</f>
        <v>PUNTEAR</v>
      </c>
      <c r="L30" s="9">
        <f t="shared" ref="L30:L34" si="150">IFERROR(VLOOKUP(C30,PRODUCTOS,4,0),0)</f>
        <v>0.64100000000000001</v>
      </c>
      <c r="M30">
        <f>IF(A30&gt;0,FABRICAR!N28,NA())</f>
        <v>7500</v>
      </c>
      <c r="N30">
        <f>IF(B30=0,B30,IF(A30&gt;0,FABRICAR!M28,"")*9)</f>
        <v>1260</v>
      </c>
      <c r="O30" s="3">
        <f t="shared" si="123"/>
        <v>1260</v>
      </c>
      <c r="P30">
        <f t="shared" si="124"/>
        <v>1260</v>
      </c>
      <c r="Q30">
        <f t="shared" si="125"/>
        <v>1260</v>
      </c>
      <c r="R30">
        <f t="shared" si="126"/>
        <v>1260</v>
      </c>
      <c r="S30">
        <f t="shared" si="127"/>
        <v>1260</v>
      </c>
      <c r="T30">
        <f t="shared" si="128"/>
        <v>1200</v>
      </c>
      <c r="U30">
        <f t="shared" si="129"/>
        <v>0</v>
      </c>
      <c r="V30">
        <f t="shared" si="130"/>
        <v>0</v>
      </c>
      <c r="W30">
        <f t="shared" si="131"/>
        <v>0</v>
      </c>
      <c r="X30">
        <f t="shared" si="132"/>
        <v>0</v>
      </c>
      <c r="Y30">
        <f t="shared" si="133"/>
        <v>0</v>
      </c>
      <c r="Z30">
        <f t="shared" si="134"/>
        <v>0</v>
      </c>
      <c r="AA30">
        <f t="shared" si="135"/>
        <v>0</v>
      </c>
      <c r="AB30">
        <f t="shared" si="136"/>
        <v>0</v>
      </c>
      <c r="AC30">
        <f t="shared" si="137"/>
        <v>0</v>
      </c>
      <c r="AD30">
        <f t="shared" si="138"/>
        <v>0</v>
      </c>
      <c r="AE30">
        <f t="shared" si="139"/>
        <v>0</v>
      </c>
      <c r="AF30">
        <f t="shared" si="140"/>
        <v>0</v>
      </c>
      <c r="AG30">
        <f t="shared" si="141"/>
        <v>0</v>
      </c>
      <c r="AH30">
        <f t="shared" si="142"/>
        <v>0</v>
      </c>
      <c r="AI30">
        <f t="shared" si="143"/>
        <v>0</v>
      </c>
      <c r="AJ30">
        <f t="shared" si="144"/>
        <v>0</v>
      </c>
      <c r="AK30">
        <f t="shared" si="145"/>
        <v>0</v>
      </c>
      <c r="AL30">
        <f t="shared" si="146"/>
        <v>0</v>
      </c>
      <c r="AM30">
        <f t="shared" si="147"/>
        <v>0</v>
      </c>
      <c r="AN30">
        <f t="shared" si="86"/>
        <v>0</v>
      </c>
      <c r="AO30">
        <f t="shared" si="87"/>
        <v>0</v>
      </c>
      <c r="AP30">
        <f t="shared" si="88"/>
        <v>0</v>
      </c>
      <c r="AQ30">
        <f t="shared" si="89"/>
        <v>0</v>
      </c>
      <c r="AR30">
        <f t="shared" si="90"/>
        <v>0</v>
      </c>
      <c r="AS30">
        <f t="shared" si="91"/>
        <v>0</v>
      </c>
      <c r="AT30">
        <f t="shared" si="92"/>
        <v>0</v>
      </c>
      <c r="AU30">
        <f t="shared" si="93"/>
        <v>0</v>
      </c>
      <c r="AV30">
        <f t="shared" si="94"/>
        <v>0</v>
      </c>
      <c r="AW30">
        <f t="shared" si="95"/>
        <v>0</v>
      </c>
      <c r="AX30">
        <f t="shared" si="96"/>
        <v>0</v>
      </c>
      <c r="AY30">
        <f>IF(M30&gt;N30+(SUM(O30:AX30)),N30,M30-(SUM($O30:AX30)))</f>
        <v>0</v>
      </c>
      <c r="AZ30">
        <f t="shared" si="97"/>
        <v>0</v>
      </c>
      <c r="BA30">
        <f t="shared" si="98"/>
        <v>0</v>
      </c>
      <c r="BB30">
        <f t="shared" si="99"/>
        <v>0</v>
      </c>
      <c r="BC30">
        <f t="shared" si="100"/>
        <v>0</v>
      </c>
      <c r="BD30">
        <f t="shared" si="101"/>
        <v>0</v>
      </c>
      <c r="BE30">
        <f t="shared" si="102"/>
        <v>0</v>
      </c>
      <c r="BF30">
        <f t="shared" si="103"/>
        <v>0</v>
      </c>
      <c r="BG30">
        <f t="shared" si="104"/>
        <v>0</v>
      </c>
      <c r="BH30">
        <f t="shared" si="105"/>
        <v>0</v>
      </c>
      <c r="BI30">
        <f t="shared" si="106"/>
        <v>0</v>
      </c>
      <c r="BJ30">
        <f t="shared" si="107"/>
        <v>0</v>
      </c>
      <c r="BK30">
        <f t="shared" si="108"/>
        <v>0</v>
      </c>
      <c r="BL30">
        <f t="shared" si="109"/>
        <v>0</v>
      </c>
      <c r="BM30">
        <f t="shared" si="110"/>
        <v>0</v>
      </c>
      <c r="BN30">
        <f t="shared" si="111"/>
        <v>0</v>
      </c>
      <c r="BO30">
        <f t="shared" si="112"/>
        <v>0</v>
      </c>
      <c r="BP30">
        <f t="shared" si="113"/>
        <v>0</v>
      </c>
      <c r="BQ30">
        <f t="shared" si="114"/>
        <v>0</v>
      </c>
      <c r="BR30">
        <f t="shared" si="115"/>
        <v>0</v>
      </c>
      <c r="BS30">
        <f t="shared" si="116"/>
        <v>0</v>
      </c>
      <c r="BT30">
        <f t="shared" si="117"/>
        <v>0</v>
      </c>
      <c r="BU30">
        <f t="shared" si="118"/>
        <v>0</v>
      </c>
      <c r="BV30">
        <f t="shared" si="119"/>
        <v>0</v>
      </c>
      <c r="BY30"/>
    </row>
    <row r="31" spans="1:168" x14ac:dyDescent="0.25">
      <c r="A31" s="81">
        <v>28</v>
      </c>
      <c r="B31">
        <f>IF(A31&gt;0,FABRICAR!F29,NA())</f>
        <v>39250</v>
      </c>
      <c r="C31" t="str">
        <f>IF(A31&gt;0,FABRICAR!G29,NA())</f>
        <v>Espiga 3/4x126x274 caps.1" Poliamida</v>
      </c>
      <c r="D31" s="1" t="e">
        <f t="shared" si="148"/>
        <v>#N/A</v>
      </c>
      <c r="E31" t="e">
        <f>IF(A31&gt;0,FABRICAR!P42,"")</f>
        <v>#N/A</v>
      </c>
      <c r="F31" t="e">
        <f t="shared" si="149"/>
        <v>#N/A</v>
      </c>
      <c r="H31" t="str">
        <f>IF(A31&gt;0,FABRICAR!H29,NA())</f>
        <v>TERR PER - 05</v>
      </c>
      <c r="I31">
        <f>IF(A31&gt;0,FABRICAR!B29,NA())</f>
        <v>0</v>
      </c>
      <c r="J31" s="75">
        <f t="shared" si="4"/>
        <v>1020</v>
      </c>
      <c r="K31" t="str">
        <f>IF(A31&gt;0,FABRICAR!J29,NA())</f>
        <v>TERRAJAR</v>
      </c>
      <c r="L31" s="9">
        <f t="shared" si="150"/>
        <v>0.64100000000000001</v>
      </c>
      <c r="M31">
        <f>IF(A31&gt;0,FABRICAR!N29,NA())</f>
        <v>7500</v>
      </c>
      <c r="N31">
        <f>IF(B31=0,B31,IF(A31&gt;0,FABRICAR!M29,"")*9)</f>
        <v>1080</v>
      </c>
      <c r="O31" s="3">
        <f t="shared" si="123"/>
        <v>1080</v>
      </c>
      <c r="P31">
        <f t="shared" si="124"/>
        <v>1080</v>
      </c>
      <c r="Q31">
        <f t="shared" si="125"/>
        <v>1080</v>
      </c>
      <c r="R31">
        <f t="shared" si="126"/>
        <v>1080</v>
      </c>
      <c r="S31">
        <f t="shared" si="127"/>
        <v>1080</v>
      </c>
      <c r="T31">
        <f t="shared" si="128"/>
        <v>1080</v>
      </c>
      <c r="U31">
        <f t="shared" si="129"/>
        <v>1020</v>
      </c>
      <c r="V31">
        <f t="shared" si="130"/>
        <v>0</v>
      </c>
      <c r="W31">
        <f t="shared" si="131"/>
        <v>0</v>
      </c>
      <c r="X31">
        <f t="shared" si="132"/>
        <v>0</v>
      </c>
      <c r="Y31">
        <f t="shared" si="133"/>
        <v>0</v>
      </c>
      <c r="Z31">
        <f t="shared" si="134"/>
        <v>0</v>
      </c>
      <c r="AA31">
        <f t="shared" si="135"/>
        <v>0</v>
      </c>
      <c r="AB31">
        <f t="shared" si="136"/>
        <v>0</v>
      </c>
      <c r="AC31">
        <f t="shared" si="137"/>
        <v>0</v>
      </c>
      <c r="AD31">
        <f t="shared" si="138"/>
        <v>0</v>
      </c>
      <c r="AE31">
        <f t="shared" si="139"/>
        <v>0</v>
      </c>
      <c r="AF31">
        <f t="shared" si="140"/>
        <v>0</v>
      </c>
      <c r="AG31">
        <f t="shared" si="141"/>
        <v>0</v>
      </c>
      <c r="AH31">
        <f t="shared" si="142"/>
        <v>0</v>
      </c>
      <c r="AI31">
        <f t="shared" si="143"/>
        <v>0</v>
      </c>
      <c r="AJ31">
        <f t="shared" si="144"/>
        <v>0</v>
      </c>
      <c r="AK31">
        <f t="shared" si="145"/>
        <v>0</v>
      </c>
      <c r="AL31">
        <f t="shared" si="146"/>
        <v>0</v>
      </c>
      <c r="AM31">
        <f t="shared" si="147"/>
        <v>0</v>
      </c>
      <c r="AN31">
        <f t="shared" si="86"/>
        <v>0</v>
      </c>
      <c r="AO31">
        <f t="shared" si="87"/>
        <v>0</v>
      </c>
      <c r="AP31">
        <f t="shared" si="88"/>
        <v>0</v>
      </c>
      <c r="AQ31">
        <f t="shared" si="89"/>
        <v>0</v>
      </c>
      <c r="AR31">
        <f t="shared" si="90"/>
        <v>0</v>
      </c>
      <c r="AS31">
        <f t="shared" si="91"/>
        <v>0</v>
      </c>
      <c r="AT31">
        <f t="shared" si="92"/>
        <v>0</v>
      </c>
      <c r="AU31">
        <f t="shared" si="93"/>
        <v>0</v>
      </c>
      <c r="AV31">
        <f t="shared" si="94"/>
        <v>0</v>
      </c>
      <c r="AW31">
        <f t="shared" si="95"/>
        <v>0</v>
      </c>
      <c r="AX31">
        <f t="shared" si="96"/>
        <v>0</v>
      </c>
      <c r="AY31">
        <f>IF(M31&gt;N31+(SUM(O31:AX31)),N31,M31-(SUM($O31:AX31)))</f>
        <v>0</v>
      </c>
      <c r="AZ31">
        <f t="shared" si="97"/>
        <v>0</v>
      </c>
      <c r="BA31">
        <f t="shared" si="98"/>
        <v>0</v>
      </c>
      <c r="BB31">
        <f t="shared" si="99"/>
        <v>0</v>
      </c>
      <c r="BC31">
        <f t="shared" si="100"/>
        <v>0</v>
      </c>
      <c r="BD31">
        <f t="shared" si="101"/>
        <v>0</v>
      </c>
      <c r="BE31">
        <f t="shared" si="102"/>
        <v>0</v>
      </c>
      <c r="BF31">
        <f t="shared" si="103"/>
        <v>0</v>
      </c>
      <c r="BG31">
        <f t="shared" si="104"/>
        <v>0</v>
      </c>
      <c r="BH31">
        <f t="shared" si="105"/>
        <v>0</v>
      </c>
      <c r="BI31">
        <f t="shared" si="106"/>
        <v>0</v>
      </c>
      <c r="BJ31">
        <f t="shared" si="107"/>
        <v>0</v>
      </c>
      <c r="BK31">
        <f t="shared" si="108"/>
        <v>0</v>
      </c>
      <c r="BL31">
        <f t="shared" si="109"/>
        <v>0</v>
      </c>
      <c r="BM31">
        <f t="shared" si="110"/>
        <v>0</v>
      </c>
      <c r="BN31">
        <f t="shared" si="111"/>
        <v>0</v>
      </c>
      <c r="BO31">
        <f t="shared" si="112"/>
        <v>0</v>
      </c>
      <c r="BP31">
        <f t="shared" si="113"/>
        <v>0</v>
      </c>
      <c r="BQ31">
        <f t="shared" si="114"/>
        <v>0</v>
      </c>
      <c r="BR31">
        <f t="shared" si="115"/>
        <v>0</v>
      </c>
      <c r="BS31">
        <f t="shared" si="116"/>
        <v>0</v>
      </c>
      <c r="BT31">
        <f t="shared" si="117"/>
        <v>0</v>
      </c>
      <c r="BU31">
        <f t="shared" si="118"/>
        <v>0</v>
      </c>
      <c r="BV31">
        <f t="shared" si="119"/>
        <v>0</v>
      </c>
      <c r="BY31"/>
    </row>
    <row r="32" spans="1:168" x14ac:dyDescent="0.25">
      <c r="A32" s="81">
        <v>29</v>
      </c>
      <c r="B32">
        <f>IF(A32&gt;0,FABRICAR!F30,NA())</f>
        <v>38998</v>
      </c>
      <c r="C32" t="str">
        <f>IF(A32&gt;0,FABRICAR!G30,NA())</f>
        <v>Eslabón Angular Estampado perf.18</v>
      </c>
      <c r="D32" s="1" t="e">
        <f t="shared" si="148"/>
        <v>#N/A</v>
      </c>
      <c r="E32" t="e">
        <f>IF(A32&gt;0,FABRICAR!P43,"")</f>
        <v>#N/A</v>
      </c>
      <c r="F32" t="e">
        <f t="shared" si="149"/>
        <v>#N/A</v>
      </c>
      <c r="H32" t="str">
        <f>IF(A32&gt;0,FABRICAR!H30,NA())</f>
        <v>PRENSA FR - 10</v>
      </c>
      <c r="I32">
        <f>IF(A32&gt;0,FABRICAR!B30,NA())</f>
        <v>1</v>
      </c>
      <c r="J32" s="75">
        <f t="shared" si="4"/>
        <v>314</v>
      </c>
      <c r="K32" t="str">
        <f>IF(A32&gt;0,FABRICAR!J30,NA())</f>
        <v>ESTAMPAR</v>
      </c>
      <c r="L32" s="9">
        <f t="shared" si="150"/>
        <v>0.45300000000000001</v>
      </c>
      <c r="M32">
        <f>IF(A32&gt;0,FABRICAR!N30,NA())</f>
        <v>3050</v>
      </c>
      <c r="N32">
        <f>IF(B32=0,B32,IF(A32&gt;0,FABRICAR!M30,"")*9)</f>
        <v>342</v>
      </c>
      <c r="O32" s="3">
        <f t="shared" si="123"/>
        <v>342</v>
      </c>
      <c r="P32">
        <f t="shared" si="124"/>
        <v>342</v>
      </c>
      <c r="Q32">
        <f t="shared" si="125"/>
        <v>342</v>
      </c>
      <c r="R32">
        <f>IF(M32&gt;N32+(SUM(O32:Q32)),N32,M32-(SUM(O32:Q32)))</f>
        <v>342</v>
      </c>
      <c r="S32">
        <f t="shared" si="127"/>
        <v>342</v>
      </c>
      <c r="T32">
        <f t="shared" si="128"/>
        <v>342</v>
      </c>
      <c r="U32">
        <f t="shared" si="129"/>
        <v>342</v>
      </c>
      <c r="V32">
        <f t="shared" si="130"/>
        <v>342</v>
      </c>
      <c r="W32">
        <f t="shared" si="131"/>
        <v>314</v>
      </c>
      <c r="X32">
        <f t="shared" si="132"/>
        <v>0</v>
      </c>
      <c r="Y32">
        <f t="shared" si="133"/>
        <v>0</v>
      </c>
      <c r="Z32">
        <f t="shared" si="134"/>
        <v>0</v>
      </c>
      <c r="AA32">
        <f t="shared" si="135"/>
        <v>0</v>
      </c>
      <c r="AB32">
        <f t="shared" si="136"/>
        <v>0</v>
      </c>
      <c r="AC32">
        <f t="shared" si="137"/>
        <v>0</v>
      </c>
      <c r="AD32">
        <f t="shared" si="138"/>
        <v>0</v>
      </c>
      <c r="AE32">
        <f t="shared" si="139"/>
        <v>0</v>
      </c>
      <c r="AF32">
        <f t="shared" si="140"/>
        <v>0</v>
      </c>
      <c r="AG32">
        <f t="shared" si="141"/>
        <v>0</v>
      </c>
      <c r="AH32">
        <f t="shared" si="142"/>
        <v>0</v>
      </c>
      <c r="AI32">
        <f t="shared" si="143"/>
        <v>0</v>
      </c>
      <c r="AJ32">
        <f t="shared" si="144"/>
        <v>0</v>
      </c>
      <c r="AK32">
        <f t="shared" si="145"/>
        <v>0</v>
      </c>
      <c r="AL32">
        <f t="shared" si="146"/>
        <v>0</v>
      </c>
      <c r="AM32">
        <f t="shared" si="147"/>
        <v>0</v>
      </c>
      <c r="AN32">
        <f t="shared" si="86"/>
        <v>0</v>
      </c>
      <c r="AO32">
        <f t="shared" si="87"/>
        <v>0</v>
      </c>
      <c r="AP32">
        <f t="shared" si="88"/>
        <v>0</v>
      </c>
      <c r="AQ32">
        <f t="shared" si="89"/>
        <v>0</v>
      </c>
      <c r="AR32">
        <f t="shared" si="90"/>
        <v>0</v>
      </c>
      <c r="AS32">
        <f t="shared" si="91"/>
        <v>0</v>
      </c>
      <c r="AT32">
        <f t="shared" si="92"/>
        <v>0</v>
      </c>
      <c r="AU32">
        <f t="shared" si="93"/>
        <v>0</v>
      </c>
      <c r="AV32">
        <f t="shared" si="94"/>
        <v>0</v>
      </c>
      <c r="AW32">
        <f t="shared" si="95"/>
        <v>0</v>
      </c>
      <c r="AX32">
        <f t="shared" si="96"/>
        <v>0</v>
      </c>
      <c r="AY32">
        <f>IF(M32&gt;N32+(SUM(O32:AX32)),N32,M32-(SUM($O32:AX32)))</f>
        <v>0</v>
      </c>
      <c r="AZ32">
        <f t="shared" si="97"/>
        <v>0</v>
      </c>
      <c r="BA32">
        <f t="shared" si="98"/>
        <v>0</v>
      </c>
      <c r="BB32">
        <f t="shared" si="99"/>
        <v>0</v>
      </c>
      <c r="BC32">
        <f t="shared" si="100"/>
        <v>0</v>
      </c>
      <c r="BD32">
        <f t="shared" si="101"/>
        <v>0</v>
      </c>
      <c r="BE32">
        <f t="shared" si="102"/>
        <v>0</v>
      </c>
      <c r="BF32">
        <f t="shared" si="103"/>
        <v>0</v>
      </c>
      <c r="BG32">
        <f t="shared" si="104"/>
        <v>0</v>
      </c>
      <c r="BH32">
        <f t="shared" si="105"/>
        <v>0</v>
      </c>
      <c r="BI32">
        <f t="shared" si="106"/>
        <v>0</v>
      </c>
      <c r="BJ32">
        <f t="shared" si="107"/>
        <v>0</v>
      </c>
      <c r="BK32">
        <f t="shared" si="108"/>
        <v>0</v>
      </c>
      <c r="BL32">
        <f t="shared" si="109"/>
        <v>0</v>
      </c>
      <c r="BM32">
        <f t="shared" si="110"/>
        <v>0</v>
      </c>
      <c r="BN32">
        <f t="shared" si="111"/>
        <v>0</v>
      </c>
      <c r="BO32">
        <f t="shared" si="112"/>
        <v>0</v>
      </c>
      <c r="BP32">
        <f t="shared" si="113"/>
        <v>0</v>
      </c>
      <c r="BQ32">
        <f t="shared" si="114"/>
        <v>0</v>
      </c>
      <c r="BR32">
        <f t="shared" si="115"/>
        <v>0</v>
      </c>
      <c r="BS32">
        <f t="shared" si="116"/>
        <v>0</v>
      </c>
      <c r="BT32">
        <f t="shared" si="117"/>
        <v>0</v>
      </c>
      <c r="BU32">
        <f t="shared" si="118"/>
        <v>0</v>
      </c>
      <c r="BV32">
        <f t="shared" si="119"/>
        <v>0</v>
      </c>
      <c r="BY32"/>
    </row>
    <row r="33" spans="1:77" x14ac:dyDescent="0.25">
      <c r="A33" s="81">
        <v>30</v>
      </c>
      <c r="B33">
        <f>IF(A33&gt;0,FABRICAR!F31,NA())</f>
        <v>38998</v>
      </c>
      <c r="C33" t="str">
        <f>IF(A33&gt;0,FABRICAR!G31,NA())</f>
        <v>Eslabón Angular Estampado perf.18</v>
      </c>
      <c r="D33" s="1" t="e">
        <f t="shared" si="148"/>
        <v>#N/A</v>
      </c>
      <c r="E33" t="e">
        <f>IF(A33&gt;0,FABRICAR!P44,"")</f>
        <v>#N/A</v>
      </c>
      <c r="F33" t="e">
        <f t="shared" si="149"/>
        <v>#N/A</v>
      </c>
      <c r="H33" t="str">
        <f>IF(A33&gt;0,FABRICAR!H31,NA())</f>
        <v>PRENSA EX - 11</v>
      </c>
      <c r="I33">
        <f>IF(A33&gt;0,FABRICAR!B31,NA())</f>
        <v>0</v>
      </c>
      <c r="J33" s="75">
        <f t="shared" si="4"/>
        <v>1520</v>
      </c>
      <c r="K33" t="str">
        <f>IF(A33&gt;0,FABRICAR!J31,NA())</f>
        <v>REBABAR</v>
      </c>
      <c r="L33" s="9">
        <f t="shared" si="150"/>
        <v>0.45300000000000001</v>
      </c>
      <c r="M33">
        <f>IF(A33&gt;0,FABRICAR!N31,NA())</f>
        <v>3050</v>
      </c>
      <c r="N33">
        <f>IF(B33=0,B33,IF(A33&gt;0,FABRICAR!M31,"")*9)</f>
        <v>1530</v>
      </c>
      <c r="O33" s="3">
        <f t="shared" si="123"/>
        <v>1530</v>
      </c>
      <c r="P33">
        <f t="shared" si="124"/>
        <v>1520</v>
      </c>
      <c r="Q33">
        <f t="shared" si="125"/>
        <v>0</v>
      </c>
      <c r="R33">
        <f t="shared" si="126"/>
        <v>0</v>
      </c>
      <c r="S33">
        <f t="shared" si="127"/>
        <v>0</v>
      </c>
      <c r="T33">
        <f t="shared" si="128"/>
        <v>0</v>
      </c>
      <c r="U33">
        <f t="shared" si="129"/>
        <v>0</v>
      </c>
      <c r="V33">
        <f t="shared" si="130"/>
        <v>0</v>
      </c>
      <c r="W33">
        <f t="shared" si="131"/>
        <v>0</v>
      </c>
      <c r="X33">
        <f t="shared" si="132"/>
        <v>0</v>
      </c>
      <c r="Y33">
        <f t="shared" si="133"/>
        <v>0</v>
      </c>
      <c r="Z33">
        <f t="shared" si="134"/>
        <v>0</v>
      </c>
      <c r="AA33">
        <f t="shared" si="135"/>
        <v>0</v>
      </c>
      <c r="AB33">
        <f t="shared" si="136"/>
        <v>0</v>
      </c>
      <c r="AC33">
        <f t="shared" si="137"/>
        <v>0</v>
      </c>
      <c r="AD33">
        <f t="shared" si="138"/>
        <v>0</v>
      </c>
      <c r="AE33">
        <f t="shared" si="139"/>
        <v>0</v>
      </c>
      <c r="AF33">
        <f t="shared" si="140"/>
        <v>0</v>
      </c>
      <c r="AG33">
        <f t="shared" si="141"/>
        <v>0</v>
      </c>
      <c r="AH33">
        <f t="shared" si="142"/>
        <v>0</v>
      </c>
      <c r="AI33">
        <f t="shared" si="143"/>
        <v>0</v>
      </c>
      <c r="AJ33">
        <f t="shared" si="144"/>
        <v>0</v>
      </c>
      <c r="AK33">
        <f t="shared" si="145"/>
        <v>0</v>
      </c>
      <c r="AL33">
        <f t="shared" si="146"/>
        <v>0</v>
      </c>
      <c r="AM33">
        <f t="shared" si="147"/>
        <v>0</v>
      </c>
      <c r="AN33">
        <f t="shared" si="86"/>
        <v>0</v>
      </c>
      <c r="AO33">
        <f t="shared" si="87"/>
        <v>0</v>
      </c>
      <c r="AP33">
        <f t="shared" si="88"/>
        <v>0</v>
      </c>
      <c r="AQ33">
        <f t="shared" si="89"/>
        <v>0</v>
      </c>
      <c r="AR33">
        <f t="shared" si="90"/>
        <v>0</v>
      </c>
      <c r="AS33">
        <f t="shared" si="91"/>
        <v>0</v>
      </c>
      <c r="AT33">
        <f t="shared" si="92"/>
        <v>0</v>
      </c>
      <c r="AU33">
        <f t="shared" si="93"/>
        <v>0</v>
      </c>
      <c r="AV33">
        <f t="shared" si="94"/>
        <v>0</v>
      </c>
      <c r="AW33">
        <f t="shared" si="95"/>
        <v>0</v>
      </c>
      <c r="AX33">
        <f t="shared" si="96"/>
        <v>0</v>
      </c>
      <c r="AY33">
        <f>IF(M33&gt;N33+(SUM(O33:AX33)),N33,M33-(SUM($O33:AX33)))</f>
        <v>0</v>
      </c>
      <c r="AZ33">
        <f t="shared" si="97"/>
        <v>0</v>
      </c>
      <c r="BA33">
        <f t="shared" si="98"/>
        <v>0</v>
      </c>
      <c r="BB33">
        <f t="shared" si="99"/>
        <v>0</v>
      </c>
      <c r="BC33">
        <f t="shared" si="100"/>
        <v>0</v>
      </c>
      <c r="BD33">
        <f t="shared" si="101"/>
        <v>0</v>
      </c>
      <c r="BE33">
        <f t="shared" si="102"/>
        <v>0</v>
      </c>
      <c r="BF33">
        <f t="shared" si="103"/>
        <v>0</v>
      </c>
      <c r="BG33">
        <f t="shared" si="104"/>
        <v>0</v>
      </c>
      <c r="BH33">
        <f t="shared" si="105"/>
        <v>0</v>
      </c>
      <c r="BI33">
        <f t="shared" si="106"/>
        <v>0</v>
      </c>
      <c r="BJ33">
        <f t="shared" si="107"/>
        <v>0</v>
      </c>
      <c r="BK33">
        <f t="shared" si="108"/>
        <v>0</v>
      </c>
      <c r="BL33">
        <f t="shared" si="109"/>
        <v>0</v>
      </c>
      <c r="BM33">
        <f t="shared" si="110"/>
        <v>0</v>
      </c>
      <c r="BN33">
        <f t="shared" si="111"/>
        <v>0</v>
      </c>
      <c r="BO33">
        <f t="shared" si="112"/>
        <v>0</v>
      </c>
      <c r="BP33">
        <f t="shared" si="113"/>
        <v>0</v>
      </c>
      <c r="BQ33">
        <f t="shared" si="114"/>
        <v>0</v>
      </c>
      <c r="BR33">
        <f t="shared" si="115"/>
        <v>0</v>
      </c>
      <c r="BS33">
        <f t="shared" si="116"/>
        <v>0</v>
      </c>
      <c r="BT33">
        <f t="shared" si="117"/>
        <v>0</v>
      </c>
      <c r="BU33">
        <f t="shared" si="118"/>
        <v>0</v>
      </c>
      <c r="BV33">
        <f t="shared" si="119"/>
        <v>0</v>
      </c>
      <c r="BY33"/>
    </row>
    <row r="34" spans="1:77" x14ac:dyDescent="0.25">
      <c r="A34" s="81">
        <v>31</v>
      </c>
      <c r="B34">
        <f>IF(A34&gt;0,FABRICAR!F32,NA())</f>
        <v>38998</v>
      </c>
      <c r="C34" t="str">
        <f>IF(A34&gt;0,FABRICAR!G32,NA())</f>
        <v>Eslabón Angular Estampado perf.18</v>
      </c>
      <c r="D34" s="1" t="e">
        <f t="shared" si="148"/>
        <v>#N/A</v>
      </c>
      <c r="E34" t="e">
        <f>IF(A34&gt;0,FABRICAR!P45,"")</f>
        <v>#N/A</v>
      </c>
      <c r="F34" t="e">
        <f t="shared" si="149"/>
        <v>#N/A</v>
      </c>
      <c r="H34" t="str">
        <f>IF(A34&gt;0,FABRICAR!H32,NA())</f>
        <v>PRENSA EX - 15</v>
      </c>
      <c r="I34">
        <f>IF(A34&gt;0,FABRICAR!B32,NA())</f>
        <v>0</v>
      </c>
      <c r="J34" s="75">
        <f t="shared" si="4"/>
        <v>170</v>
      </c>
      <c r="K34" t="str">
        <f>IF(A34&gt;0,FABRICAR!J32,NA())</f>
        <v>PERFORAR18</v>
      </c>
      <c r="L34" s="9">
        <f t="shared" si="150"/>
        <v>0.45300000000000001</v>
      </c>
      <c r="M34">
        <f>IF(A34&gt;0,FABRICAR!N32,NA())</f>
        <v>3050</v>
      </c>
      <c r="N34">
        <f>IF(B34=0,B34,IF(A34&gt;0,FABRICAR!M32,"")*9)</f>
        <v>1440</v>
      </c>
      <c r="O34" s="3">
        <f t="shared" si="123"/>
        <v>1440</v>
      </c>
      <c r="P34">
        <f t="shared" si="124"/>
        <v>1440</v>
      </c>
      <c r="Q34">
        <f t="shared" si="125"/>
        <v>170</v>
      </c>
      <c r="R34">
        <f t="shared" si="126"/>
        <v>0</v>
      </c>
      <c r="S34">
        <f t="shared" si="127"/>
        <v>0</v>
      </c>
      <c r="T34">
        <f t="shared" si="128"/>
        <v>0</v>
      </c>
      <c r="U34">
        <f t="shared" si="129"/>
        <v>0</v>
      </c>
      <c r="V34">
        <f t="shared" si="130"/>
        <v>0</v>
      </c>
      <c r="W34">
        <f t="shared" si="131"/>
        <v>0</v>
      </c>
      <c r="X34">
        <f t="shared" si="132"/>
        <v>0</v>
      </c>
      <c r="Y34">
        <f t="shared" si="133"/>
        <v>0</v>
      </c>
      <c r="Z34">
        <f t="shared" si="134"/>
        <v>0</v>
      </c>
      <c r="AA34">
        <f t="shared" si="135"/>
        <v>0</v>
      </c>
      <c r="AB34">
        <f t="shared" si="136"/>
        <v>0</v>
      </c>
      <c r="AC34">
        <f t="shared" si="137"/>
        <v>0</v>
      </c>
      <c r="AD34">
        <f t="shared" si="138"/>
        <v>0</v>
      </c>
      <c r="AE34">
        <f t="shared" si="139"/>
        <v>0</v>
      </c>
      <c r="AF34">
        <f t="shared" si="140"/>
        <v>0</v>
      </c>
      <c r="AG34">
        <f t="shared" si="141"/>
        <v>0</v>
      </c>
      <c r="AH34">
        <f t="shared" si="142"/>
        <v>0</v>
      </c>
      <c r="AI34">
        <f t="shared" si="143"/>
        <v>0</v>
      </c>
      <c r="AJ34">
        <f t="shared" si="144"/>
        <v>0</v>
      </c>
      <c r="AK34">
        <f t="shared" si="145"/>
        <v>0</v>
      </c>
      <c r="AL34">
        <f t="shared" si="146"/>
        <v>0</v>
      </c>
      <c r="AM34">
        <f t="shared" si="147"/>
        <v>0</v>
      </c>
      <c r="AN34">
        <f t="shared" si="86"/>
        <v>0</v>
      </c>
      <c r="AO34">
        <f t="shared" si="87"/>
        <v>0</v>
      </c>
      <c r="AP34">
        <f t="shared" si="88"/>
        <v>0</v>
      </c>
      <c r="AQ34">
        <f t="shared" si="89"/>
        <v>0</v>
      </c>
      <c r="AR34">
        <f t="shared" si="90"/>
        <v>0</v>
      </c>
      <c r="AS34">
        <f t="shared" si="91"/>
        <v>0</v>
      </c>
      <c r="AT34">
        <f t="shared" si="92"/>
        <v>0</v>
      </c>
      <c r="AU34">
        <f t="shared" si="93"/>
        <v>0</v>
      </c>
      <c r="AV34">
        <f t="shared" si="94"/>
        <v>0</v>
      </c>
      <c r="AW34">
        <f t="shared" si="95"/>
        <v>0</v>
      </c>
      <c r="AX34">
        <f t="shared" si="96"/>
        <v>0</v>
      </c>
      <c r="AY34">
        <f>IF(M34&gt;N34+(SUM(O34:AX34)),N34,M34-(SUM($O34:AX34)))</f>
        <v>0</v>
      </c>
      <c r="AZ34">
        <f t="shared" si="97"/>
        <v>0</v>
      </c>
      <c r="BA34">
        <f t="shared" si="98"/>
        <v>0</v>
      </c>
      <c r="BB34">
        <f t="shared" si="99"/>
        <v>0</v>
      </c>
      <c r="BC34">
        <f t="shared" si="100"/>
        <v>0</v>
      </c>
      <c r="BD34">
        <f t="shared" si="101"/>
        <v>0</v>
      </c>
      <c r="BE34">
        <f t="shared" si="102"/>
        <v>0</v>
      </c>
      <c r="BF34">
        <f t="shared" si="103"/>
        <v>0</v>
      </c>
      <c r="BG34">
        <f t="shared" si="104"/>
        <v>0</v>
      </c>
      <c r="BH34">
        <f t="shared" si="105"/>
        <v>0</v>
      </c>
      <c r="BI34">
        <f t="shared" si="106"/>
        <v>0</v>
      </c>
      <c r="BJ34">
        <f t="shared" si="107"/>
        <v>0</v>
      </c>
      <c r="BK34">
        <f t="shared" si="108"/>
        <v>0</v>
      </c>
      <c r="BL34">
        <f t="shared" si="109"/>
        <v>0</v>
      </c>
      <c r="BM34">
        <f t="shared" si="110"/>
        <v>0</v>
      </c>
      <c r="BN34">
        <f t="shared" si="111"/>
        <v>0</v>
      </c>
      <c r="BO34">
        <f t="shared" si="112"/>
        <v>0</v>
      </c>
      <c r="BP34">
        <f t="shared" si="113"/>
        <v>0</v>
      </c>
      <c r="BQ34">
        <f t="shared" si="114"/>
        <v>0</v>
      </c>
      <c r="BR34">
        <f t="shared" si="115"/>
        <v>0</v>
      </c>
      <c r="BS34">
        <f t="shared" si="116"/>
        <v>0</v>
      </c>
      <c r="BT34">
        <f t="shared" si="117"/>
        <v>0</v>
      </c>
      <c r="BU34">
        <f t="shared" si="118"/>
        <v>0</v>
      </c>
      <c r="BV34">
        <f t="shared" si="119"/>
        <v>0</v>
      </c>
      <c r="BY34"/>
    </row>
    <row r="35" spans="1:77" x14ac:dyDescent="0.25">
      <c r="A35" s="81">
        <v>32</v>
      </c>
      <c r="B35">
        <f>IF(A35&gt;0,FABRICAR!F33,NA())</f>
        <v>38998</v>
      </c>
      <c r="C35" t="str">
        <f>IF(A35&gt;0,FABRICAR!G33,NA())</f>
        <v>Eslabón Angular Estampado perf.18</v>
      </c>
      <c r="D35" s="1" t="str">
        <f t="shared" ref="D35:D57" si="151">B35&amp;E35</f>
        <v>389980</v>
      </c>
      <c r="E35">
        <f>IF(A35&gt;0,FABRICAR!P46,"")</f>
        <v>0</v>
      </c>
      <c r="F35" t="str">
        <f t="shared" ref="F35:F57" si="152">IF(E35="T",L35,"")</f>
        <v/>
      </c>
      <c r="H35" t="str">
        <f>IF(A35&gt;0,FABRICAR!H33,NA())</f>
        <v>PRENSA EX - 15</v>
      </c>
      <c r="I35">
        <f>IF(A35&gt;0,FABRICAR!B33,NA())</f>
        <v>0</v>
      </c>
      <c r="J35" s="75">
        <f t="shared" si="4"/>
        <v>170</v>
      </c>
      <c r="K35" t="str">
        <f>IF(A35&gt;0,FABRICAR!J33,NA())</f>
        <v>PERF OVALADA</v>
      </c>
      <c r="L35" s="9">
        <f t="shared" ref="L35:L57" si="153">IFERROR(VLOOKUP(C35,PRODUCTOS,4,0),0)</f>
        <v>0.45300000000000001</v>
      </c>
      <c r="M35">
        <f>IF(A35&gt;0,FABRICAR!N33,NA())</f>
        <v>3050</v>
      </c>
      <c r="N35">
        <f>IF(B35=0,B35,IF(A35&gt;0,FABRICAR!M33,"")*9)</f>
        <v>1440</v>
      </c>
      <c r="O35" s="3">
        <f t="shared" si="5"/>
        <v>1440</v>
      </c>
      <c r="P35">
        <f t="shared" si="6"/>
        <v>1440</v>
      </c>
      <c r="Q35">
        <f t="shared" si="63"/>
        <v>170</v>
      </c>
      <c r="R35">
        <f t="shared" si="64"/>
        <v>0</v>
      </c>
      <c r="S35">
        <f t="shared" si="65"/>
        <v>0</v>
      </c>
      <c r="T35">
        <f t="shared" si="66"/>
        <v>0</v>
      </c>
      <c r="U35">
        <f t="shared" si="67"/>
        <v>0</v>
      </c>
      <c r="V35">
        <f t="shared" si="68"/>
        <v>0</v>
      </c>
      <c r="W35">
        <f t="shared" si="69"/>
        <v>0</v>
      </c>
      <c r="X35">
        <f t="shared" si="70"/>
        <v>0</v>
      </c>
      <c r="Y35">
        <f t="shared" si="71"/>
        <v>0</v>
      </c>
      <c r="Z35">
        <f t="shared" si="72"/>
        <v>0</v>
      </c>
      <c r="AA35">
        <f t="shared" si="73"/>
        <v>0</v>
      </c>
      <c r="AB35">
        <f t="shared" si="74"/>
        <v>0</v>
      </c>
      <c r="AC35">
        <f t="shared" si="75"/>
        <v>0</v>
      </c>
      <c r="AD35">
        <f t="shared" si="76"/>
        <v>0</v>
      </c>
      <c r="AE35">
        <f t="shared" si="77"/>
        <v>0</v>
      </c>
      <c r="AF35">
        <f t="shared" si="78"/>
        <v>0</v>
      </c>
      <c r="AG35">
        <f t="shared" si="79"/>
        <v>0</v>
      </c>
      <c r="AH35">
        <f t="shared" si="80"/>
        <v>0</v>
      </c>
      <c r="AI35">
        <f t="shared" si="81"/>
        <v>0</v>
      </c>
      <c r="AJ35">
        <f t="shared" si="82"/>
        <v>0</v>
      </c>
      <c r="AK35">
        <f t="shared" si="83"/>
        <v>0</v>
      </c>
      <c r="AL35">
        <f t="shared" si="84"/>
        <v>0</v>
      </c>
      <c r="AM35">
        <f t="shared" si="85"/>
        <v>0</v>
      </c>
      <c r="AN35">
        <f t="shared" si="86"/>
        <v>0</v>
      </c>
      <c r="AO35">
        <f t="shared" si="87"/>
        <v>0</v>
      </c>
      <c r="AP35">
        <f t="shared" si="88"/>
        <v>0</v>
      </c>
      <c r="AQ35">
        <f t="shared" si="89"/>
        <v>0</v>
      </c>
      <c r="AR35">
        <f t="shared" si="90"/>
        <v>0</v>
      </c>
      <c r="AS35">
        <f t="shared" si="91"/>
        <v>0</v>
      </c>
      <c r="AT35">
        <f t="shared" si="92"/>
        <v>0</v>
      </c>
      <c r="AU35">
        <f t="shared" si="93"/>
        <v>0</v>
      </c>
      <c r="AV35">
        <f t="shared" si="94"/>
        <v>0</v>
      </c>
      <c r="AW35">
        <f t="shared" si="95"/>
        <v>0</v>
      </c>
      <c r="AX35">
        <f t="shared" si="96"/>
        <v>0</v>
      </c>
      <c r="AY35">
        <f>IF(M35&gt;N35+(SUM(O35:AX35)),N35,M35-(SUM($O35:AX35)))</f>
        <v>0</v>
      </c>
      <c r="AZ35">
        <f t="shared" si="97"/>
        <v>0</v>
      </c>
      <c r="BA35">
        <f t="shared" si="98"/>
        <v>0</v>
      </c>
      <c r="BB35">
        <f t="shared" si="99"/>
        <v>0</v>
      </c>
      <c r="BC35">
        <f t="shared" si="100"/>
        <v>0</v>
      </c>
      <c r="BD35">
        <f t="shared" si="101"/>
        <v>0</v>
      </c>
      <c r="BE35">
        <f t="shared" si="102"/>
        <v>0</v>
      </c>
      <c r="BF35">
        <f t="shared" si="103"/>
        <v>0</v>
      </c>
      <c r="BG35">
        <f t="shared" si="104"/>
        <v>0</v>
      </c>
      <c r="BH35">
        <f t="shared" si="105"/>
        <v>0</v>
      </c>
      <c r="BI35">
        <f t="shared" si="106"/>
        <v>0</v>
      </c>
      <c r="BJ35">
        <f t="shared" si="107"/>
        <v>0</v>
      </c>
      <c r="BK35">
        <f t="shared" si="108"/>
        <v>0</v>
      </c>
      <c r="BL35">
        <f t="shared" si="109"/>
        <v>0</v>
      </c>
      <c r="BM35">
        <f t="shared" si="110"/>
        <v>0</v>
      </c>
      <c r="BN35">
        <f t="shared" si="111"/>
        <v>0</v>
      </c>
      <c r="BO35">
        <f t="shared" si="112"/>
        <v>0</v>
      </c>
      <c r="BP35">
        <f t="shared" si="113"/>
        <v>0</v>
      </c>
      <c r="BQ35">
        <f t="shared" si="114"/>
        <v>0</v>
      </c>
      <c r="BR35">
        <f t="shared" si="115"/>
        <v>0</v>
      </c>
      <c r="BS35">
        <f t="shared" si="116"/>
        <v>0</v>
      </c>
      <c r="BT35">
        <f t="shared" si="117"/>
        <v>0</v>
      </c>
      <c r="BU35">
        <f t="shared" si="118"/>
        <v>0</v>
      </c>
      <c r="BV35">
        <f t="shared" si="119"/>
        <v>0</v>
      </c>
      <c r="BY35"/>
    </row>
    <row r="36" spans="1:77" x14ac:dyDescent="0.25">
      <c r="A36" s="81">
        <v>33</v>
      </c>
      <c r="B36">
        <f>IF(A36&gt;0,FABRICAR!F34,NA())</f>
        <v>38998</v>
      </c>
      <c r="C36" t="str">
        <f>IF(A36&gt;0,FABRICAR!G34,NA())</f>
        <v>Eslabón Angular Estampado perf.18</v>
      </c>
      <c r="D36" s="1" t="str">
        <f t="shared" si="151"/>
        <v>389980</v>
      </c>
      <c r="E36">
        <f>IF(A36&gt;0,FABRICAR!P47,"")</f>
        <v>0</v>
      </c>
      <c r="F36" t="str">
        <f t="shared" si="152"/>
        <v/>
      </c>
      <c r="H36" t="str">
        <f>IF(A36&gt;0,FABRICAR!H34,NA())</f>
        <v>PRENSA FR - 04</v>
      </c>
      <c r="I36">
        <f>IF(A36&gt;0,FABRICAR!B34,NA())</f>
        <v>0</v>
      </c>
      <c r="J36" s="75">
        <f t="shared" si="4"/>
        <v>3050</v>
      </c>
      <c r="K36" t="str">
        <f>IF(A36&gt;0,FABRICAR!J34,NA())</f>
        <v>DOBLAR</v>
      </c>
      <c r="L36" s="9">
        <f t="shared" si="153"/>
        <v>0.45300000000000001</v>
      </c>
      <c r="M36">
        <f>IF(A36&gt;0,FABRICAR!N34,NA())</f>
        <v>3050</v>
      </c>
      <c r="N36">
        <f>IF(B36=0,B36,IF(A36&gt;0,FABRICAR!M34,"")*9)</f>
        <v>3447</v>
      </c>
      <c r="O36" s="3">
        <f t="shared" si="5"/>
        <v>3050</v>
      </c>
      <c r="P36">
        <f t="shared" si="6"/>
        <v>0</v>
      </c>
      <c r="Q36">
        <f t="shared" si="63"/>
        <v>0</v>
      </c>
      <c r="R36">
        <f t="shared" si="64"/>
        <v>0</v>
      </c>
      <c r="S36">
        <f t="shared" si="65"/>
        <v>0</v>
      </c>
      <c r="T36">
        <f t="shared" si="66"/>
        <v>0</v>
      </c>
      <c r="U36">
        <f t="shared" si="67"/>
        <v>0</v>
      </c>
      <c r="V36">
        <f t="shared" si="68"/>
        <v>0</v>
      </c>
      <c r="W36">
        <f t="shared" si="69"/>
        <v>0</v>
      </c>
      <c r="X36">
        <f t="shared" si="70"/>
        <v>0</v>
      </c>
      <c r="Y36">
        <f t="shared" si="71"/>
        <v>0</v>
      </c>
      <c r="Z36">
        <f t="shared" si="72"/>
        <v>0</v>
      </c>
      <c r="AA36">
        <f t="shared" si="73"/>
        <v>0</v>
      </c>
      <c r="AB36">
        <f t="shared" si="74"/>
        <v>0</v>
      </c>
      <c r="AC36">
        <f t="shared" si="75"/>
        <v>0</v>
      </c>
      <c r="AD36">
        <f t="shared" si="76"/>
        <v>0</v>
      </c>
      <c r="AE36">
        <f t="shared" si="77"/>
        <v>0</v>
      </c>
      <c r="AF36">
        <f t="shared" si="78"/>
        <v>0</v>
      </c>
      <c r="AG36">
        <f t="shared" si="79"/>
        <v>0</v>
      </c>
      <c r="AH36">
        <f t="shared" si="80"/>
        <v>0</v>
      </c>
      <c r="AI36">
        <f t="shared" si="81"/>
        <v>0</v>
      </c>
      <c r="AJ36">
        <f t="shared" si="82"/>
        <v>0</v>
      </c>
      <c r="AK36">
        <f t="shared" si="83"/>
        <v>0</v>
      </c>
      <c r="AL36">
        <f t="shared" si="84"/>
        <v>0</v>
      </c>
      <c r="AM36">
        <f t="shared" si="85"/>
        <v>0</v>
      </c>
      <c r="AN36">
        <f t="shared" si="86"/>
        <v>0</v>
      </c>
      <c r="AO36">
        <f t="shared" si="87"/>
        <v>0</v>
      </c>
      <c r="AP36">
        <f t="shared" si="88"/>
        <v>0</v>
      </c>
      <c r="AQ36">
        <f t="shared" si="89"/>
        <v>0</v>
      </c>
      <c r="AR36">
        <f t="shared" si="90"/>
        <v>0</v>
      </c>
      <c r="AS36">
        <f t="shared" si="91"/>
        <v>0</v>
      </c>
      <c r="AT36">
        <f t="shared" si="92"/>
        <v>0</v>
      </c>
      <c r="AU36">
        <f t="shared" si="93"/>
        <v>0</v>
      </c>
      <c r="AV36">
        <f t="shared" si="94"/>
        <v>0</v>
      </c>
      <c r="AW36">
        <f t="shared" si="95"/>
        <v>0</v>
      </c>
      <c r="AX36">
        <f t="shared" si="96"/>
        <v>0</v>
      </c>
      <c r="AY36">
        <f>IF(M36&gt;N36+(SUM(O36:AX36)),N36,M36-(SUM($O36:AX36)))</f>
        <v>0</v>
      </c>
      <c r="AZ36">
        <f t="shared" si="97"/>
        <v>0</v>
      </c>
      <c r="BA36">
        <f t="shared" si="98"/>
        <v>0</v>
      </c>
      <c r="BB36">
        <f t="shared" si="99"/>
        <v>0</v>
      </c>
      <c r="BC36">
        <f t="shared" si="100"/>
        <v>0</v>
      </c>
      <c r="BD36">
        <f t="shared" si="101"/>
        <v>0</v>
      </c>
      <c r="BE36">
        <f t="shared" si="102"/>
        <v>0</v>
      </c>
      <c r="BF36">
        <f t="shared" si="103"/>
        <v>0</v>
      </c>
      <c r="BG36">
        <f t="shared" si="104"/>
        <v>0</v>
      </c>
      <c r="BH36">
        <f t="shared" si="105"/>
        <v>0</v>
      </c>
      <c r="BI36">
        <f t="shared" si="106"/>
        <v>0</v>
      </c>
      <c r="BJ36">
        <f t="shared" si="107"/>
        <v>0</v>
      </c>
      <c r="BK36">
        <f t="shared" si="108"/>
        <v>0</v>
      </c>
      <c r="BL36">
        <f t="shared" si="109"/>
        <v>0</v>
      </c>
      <c r="BM36">
        <f t="shared" si="110"/>
        <v>0</v>
      </c>
      <c r="BN36">
        <f t="shared" si="111"/>
        <v>0</v>
      </c>
      <c r="BO36">
        <f t="shared" si="112"/>
        <v>0</v>
      </c>
      <c r="BP36">
        <f t="shared" si="113"/>
        <v>0</v>
      </c>
      <c r="BQ36">
        <f t="shared" si="114"/>
        <v>0</v>
      </c>
      <c r="BR36">
        <f t="shared" si="115"/>
        <v>0</v>
      </c>
      <c r="BS36">
        <f t="shared" si="116"/>
        <v>0</v>
      </c>
      <c r="BT36">
        <f t="shared" si="117"/>
        <v>0</v>
      </c>
      <c r="BU36">
        <f t="shared" si="118"/>
        <v>0</v>
      </c>
      <c r="BV36">
        <f t="shared" si="119"/>
        <v>0</v>
      </c>
      <c r="BY36"/>
    </row>
    <row r="37" spans="1:77" x14ac:dyDescent="0.25">
      <c r="A37" s="81">
        <v>34</v>
      </c>
      <c r="B37">
        <f>IF(A37&gt;0,FABRICAR!F35,NA())</f>
        <v>37877</v>
      </c>
      <c r="C37" t="str">
        <f>IF(A37&gt;0,FABRICAR!G35,NA())</f>
        <v>Perno Cuello Ret 5/8x45</v>
      </c>
      <c r="D37" s="1" t="str">
        <f t="shared" si="151"/>
        <v>378770</v>
      </c>
      <c r="E37">
        <f>IF(A37&gt;0,FABRICAR!P48,"")</f>
        <v>0</v>
      </c>
      <c r="F37" t="str">
        <f t="shared" si="152"/>
        <v/>
      </c>
      <c r="H37" t="str">
        <f>IF(A37&gt;0,FABRICAR!H35,NA())</f>
        <v>PRENSA FR - 12</v>
      </c>
      <c r="I37">
        <f>IF(A37&gt;0,FABRICAR!B35,NA())</f>
        <v>1</v>
      </c>
      <c r="J37" s="75">
        <f t="shared" si="4"/>
        <v>876</v>
      </c>
      <c r="K37" t="str">
        <f>IF(A37&gt;0,FABRICAR!J35,NA())</f>
        <v>ESTAMPAR</v>
      </c>
      <c r="L37" s="9">
        <f t="shared" si="153"/>
        <v>0.105</v>
      </c>
      <c r="M37">
        <f>IF(A37&gt;0,FABRICAR!N35,NA())</f>
        <v>12900</v>
      </c>
      <c r="N37">
        <f>IF(B37=0,B37,IF(A37&gt;0,FABRICAR!M35,"")*9)</f>
        <v>3006</v>
      </c>
      <c r="O37" s="3">
        <f t="shared" si="5"/>
        <v>3006</v>
      </c>
      <c r="P37">
        <f t="shared" si="6"/>
        <v>3006</v>
      </c>
      <c r="Q37">
        <f t="shared" si="63"/>
        <v>3006</v>
      </c>
      <c r="R37">
        <f t="shared" si="64"/>
        <v>3006</v>
      </c>
      <c r="S37">
        <f t="shared" si="65"/>
        <v>876</v>
      </c>
      <c r="T37">
        <f t="shared" si="66"/>
        <v>0</v>
      </c>
      <c r="U37">
        <f t="shared" si="67"/>
        <v>0</v>
      </c>
      <c r="V37">
        <f t="shared" si="68"/>
        <v>0</v>
      </c>
      <c r="W37">
        <f t="shared" si="69"/>
        <v>0</v>
      </c>
      <c r="X37">
        <f t="shared" si="70"/>
        <v>0</v>
      </c>
      <c r="Y37">
        <f t="shared" si="71"/>
        <v>0</v>
      </c>
      <c r="Z37">
        <f t="shared" si="72"/>
        <v>0</v>
      </c>
      <c r="AA37">
        <f t="shared" si="73"/>
        <v>0</v>
      </c>
      <c r="AB37">
        <f t="shared" si="74"/>
        <v>0</v>
      </c>
      <c r="AC37">
        <f t="shared" si="75"/>
        <v>0</v>
      </c>
      <c r="AD37">
        <f t="shared" si="76"/>
        <v>0</v>
      </c>
      <c r="AE37">
        <f t="shared" si="77"/>
        <v>0</v>
      </c>
      <c r="AF37">
        <f t="shared" si="78"/>
        <v>0</v>
      </c>
      <c r="AG37">
        <f t="shared" si="79"/>
        <v>0</v>
      </c>
      <c r="AH37">
        <f t="shared" si="80"/>
        <v>0</v>
      </c>
      <c r="AI37">
        <f t="shared" si="81"/>
        <v>0</v>
      </c>
      <c r="AJ37">
        <f t="shared" si="82"/>
        <v>0</v>
      </c>
      <c r="AK37">
        <f t="shared" si="83"/>
        <v>0</v>
      </c>
      <c r="AL37">
        <f t="shared" si="84"/>
        <v>0</v>
      </c>
      <c r="AM37">
        <f t="shared" si="85"/>
        <v>0</v>
      </c>
      <c r="AN37">
        <f t="shared" si="86"/>
        <v>0</v>
      </c>
      <c r="AO37">
        <f t="shared" si="87"/>
        <v>0</v>
      </c>
      <c r="AP37">
        <f t="shared" si="88"/>
        <v>0</v>
      </c>
      <c r="AQ37">
        <f t="shared" si="89"/>
        <v>0</v>
      </c>
      <c r="AR37">
        <f t="shared" si="90"/>
        <v>0</v>
      </c>
      <c r="AS37">
        <f t="shared" si="91"/>
        <v>0</v>
      </c>
      <c r="AT37">
        <f t="shared" si="92"/>
        <v>0</v>
      </c>
      <c r="AU37">
        <f t="shared" si="93"/>
        <v>0</v>
      </c>
      <c r="AV37">
        <f t="shared" si="94"/>
        <v>0</v>
      </c>
      <c r="AW37">
        <f t="shared" si="95"/>
        <v>0</v>
      </c>
      <c r="AX37">
        <f t="shared" si="96"/>
        <v>0</v>
      </c>
      <c r="AY37">
        <f>IF(M37&gt;N37+(SUM(O37:AX37)),N37,M37-(SUM($O37:AX37)))</f>
        <v>0</v>
      </c>
      <c r="AZ37">
        <f t="shared" si="97"/>
        <v>0</v>
      </c>
      <c r="BA37">
        <f t="shared" si="98"/>
        <v>0</v>
      </c>
      <c r="BB37">
        <f t="shared" si="99"/>
        <v>0</v>
      </c>
      <c r="BC37">
        <f t="shared" si="100"/>
        <v>0</v>
      </c>
      <c r="BD37">
        <f t="shared" si="101"/>
        <v>0</v>
      </c>
      <c r="BE37">
        <f t="shared" si="102"/>
        <v>0</v>
      </c>
      <c r="BF37">
        <f t="shared" si="103"/>
        <v>0</v>
      </c>
      <c r="BG37">
        <f t="shared" si="104"/>
        <v>0</v>
      </c>
      <c r="BH37">
        <f t="shared" si="105"/>
        <v>0</v>
      </c>
      <c r="BI37">
        <f t="shared" si="106"/>
        <v>0</v>
      </c>
      <c r="BJ37">
        <f t="shared" si="107"/>
        <v>0</v>
      </c>
      <c r="BK37">
        <f t="shared" si="108"/>
        <v>0</v>
      </c>
      <c r="BL37">
        <f t="shared" si="109"/>
        <v>0</v>
      </c>
      <c r="BM37">
        <f t="shared" si="110"/>
        <v>0</v>
      </c>
      <c r="BN37">
        <f t="shared" si="111"/>
        <v>0</v>
      </c>
      <c r="BO37">
        <f t="shared" si="112"/>
        <v>0</v>
      </c>
      <c r="BP37">
        <f t="shared" si="113"/>
        <v>0</v>
      </c>
      <c r="BQ37">
        <f t="shared" si="114"/>
        <v>0</v>
      </c>
      <c r="BR37">
        <f t="shared" si="115"/>
        <v>0</v>
      </c>
      <c r="BS37">
        <f t="shared" si="116"/>
        <v>0</v>
      </c>
      <c r="BT37">
        <f t="shared" si="117"/>
        <v>0</v>
      </c>
      <c r="BU37">
        <f t="shared" si="118"/>
        <v>0</v>
      </c>
      <c r="BV37">
        <f t="shared" si="119"/>
        <v>0</v>
      </c>
      <c r="BY37"/>
    </row>
    <row r="38" spans="1:77" x14ac:dyDescent="0.25">
      <c r="A38" s="81">
        <v>35</v>
      </c>
      <c r="B38">
        <f>IF(A38&gt;0,FABRICAR!F36,NA())</f>
        <v>37877</v>
      </c>
      <c r="C38" t="str">
        <f>IF(A38&gt;0,FABRICAR!G36,NA())</f>
        <v>Perno Cuello Ret 5/8x45</v>
      </c>
      <c r="D38" s="1" t="str">
        <f t="shared" si="151"/>
        <v>378770</v>
      </c>
      <c r="E38">
        <f>IF(A38&gt;0,FABRICAR!P49,"")</f>
        <v>0</v>
      </c>
      <c r="F38" t="str">
        <f t="shared" si="152"/>
        <v/>
      </c>
      <c r="H38" t="str">
        <f>IF(A38&gt;0,FABRICAR!H36,NA())</f>
        <v>FAMAE - 02</v>
      </c>
      <c r="I38">
        <f>IF(A38&gt;0,FABRICAR!B36,NA())</f>
        <v>0</v>
      </c>
      <c r="J38" s="75">
        <f t="shared" si="4"/>
        <v>3900</v>
      </c>
      <c r="K38" t="str">
        <f>IF(A38&gt;0,FABRICAR!J36,NA())</f>
        <v>REBABAR</v>
      </c>
      <c r="L38" s="9">
        <f t="shared" si="153"/>
        <v>0.105</v>
      </c>
      <c r="M38">
        <f>IF(A38&gt;0,FABRICAR!N36,NA())</f>
        <v>12900</v>
      </c>
      <c r="N38">
        <f>IF(B38=0,B38,IF(A38&gt;0,FABRICAR!M36,"")*9)</f>
        <v>4500</v>
      </c>
      <c r="O38" s="3">
        <f t="shared" si="5"/>
        <v>4500</v>
      </c>
      <c r="P38">
        <f t="shared" si="6"/>
        <v>4500</v>
      </c>
      <c r="Q38">
        <f t="shared" si="63"/>
        <v>3900</v>
      </c>
      <c r="R38">
        <f t="shared" si="64"/>
        <v>0</v>
      </c>
      <c r="S38">
        <f t="shared" si="65"/>
        <v>0</v>
      </c>
      <c r="T38">
        <f t="shared" si="66"/>
        <v>0</v>
      </c>
      <c r="U38">
        <f t="shared" si="67"/>
        <v>0</v>
      </c>
      <c r="V38">
        <f t="shared" si="68"/>
        <v>0</v>
      </c>
      <c r="W38">
        <f t="shared" si="69"/>
        <v>0</v>
      </c>
      <c r="X38">
        <f t="shared" si="70"/>
        <v>0</v>
      </c>
      <c r="Y38">
        <f t="shared" si="71"/>
        <v>0</v>
      </c>
      <c r="Z38">
        <f t="shared" si="72"/>
        <v>0</v>
      </c>
      <c r="AA38">
        <f t="shared" si="73"/>
        <v>0</v>
      </c>
      <c r="AB38">
        <f t="shared" si="74"/>
        <v>0</v>
      </c>
      <c r="AC38">
        <f t="shared" si="75"/>
        <v>0</v>
      </c>
      <c r="AD38">
        <f t="shared" si="76"/>
        <v>0</v>
      </c>
      <c r="AE38">
        <f t="shared" si="77"/>
        <v>0</v>
      </c>
      <c r="AF38">
        <f t="shared" si="78"/>
        <v>0</v>
      </c>
      <c r="AG38">
        <f t="shared" si="79"/>
        <v>0</v>
      </c>
      <c r="AH38">
        <f t="shared" si="80"/>
        <v>0</v>
      </c>
      <c r="AI38">
        <f t="shared" si="81"/>
        <v>0</v>
      </c>
      <c r="AJ38">
        <f t="shared" si="82"/>
        <v>0</v>
      </c>
      <c r="AK38">
        <f t="shared" si="83"/>
        <v>0</v>
      </c>
      <c r="AL38">
        <f t="shared" si="84"/>
        <v>0</v>
      </c>
      <c r="AM38">
        <f t="shared" si="85"/>
        <v>0</v>
      </c>
      <c r="AN38">
        <f t="shared" si="86"/>
        <v>0</v>
      </c>
      <c r="AO38">
        <f t="shared" si="87"/>
        <v>0</v>
      </c>
      <c r="AP38">
        <f t="shared" si="88"/>
        <v>0</v>
      </c>
      <c r="AQ38">
        <f t="shared" si="89"/>
        <v>0</v>
      </c>
      <c r="AR38">
        <f t="shared" si="90"/>
        <v>0</v>
      </c>
      <c r="AS38">
        <f t="shared" si="91"/>
        <v>0</v>
      </c>
      <c r="AT38">
        <f t="shared" si="92"/>
        <v>0</v>
      </c>
      <c r="AU38">
        <f t="shared" si="93"/>
        <v>0</v>
      </c>
      <c r="AV38">
        <f t="shared" si="94"/>
        <v>0</v>
      </c>
      <c r="AW38">
        <f t="shared" si="95"/>
        <v>0</v>
      </c>
      <c r="AX38">
        <f t="shared" si="96"/>
        <v>0</v>
      </c>
      <c r="AY38">
        <f>IF(M38&gt;N38+(SUM(O38:AX38)),N38,M38-(SUM($O38:AX38)))</f>
        <v>0</v>
      </c>
      <c r="AZ38">
        <f t="shared" si="97"/>
        <v>0</v>
      </c>
      <c r="BA38">
        <f t="shared" si="98"/>
        <v>0</v>
      </c>
      <c r="BB38">
        <f t="shared" si="99"/>
        <v>0</v>
      </c>
      <c r="BC38">
        <f t="shared" si="100"/>
        <v>0</v>
      </c>
      <c r="BD38">
        <f t="shared" si="101"/>
        <v>0</v>
      </c>
      <c r="BE38">
        <f t="shared" si="102"/>
        <v>0</v>
      </c>
      <c r="BF38">
        <f t="shared" si="103"/>
        <v>0</v>
      </c>
      <c r="BG38">
        <f t="shared" si="104"/>
        <v>0</v>
      </c>
      <c r="BH38">
        <f t="shared" si="105"/>
        <v>0</v>
      </c>
      <c r="BI38">
        <f t="shared" si="106"/>
        <v>0</v>
      </c>
      <c r="BJ38">
        <f t="shared" si="107"/>
        <v>0</v>
      </c>
      <c r="BK38">
        <f t="shared" si="108"/>
        <v>0</v>
      </c>
      <c r="BL38">
        <f t="shared" si="109"/>
        <v>0</v>
      </c>
      <c r="BM38">
        <f t="shared" si="110"/>
        <v>0</v>
      </c>
      <c r="BN38">
        <f t="shared" si="111"/>
        <v>0</v>
      </c>
      <c r="BO38">
        <f t="shared" si="112"/>
        <v>0</v>
      </c>
      <c r="BP38">
        <f t="shared" si="113"/>
        <v>0</v>
      </c>
      <c r="BQ38">
        <f t="shared" si="114"/>
        <v>0</v>
      </c>
      <c r="BR38">
        <f t="shared" si="115"/>
        <v>0</v>
      </c>
      <c r="BS38">
        <f t="shared" si="116"/>
        <v>0</v>
      </c>
      <c r="BT38">
        <f t="shared" si="117"/>
        <v>0</v>
      </c>
      <c r="BU38">
        <f t="shared" si="118"/>
        <v>0</v>
      </c>
      <c r="BV38">
        <f t="shared" si="119"/>
        <v>0</v>
      </c>
      <c r="BY38"/>
    </row>
    <row r="39" spans="1:77" x14ac:dyDescent="0.25">
      <c r="A39" s="81">
        <v>36</v>
      </c>
      <c r="B39">
        <f>IF(A39&gt;0,FABRICAR!F37,NA())</f>
        <v>37877</v>
      </c>
      <c r="C39" t="str">
        <f>IF(A39&gt;0,FABRICAR!G37,NA())</f>
        <v>Perno Cuello Ret 5/8x45</v>
      </c>
      <c r="D39" s="1" t="str">
        <f t="shared" si="151"/>
        <v>378770</v>
      </c>
      <c r="E39">
        <f>IF(A39&gt;0,FABRICAR!P50,"")</f>
        <v>0</v>
      </c>
      <c r="F39" t="str">
        <f t="shared" si="152"/>
        <v/>
      </c>
      <c r="H39" t="str">
        <f>IF(A39&gt;0,FABRICAR!H37,NA())</f>
        <v>LAMIN ZURZOLO</v>
      </c>
      <c r="I39">
        <f>IF(A39&gt;0,FABRICAR!B37,NA())</f>
        <v>0</v>
      </c>
      <c r="J39" s="75">
        <f t="shared" si="4"/>
        <v>750</v>
      </c>
      <c r="K39" t="str">
        <f>IF(A39&gt;0,FABRICAR!J37,NA())</f>
        <v>LAMINAR</v>
      </c>
      <c r="L39" s="9">
        <f t="shared" si="153"/>
        <v>0.105</v>
      </c>
      <c r="M39">
        <f>IF(A39&gt;0,FABRICAR!N37,NA())</f>
        <v>12900</v>
      </c>
      <c r="N39">
        <f>IF(B39=0,B39,IF(A39&gt;0,FABRICAR!M37,"")*9)</f>
        <v>4050</v>
      </c>
      <c r="O39" s="3">
        <f t="shared" si="5"/>
        <v>4050</v>
      </c>
      <c r="P39">
        <f t="shared" si="6"/>
        <v>4050</v>
      </c>
      <c r="Q39">
        <f t="shared" si="63"/>
        <v>4050</v>
      </c>
      <c r="R39">
        <f t="shared" si="64"/>
        <v>750</v>
      </c>
      <c r="S39">
        <f t="shared" si="65"/>
        <v>0</v>
      </c>
      <c r="T39">
        <f t="shared" si="66"/>
        <v>0</v>
      </c>
      <c r="U39">
        <f t="shared" si="67"/>
        <v>0</v>
      </c>
      <c r="V39">
        <f t="shared" si="68"/>
        <v>0</v>
      </c>
      <c r="W39">
        <f t="shared" si="69"/>
        <v>0</v>
      </c>
      <c r="X39">
        <f t="shared" si="70"/>
        <v>0</v>
      </c>
      <c r="Y39">
        <f t="shared" si="71"/>
        <v>0</v>
      </c>
      <c r="Z39">
        <f t="shared" si="72"/>
        <v>0</v>
      </c>
      <c r="AA39">
        <f t="shared" si="73"/>
        <v>0</v>
      </c>
      <c r="AB39">
        <f t="shared" si="74"/>
        <v>0</v>
      </c>
      <c r="AC39">
        <f t="shared" si="75"/>
        <v>0</v>
      </c>
      <c r="AD39">
        <f t="shared" si="76"/>
        <v>0</v>
      </c>
      <c r="AE39">
        <f t="shared" si="77"/>
        <v>0</v>
      </c>
      <c r="AF39">
        <f t="shared" si="78"/>
        <v>0</v>
      </c>
      <c r="AG39">
        <f t="shared" si="79"/>
        <v>0</v>
      </c>
      <c r="AH39">
        <f t="shared" si="80"/>
        <v>0</v>
      </c>
      <c r="AI39">
        <f t="shared" si="81"/>
        <v>0</v>
      </c>
      <c r="AJ39">
        <f t="shared" si="82"/>
        <v>0</v>
      </c>
      <c r="AK39">
        <f t="shared" si="83"/>
        <v>0</v>
      </c>
      <c r="AL39">
        <f t="shared" si="84"/>
        <v>0</v>
      </c>
      <c r="AM39">
        <f t="shared" si="85"/>
        <v>0</v>
      </c>
      <c r="AN39">
        <f t="shared" si="86"/>
        <v>0</v>
      </c>
      <c r="AO39">
        <f t="shared" si="87"/>
        <v>0</v>
      </c>
      <c r="AP39">
        <f t="shared" si="88"/>
        <v>0</v>
      </c>
      <c r="AQ39">
        <f t="shared" si="89"/>
        <v>0</v>
      </c>
      <c r="AR39">
        <f t="shared" si="90"/>
        <v>0</v>
      </c>
      <c r="AS39">
        <f t="shared" si="91"/>
        <v>0</v>
      </c>
      <c r="AT39">
        <f t="shared" si="92"/>
        <v>0</v>
      </c>
      <c r="AU39">
        <f t="shared" si="93"/>
        <v>0</v>
      </c>
      <c r="AV39">
        <f t="shared" si="94"/>
        <v>0</v>
      </c>
      <c r="AW39">
        <f t="shared" si="95"/>
        <v>0</v>
      </c>
      <c r="AX39">
        <f t="shared" si="96"/>
        <v>0</v>
      </c>
      <c r="AY39">
        <f>IF(M39&gt;N39+(SUM(O39:AX39)),N39,M39-(SUM($O39:AX39)))</f>
        <v>0</v>
      </c>
      <c r="AZ39">
        <f t="shared" si="97"/>
        <v>0</v>
      </c>
      <c r="BA39">
        <f t="shared" si="98"/>
        <v>0</v>
      </c>
      <c r="BB39">
        <f t="shared" si="99"/>
        <v>0</v>
      </c>
      <c r="BC39">
        <f t="shared" si="100"/>
        <v>0</v>
      </c>
      <c r="BD39">
        <f t="shared" si="101"/>
        <v>0</v>
      </c>
      <c r="BE39">
        <f t="shared" si="102"/>
        <v>0</v>
      </c>
      <c r="BF39">
        <f t="shared" si="103"/>
        <v>0</v>
      </c>
      <c r="BG39">
        <f t="shared" si="104"/>
        <v>0</v>
      </c>
      <c r="BH39">
        <f t="shared" si="105"/>
        <v>0</v>
      </c>
      <c r="BI39">
        <f t="shared" si="106"/>
        <v>0</v>
      </c>
      <c r="BJ39">
        <f t="shared" si="107"/>
        <v>0</v>
      </c>
      <c r="BK39">
        <f t="shared" si="108"/>
        <v>0</v>
      </c>
      <c r="BL39">
        <f t="shared" si="109"/>
        <v>0</v>
      </c>
      <c r="BM39">
        <f t="shared" si="110"/>
        <v>0</v>
      </c>
      <c r="BN39">
        <f t="shared" si="111"/>
        <v>0</v>
      </c>
      <c r="BO39">
        <f t="shared" si="112"/>
        <v>0</v>
      </c>
      <c r="BP39">
        <f t="shared" si="113"/>
        <v>0</v>
      </c>
      <c r="BQ39">
        <f t="shared" si="114"/>
        <v>0</v>
      </c>
      <c r="BR39">
        <f t="shared" si="115"/>
        <v>0</v>
      </c>
      <c r="BS39">
        <f t="shared" si="116"/>
        <v>0</v>
      </c>
      <c r="BT39">
        <f t="shared" si="117"/>
        <v>0</v>
      </c>
      <c r="BU39">
        <f t="shared" si="118"/>
        <v>0</v>
      </c>
      <c r="BV39">
        <f t="shared" si="119"/>
        <v>0</v>
      </c>
      <c r="BY39"/>
    </row>
    <row r="40" spans="1:77" x14ac:dyDescent="0.25">
      <c r="A40" s="81">
        <v>37</v>
      </c>
      <c r="B40">
        <f>IF(A40&gt;0,FABRICAR!F38,NA())</f>
        <v>37877</v>
      </c>
      <c r="C40" t="str">
        <f>IF(A40&gt;0,FABRICAR!G38,NA())</f>
        <v>Perno Cuello Ret 5/8x45</v>
      </c>
      <c r="D40" s="1" t="str">
        <f t="shared" si="151"/>
        <v>378770</v>
      </c>
      <c r="E40">
        <f>IF(A40&gt;0,FABRICAR!P51,"")</f>
        <v>0</v>
      </c>
      <c r="F40" t="str">
        <f t="shared" si="152"/>
        <v/>
      </c>
      <c r="H40" t="str">
        <f>IF(A40&gt;0,FABRICAR!H38,NA())</f>
        <v>TERR PER - 04</v>
      </c>
      <c r="I40">
        <f>IF(A40&gt;0,FABRICAR!B38,NA())</f>
        <v>0</v>
      </c>
      <c r="J40" s="75">
        <f t="shared" si="4"/>
        <v>858</v>
      </c>
      <c r="K40" t="str">
        <f>IF(A40&gt;0,FABRICAR!J38,NA())</f>
        <v>REPASAR</v>
      </c>
      <c r="L40" s="9">
        <f t="shared" si="153"/>
        <v>0.105</v>
      </c>
      <c r="M40">
        <f>IF(A40&gt;0,FABRICAR!N38,NA())</f>
        <v>12900</v>
      </c>
      <c r="N40">
        <f>IF(B40=0,B40,IF(A40&gt;0,FABRICAR!M38,"")*9)</f>
        <v>2007</v>
      </c>
      <c r="O40" s="3">
        <f t="shared" si="5"/>
        <v>2007</v>
      </c>
      <c r="P40">
        <f t="shared" si="6"/>
        <v>2007</v>
      </c>
      <c r="Q40">
        <f t="shared" si="63"/>
        <v>2007</v>
      </c>
      <c r="R40">
        <f t="shared" si="64"/>
        <v>2007</v>
      </c>
      <c r="S40">
        <f t="shared" si="65"/>
        <v>2007</v>
      </c>
      <c r="T40">
        <f t="shared" si="66"/>
        <v>2007</v>
      </c>
      <c r="U40">
        <f t="shared" si="67"/>
        <v>858</v>
      </c>
      <c r="V40">
        <f t="shared" si="68"/>
        <v>0</v>
      </c>
      <c r="W40">
        <f t="shared" si="69"/>
        <v>0</v>
      </c>
      <c r="X40">
        <f t="shared" si="70"/>
        <v>0</v>
      </c>
      <c r="Y40">
        <f t="shared" si="71"/>
        <v>0</v>
      </c>
      <c r="Z40">
        <f t="shared" si="72"/>
        <v>0</v>
      </c>
      <c r="AA40">
        <f t="shared" si="73"/>
        <v>0</v>
      </c>
      <c r="AB40">
        <f t="shared" si="74"/>
        <v>0</v>
      </c>
      <c r="AC40">
        <f t="shared" si="75"/>
        <v>0</v>
      </c>
      <c r="AD40">
        <f t="shared" si="76"/>
        <v>0</v>
      </c>
      <c r="AE40">
        <f t="shared" si="77"/>
        <v>0</v>
      </c>
      <c r="AF40">
        <f t="shared" si="78"/>
        <v>0</v>
      </c>
      <c r="AG40">
        <f t="shared" si="79"/>
        <v>0</v>
      </c>
      <c r="AH40">
        <f t="shared" si="80"/>
        <v>0</v>
      </c>
      <c r="AI40">
        <f t="shared" si="81"/>
        <v>0</v>
      </c>
      <c r="AJ40">
        <f t="shared" si="82"/>
        <v>0</v>
      </c>
      <c r="AK40">
        <f t="shared" si="83"/>
        <v>0</v>
      </c>
      <c r="AL40">
        <f t="shared" si="84"/>
        <v>0</v>
      </c>
      <c r="AM40">
        <f t="shared" si="85"/>
        <v>0</v>
      </c>
      <c r="AN40">
        <f t="shared" si="86"/>
        <v>0</v>
      </c>
      <c r="AO40">
        <f t="shared" si="87"/>
        <v>0</v>
      </c>
      <c r="AP40">
        <f t="shared" si="88"/>
        <v>0</v>
      </c>
      <c r="AQ40">
        <f t="shared" si="89"/>
        <v>0</v>
      </c>
      <c r="AR40">
        <f t="shared" si="90"/>
        <v>0</v>
      </c>
      <c r="AS40">
        <f t="shared" si="91"/>
        <v>0</v>
      </c>
      <c r="AT40">
        <f t="shared" si="92"/>
        <v>0</v>
      </c>
      <c r="AU40">
        <f t="shared" si="93"/>
        <v>0</v>
      </c>
      <c r="AV40">
        <f t="shared" si="94"/>
        <v>0</v>
      </c>
      <c r="AW40">
        <f t="shared" si="95"/>
        <v>0</v>
      </c>
      <c r="AX40">
        <f t="shared" si="96"/>
        <v>0</v>
      </c>
      <c r="AY40">
        <f>IF(M40&gt;N40+(SUM(O40:AX40)),N40,M40-(SUM($O40:AX40)))</f>
        <v>0</v>
      </c>
      <c r="AZ40">
        <f t="shared" si="97"/>
        <v>0</v>
      </c>
      <c r="BA40">
        <f t="shared" si="98"/>
        <v>0</v>
      </c>
      <c r="BB40">
        <f t="shared" si="99"/>
        <v>0</v>
      </c>
      <c r="BC40">
        <f t="shared" si="100"/>
        <v>0</v>
      </c>
      <c r="BD40">
        <f t="shared" si="101"/>
        <v>0</v>
      </c>
      <c r="BE40">
        <f t="shared" si="102"/>
        <v>0</v>
      </c>
      <c r="BF40">
        <f t="shared" si="103"/>
        <v>0</v>
      </c>
      <c r="BG40">
        <f t="shared" si="104"/>
        <v>0</v>
      </c>
      <c r="BH40">
        <f t="shared" si="105"/>
        <v>0</v>
      </c>
      <c r="BI40">
        <f t="shared" si="106"/>
        <v>0</v>
      </c>
      <c r="BJ40">
        <f t="shared" si="107"/>
        <v>0</v>
      </c>
      <c r="BK40">
        <f t="shared" si="108"/>
        <v>0</v>
      </c>
      <c r="BL40">
        <f t="shared" si="109"/>
        <v>0</v>
      </c>
      <c r="BM40">
        <f t="shared" si="110"/>
        <v>0</v>
      </c>
      <c r="BN40">
        <f t="shared" si="111"/>
        <v>0</v>
      </c>
      <c r="BO40">
        <f t="shared" si="112"/>
        <v>0</v>
      </c>
      <c r="BP40">
        <f t="shared" si="113"/>
        <v>0</v>
      </c>
      <c r="BQ40">
        <f t="shared" si="114"/>
        <v>0</v>
      </c>
      <c r="BR40">
        <f t="shared" si="115"/>
        <v>0</v>
      </c>
      <c r="BS40">
        <f t="shared" si="116"/>
        <v>0</v>
      </c>
      <c r="BT40">
        <f t="shared" si="117"/>
        <v>0</v>
      </c>
      <c r="BU40">
        <f t="shared" si="118"/>
        <v>0</v>
      </c>
      <c r="BV40">
        <f t="shared" si="119"/>
        <v>0</v>
      </c>
      <c r="BY40"/>
    </row>
    <row r="41" spans="1:77" x14ac:dyDescent="0.25">
      <c r="A41" s="81">
        <v>38</v>
      </c>
      <c r="B41">
        <f>IF(A41&gt;0,FABRICAR!F39,NA())</f>
        <v>0</v>
      </c>
      <c r="C41">
        <f>IF(A41&gt;0,FABRICAR!G39,NA())</f>
        <v>0</v>
      </c>
      <c r="D41" s="1" t="str">
        <f t="shared" si="151"/>
        <v>00</v>
      </c>
      <c r="E41">
        <f>IF(A41&gt;0,FABRICAR!P52,"")</f>
        <v>0</v>
      </c>
      <c r="F41" t="str">
        <f t="shared" si="152"/>
        <v/>
      </c>
      <c r="H41" t="e">
        <f>IF(A41&gt;0,FABRICAR!H39,NA())</f>
        <v>#N/A</v>
      </c>
      <c r="I41">
        <f>IF(A41&gt;0,FABRICAR!B39,NA())</f>
        <v>0</v>
      </c>
      <c r="J41" s="75">
        <f t="shared" si="4"/>
        <v>0</v>
      </c>
      <c r="K41">
        <f>IF(A41&gt;0,FABRICAR!J39,NA())</f>
        <v>0</v>
      </c>
      <c r="L41" s="9">
        <f t="shared" si="153"/>
        <v>0</v>
      </c>
      <c r="M41">
        <f>IF(A41&gt;0,FABRICAR!N39,NA())</f>
        <v>0</v>
      </c>
      <c r="N41">
        <f>IF(B41=0,B41,IF(A41&gt;0,FABRICAR!M39,"")*9)</f>
        <v>0</v>
      </c>
      <c r="O41" s="3">
        <f t="shared" si="5"/>
        <v>0</v>
      </c>
      <c r="P41">
        <f t="shared" si="6"/>
        <v>0</v>
      </c>
      <c r="Q41">
        <f t="shared" si="63"/>
        <v>0</v>
      </c>
      <c r="R41">
        <f t="shared" si="64"/>
        <v>0</v>
      </c>
      <c r="S41">
        <f t="shared" si="65"/>
        <v>0</v>
      </c>
      <c r="T41">
        <f t="shared" si="66"/>
        <v>0</v>
      </c>
      <c r="U41">
        <f t="shared" si="67"/>
        <v>0</v>
      </c>
      <c r="V41">
        <f t="shared" si="68"/>
        <v>0</v>
      </c>
      <c r="W41">
        <f t="shared" si="69"/>
        <v>0</v>
      </c>
      <c r="X41">
        <f t="shared" si="70"/>
        <v>0</v>
      </c>
      <c r="Y41">
        <f t="shared" si="71"/>
        <v>0</v>
      </c>
      <c r="Z41">
        <f t="shared" si="72"/>
        <v>0</v>
      </c>
      <c r="AA41">
        <f t="shared" si="73"/>
        <v>0</v>
      </c>
      <c r="AB41">
        <f t="shared" si="74"/>
        <v>0</v>
      </c>
      <c r="AC41">
        <f t="shared" si="75"/>
        <v>0</v>
      </c>
      <c r="AD41">
        <f t="shared" si="76"/>
        <v>0</v>
      </c>
      <c r="AE41">
        <f t="shared" si="77"/>
        <v>0</v>
      </c>
      <c r="AF41">
        <f t="shared" si="78"/>
        <v>0</v>
      </c>
      <c r="AG41">
        <f t="shared" si="79"/>
        <v>0</v>
      </c>
      <c r="AH41">
        <f t="shared" si="80"/>
        <v>0</v>
      </c>
      <c r="AI41">
        <f t="shared" si="81"/>
        <v>0</v>
      </c>
      <c r="AJ41">
        <f t="shared" si="82"/>
        <v>0</v>
      </c>
      <c r="AK41">
        <f t="shared" si="83"/>
        <v>0</v>
      </c>
      <c r="AL41">
        <f t="shared" si="84"/>
        <v>0</v>
      </c>
      <c r="AM41">
        <f t="shared" si="85"/>
        <v>0</v>
      </c>
      <c r="AN41">
        <f t="shared" si="86"/>
        <v>0</v>
      </c>
      <c r="AO41">
        <f t="shared" si="87"/>
        <v>0</v>
      </c>
      <c r="AP41">
        <f t="shared" si="88"/>
        <v>0</v>
      </c>
      <c r="AQ41">
        <f t="shared" si="89"/>
        <v>0</v>
      </c>
      <c r="AR41">
        <f t="shared" si="90"/>
        <v>0</v>
      </c>
      <c r="AS41">
        <f t="shared" si="91"/>
        <v>0</v>
      </c>
      <c r="AT41">
        <f t="shared" si="92"/>
        <v>0</v>
      </c>
      <c r="AU41">
        <f t="shared" si="93"/>
        <v>0</v>
      </c>
      <c r="AV41">
        <f t="shared" si="94"/>
        <v>0</v>
      </c>
      <c r="AW41">
        <f t="shared" si="95"/>
        <v>0</v>
      </c>
      <c r="AX41">
        <f t="shared" si="96"/>
        <v>0</v>
      </c>
      <c r="AY41">
        <f>IF(M41&gt;N41+(SUM(O41:AX41)),N41,M41-(SUM($O41:AX41)))</f>
        <v>0</v>
      </c>
      <c r="AZ41">
        <f t="shared" si="97"/>
        <v>0</v>
      </c>
      <c r="BA41">
        <f t="shared" si="98"/>
        <v>0</v>
      </c>
      <c r="BB41">
        <f t="shared" si="99"/>
        <v>0</v>
      </c>
      <c r="BC41">
        <f t="shared" si="100"/>
        <v>0</v>
      </c>
      <c r="BD41">
        <f t="shared" si="101"/>
        <v>0</v>
      </c>
      <c r="BE41">
        <f t="shared" si="102"/>
        <v>0</v>
      </c>
      <c r="BF41">
        <f t="shared" si="103"/>
        <v>0</v>
      </c>
      <c r="BG41">
        <f t="shared" si="104"/>
        <v>0</v>
      </c>
      <c r="BH41">
        <f t="shared" si="105"/>
        <v>0</v>
      </c>
      <c r="BI41">
        <f t="shared" si="106"/>
        <v>0</v>
      </c>
      <c r="BJ41">
        <f t="shared" si="107"/>
        <v>0</v>
      </c>
      <c r="BK41">
        <f t="shared" si="108"/>
        <v>0</v>
      </c>
      <c r="BL41">
        <f t="shared" si="109"/>
        <v>0</v>
      </c>
      <c r="BM41">
        <f t="shared" si="110"/>
        <v>0</v>
      </c>
      <c r="BN41">
        <f t="shared" si="111"/>
        <v>0</v>
      </c>
      <c r="BO41">
        <f t="shared" si="112"/>
        <v>0</v>
      </c>
      <c r="BP41">
        <f t="shared" si="113"/>
        <v>0</v>
      </c>
      <c r="BQ41">
        <f t="shared" si="114"/>
        <v>0</v>
      </c>
      <c r="BR41">
        <f t="shared" si="115"/>
        <v>0</v>
      </c>
      <c r="BS41">
        <f t="shared" si="116"/>
        <v>0</v>
      </c>
      <c r="BT41">
        <f t="shared" si="117"/>
        <v>0</v>
      </c>
      <c r="BU41">
        <f t="shared" si="118"/>
        <v>0</v>
      </c>
      <c r="BV41">
        <f t="shared" si="119"/>
        <v>0</v>
      </c>
      <c r="BY41"/>
    </row>
    <row r="42" spans="1:77" x14ac:dyDescent="0.25">
      <c r="A42" s="81">
        <v>39</v>
      </c>
      <c r="B42">
        <f>IF(A42&gt;0,FABRICAR!F40,NA())</f>
        <v>0</v>
      </c>
      <c r="C42">
        <f>IF(A42&gt;0,FABRICAR!G40,NA())</f>
        <v>0</v>
      </c>
      <c r="D42" s="1" t="str">
        <f t="shared" si="151"/>
        <v>00</v>
      </c>
      <c r="E42">
        <f>IF(A42&gt;0,FABRICAR!P53,"")</f>
        <v>0</v>
      </c>
      <c r="F42" t="str">
        <f t="shared" si="152"/>
        <v/>
      </c>
      <c r="H42" t="e">
        <f>IF(A42&gt;0,FABRICAR!H40,NA())</f>
        <v>#N/A</v>
      </c>
      <c r="I42">
        <f>IF(A42&gt;0,FABRICAR!B40,NA())</f>
        <v>0</v>
      </c>
      <c r="J42" s="75">
        <f t="shared" si="4"/>
        <v>0</v>
      </c>
      <c r="K42">
        <f>IF(A42&gt;0,FABRICAR!J40,NA())</f>
        <v>0</v>
      </c>
      <c r="L42" s="9">
        <f t="shared" si="153"/>
        <v>0</v>
      </c>
      <c r="M42">
        <f>IF(A42&gt;0,FABRICAR!N40,NA())</f>
        <v>0</v>
      </c>
      <c r="N42">
        <f>IF(B42=0,B42,IF(A42&gt;0,FABRICAR!M40,"")*9)</f>
        <v>0</v>
      </c>
      <c r="O42" s="3">
        <f t="shared" si="5"/>
        <v>0</v>
      </c>
      <c r="P42">
        <f t="shared" si="6"/>
        <v>0</v>
      </c>
      <c r="Q42">
        <f t="shared" si="63"/>
        <v>0</v>
      </c>
      <c r="R42">
        <f t="shared" si="64"/>
        <v>0</v>
      </c>
      <c r="S42">
        <f t="shared" si="65"/>
        <v>0</v>
      </c>
      <c r="T42">
        <f t="shared" si="66"/>
        <v>0</v>
      </c>
      <c r="U42">
        <f t="shared" si="67"/>
        <v>0</v>
      </c>
      <c r="V42">
        <f t="shared" si="68"/>
        <v>0</v>
      </c>
      <c r="W42">
        <f t="shared" si="69"/>
        <v>0</v>
      </c>
      <c r="X42">
        <f t="shared" si="70"/>
        <v>0</v>
      </c>
      <c r="Y42">
        <f t="shared" si="71"/>
        <v>0</v>
      </c>
      <c r="Z42">
        <f t="shared" si="72"/>
        <v>0</v>
      </c>
      <c r="AA42">
        <f t="shared" si="73"/>
        <v>0</v>
      </c>
      <c r="AB42">
        <f t="shared" si="74"/>
        <v>0</v>
      </c>
      <c r="AC42">
        <f t="shared" si="75"/>
        <v>0</v>
      </c>
      <c r="AD42">
        <f t="shared" si="76"/>
        <v>0</v>
      </c>
      <c r="AE42">
        <f t="shared" si="77"/>
        <v>0</v>
      </c>
      <c r="AF42">
        <f t="shared" si="78"/>
        <v>0</v>
      </c>
      <c r="AG42">
        <f t="shared" si="79"/>
        <v>0</v>
      </c>
      <c r="AH42">
        <f t="shared" si="80"/>
        <v>0</v>
      </c>
      <c r="AI42">
        <f t="shared" si="81"/>
        <v>0</v>
      </c>
      <c r="AJ42">
        <f t="shared" si="82"/>
        <v>0</v>
      </c>
      <c r="AK42">
        <f t="shared" si="83"/>
        <v>0</v>
      </c>
      <c r="AL42">
        <f t="shared" si="84"/>
        <v>0</v>
      </c>
      <c r="AM42">
        <f t="shared" si="85"/>
        <v>0</v>
      </c>
      <c r="AN42">
        <f t="shared" si="86"/>
        <v>0</v>
      </c>
      <c r="AO42">
        <f t="shared" si="87"/>
        <v>0</v>
      </c>
      <c r="AP42">
        <f t="shared" si="88"/>
        <v>0</v>
      </c>
      <c r="AQ42">
        <f t="shared" si="89"/>
        <v>0</v>
      </c>
      <c r="AR42">
        <f t="shared" si="90"/>
        <v>0</v>
      </c>
      <c r="AS42">
        <f t="shared" si="91"/>
        <v>0</v>
      </c>
      <c r="AT42">
        <f t="shared" si="92"/>
        <v>0</v>
      </c>
      <c r="AU42">
        <f t="shared" si="93"/>
        <v>0</v>
      </c>
      <c r="AV42">
        <f t="shared" si="94"/>
        <v>0</v>
      </c>
      <c r="AW42">
        <f t="shared" si="95"/>
        <v>0</v>
      </c>
      <c r="AX42">
        <f t="shared" si="96"/>
        <v>0</v>
      </c>
      <c r="AY42">
        <f>IF(M42&gt;N42+(SUM(O42:AX42)),N42,M42-(SUM($O42:AX42)))</f>
        <v>0</v>
      </c>
      <c r="AZ42">
        <f t="shared" si="97"/>
        <v>0</v>
      </c>
      <c r="BA42">
        <f t="shared" si="98"/>
        <v>0</v>
      </c>
      <c r="BB42">
        <f t="shared" si="99"/>
        <v>0</v>
      </c>
      <c r="BC42">
        <f t="shared" si="100"/>
        <v>0</v>
      </c>
      <c r="BD42">
        <f t="shared" si="101"/>
        <v>0</v>
      </c>
      <c r="BE42">
        <f t="shared" si="102"/>
        <v>0</v>
      </c>
      <c r="BF42">
        <f t="shared" si="103"/>
        <v>0</v>
      </c>
      <c r="BG42">
        <f t="shared" si="104"/>
        <v>0</v>
      </c>
      <c r="BH42">
        <f t="shared" si="105"/>
        <v>0</v>
      </c>
      <c r="BI42">
        <f t="shared" si="106"/>
        <v>0</v>
      </c>
      <c r="BJ42">
        <f t="shared" si="107"/>
        <v>0</v>
      </c>
      <c r="BK42">
        <f t="shared" si="108"/>
        <v>0</v>
      </c>
      <c r="BL42">
        <f t="shared" si="109"/>
        <v>0</v>
      </c>
      <c r="BM42">
        <f t="shared" si="110"/>
        <v>0</v>
      </c>
      <c r="BN42">
        <f t="shared" si="111"/>
        <v>0</v>
      </c>
      <c r="BO42">
        <f t="shared" si="112"/>
        <v>0</v>
      </c>
      <c r="BP42">
        <f t="shared" si="113"/>
        <v>0</v>
      </c>
      <c r="BQ42">
        <f t="shared" si="114"/>
        <v>0</v>
      </c>
      <c r="BR42">
        <f t="shared" si="115"/>
        <v>0</v>
      </c>
      <c r="BS42">
        <f t="shared" si="116"/>
        <v>0</v>
      </c>
      <c r="BT42">
        <f t="shared" si="117"/>
        <v>0</v>
      </c>
      <c r="BU42">
        <f t="shared" si="118"/>
        <v>0</v>
      </c>
      <c r="BV42">
        <f t="shared" si="119"/>
        <v>0</v>
      </c>
      <c r="BY42"/>
    </row>
    <row r="43" spans="1:77" x14ac:dyDescent="0.25">
      <c r="A43" s="81">
        <v>40</v>
      </c>
      <c r="B43">
        <f>IF(A43&gt;0,FABRICAR!F41,NA())</f>
        <v>0</v>
      </c>
      <c r="C43">
        <f>IF(A43&gt;0,FABRICAR!G41,NA())</f>
        <v>0</v>
      </c>
      <c r="D43" s="1" t="str">
        <f t="shared" si="151"/>
        <v>00</v>
      </c>
      <c r="E43">
        <f>IF(A43&gt;0,FABRICAR!P54,"")</f>
        <v>0</v>
      </c>
      <c r="F43" t="str">
        <f t="shared" si="152"/>
        <v/>
      </c>
      <c r="H43" t="e">
        <f>IF(A43&gt;0,FABRICAR!H41,NA())</f>
        <v>#N/A</v>
      </c>
      <c r="I43">
        <f>IF(A43&gt;0,FABRICAR!B41,NA())</f>
        <v>0</v>
      </c>
      <c r="J43" s="75">
        <f t="shared" si="4"/>
        <v>0</v>
      </c>
      <c r="K43">
        <f>IF(A43&gt;0,FABRICAR!J41,NA())</f>
        <v>0</v>
      </c>
      <c r="L43" s="9">
        <f t="shared" si="153"/>
        <v>0</v>
      </c>
      <c r="M43">
        <f>IF(A43&gt;0,FABRICAR!N41,NA())</f>
        <v>0</v>
      </c>
      <c r="N43">
        <f>IF(B43=0,B43,IF(A43&gt;0,FABRICAR!M41,"")*9)</f>
        <v>0</v>
      </c>
      <c r="O43" s="3">
        <f t="shared" si="5"/>
        <v>0</v>
      </c>
      <c r="P43">
        <f t="shared" si="6"/>
        <v>0</v>
      </c>
      <c r="Q43">
        <f t="shared" si="63"/>
        <v>0</v>
      </c>
      <c r="R43">
        <f t="shared" si="64"/>
        <v>0</v>
      </c>
      <c r="S43">
        <f t="shared" si="65"/>
        <v>0</v>
      </c>
      <c r="T43">
        <f t="shared" si="66"/>
        <v>0</v>
      </c>
      <c r="U43">
        <f t="shared" si="67"/>
        <v>0</v>
      </c>
      <c r="V43">
        <f t="shared" si="68"/>
        <v>0</v>
      </c>
      <c r="W43">
        <f t="shared" si="69"/>
        <v>0</v>
      </c>
      <c r="X43">
        <f t="shared" si="70"/>
        <v>0</v>
      </c>
      <c r="Y43">
        <f t="shared" si="71"/>
        <v>0</v>
      </c>
      <c r="Z43">
        <f t="shared" si="72"/>
        <v>0</v>
      </c>
      <c r="AA43">
        <f t="shared" si="73"/>
        <v>0</v>
      </c>
      <c r="AB43">
        <f t="shared" si="74"/>
        <v>0</v>
      </c>
      <c r="AC43">
        <f t="shared" si="75"/>
        <v>0</v>
      </c>
      <c r="AD43">
        <f t="shared" si="76"/>
        <v>0</v>
      </c>
      <c r="AE43">
        <f t="shared" si="77"/>
        <v>0</v>
      </c>
      <c r="AF43">
        <f t="shared" si="78"/>
        <v>0</v>
      </c>
      <c r="AG43">
        <f t="shared" si="79"/>
        <v>0</v>
      </c>
      <c r="AH43">
        <f t="shared" si="80"/>
        <v>0</v>
      </c>
      <c r="AI43">
        <f t="shared" si="81"/>
        <v>0</v>
      </c>
      <c r="AJ43">
        <f t="shared" si="82"/>
        <v>0</v>
      </c>
      <c r="AK43">
        <f t="shared" si="83"/>
        <v>0</v>
      </c>
      <c r="AL43">
        <f t="shared" si="84"/>
        <v>0</v>
      </c>
      <c r="AM43">
        <f t="shared" si="85"/>
        <v>0</v>
      </c>
      <c r="AN43">
        <f t="shared" si="86"/>
        <v>0</v>
      </c>
      <c r="AO43">
        <f t="shared" si="87"/>
        <v>0</v>
      </c>
      <c r="AP43">
        <f t="shared" si="88"/>
        <v>0</v>
      </c>
      <c r="AQ43">
        <f t="shared" si="89"/>
        <v>0</v>
      </c>
      <c r="AR43">
        <f t="shared" si="90"/>
        <v>0</v>
      </c>
      <c r="AS43">
        <f t="shared" si="91"/>
        <v>0</v>
      </c>
      <c r="AT43">
        <f t="shared" si="92"/>
        <v>0</v>
      </c>
      <c r="AU43">
        <f t="shared" si="93"/>
        <v>0</v>
      </c>
      <c r="AV43">
        <f t="shared" si="94"/>
        <v>0</v>
      </c>
      <c r="AW43">
        <f t="shared" si="95"/>
        <v>0</v>
      </c>
      <c r="AX43">
        <f t="shared" si="96"/>
        <v>0</v>
      </c>
      <c r="AY43">
        <f>IF(M43&gt;N43+(SUM(O43:AX43)),N43,M43-(SUM($O43:AX43)))</f>
        <v>0</v>
      </c>
      <c r="AZ43">
        <f t="shared" si="97"/>
        <v>0</v>
      </c>
      <c r="BA43">
        <f t="shared" si="98"/>
        <v>0</v>
      </c>
      <c r="BB43">
        <f t="shared" si="99"/>
        <v>0</v>
      </c>
      <c r="BC43">
        <f t="shared" si="100"/>
        <v>0</v>
      </c>
      <c r="BD43">
        <f t="shared" si="101"/>
        <v>0</v>
      </c>
      <c r="BE43">
        <f t="shared" si="102"/>
        <v>0</v>
      </c>
      <c r="BF43">
        <f t="shared" si="103"/>
        <v>0</v>
      </c>
      <c r="BG43">
        <f t="shared" si="104"/>
        <v>0</v>
      </c>
      <c r="BH43">
        <f t="shared" si="105"/>
        <v>0</v>
      </c>
      <c r="BI43">
        <f t="shared" si="106"/>
        <v>0</v>
      </c>
      <c r="BJ43">
        <f t="shared" si="107"/>
        <v>0</v>
      </c>
      <c r="BK43">
        <f t="shared" si="108"/>
        <v>0</v>
      </c>
      <c r="BL43">
        <f t="shared" si="109"/>
        <v>0</v>
      </c>
      <c r="BM43">
        <f t="shared" si="110"/>
        <v>0</v>
      </c>
      <c r="BN43">
        <f t="shared" si="111"/>
        <v>0</v>
      </c>
      <c r="BO43">
        <f t="shared" si="112"/>
        <v>0</v>
      </c>
      <c r="BP43">
        <f t="shared" si="113"/>
        <v>0</v>
      </c>
      <c r="BQ43">
        <f t="shared" si="114"/>
        <v>0</v>
      </c>
      <c r="BR43">
        <f t="shared" si="115"/>
        <v>0</v>
      </c>
      <c r="BS43">
        <f t="shared" si="116"/>
        <v>0</v>
      </c>
      <c r="BT43">
        <f t="shared" si="117"/>
        <v>0</v>
      </c>
      <c r="BU43">
        <f t="shared" si="118"/>
        <v>0</v>
      </c>
      <c r="BV43">
        <f t="shared" si="119"/>
        <v>0</v>
      </c>
      <c r="BY43"/>
    </row>
    <row r="44" spans="1:77" x14ac:dyDescent="0.25">
      <c r="A44" s="81">
        <v>41</v>
      </c>
      <c r="B44">
        <f>IF(A44&gt;0,FABRICAR!F42,NA())</f>
        <v>0</v>
      </c>
      <c r="C44">
        <f>IF(A44&gt;0,FABRICAR!G42,NA())</f>
        <v>0</v>
      </c>
      <c r="D44" s="1" t="str">
        <f t="shared" si="151"/>
        <v>00</v>
      </c>
      <c r="E44">
        <f>IF(A44&gt;0,FABRICAR!P55,"")</f>
        <v>0</v>
      </c>
      <c r="F44" t="str">
        <f t="shared" si="152"/>
        <v/>
      </c>
      <c r="H44" t="e">
        <f>IF(A44&gt;0,FABRICAR!H42,NA())</f>
        <v>#N/A</v>
      </c>
      <c r="I44">
        <f>IF(A44&gt;0,FABRICAR!B42,NA())</f>
        <v>0</v>
      </c>
      <c r="J44" s="75">
        <f t="shared" si="4"/>
        <v>0</v>
      </c>
      <c r="K44">
        <f>IF(A44&gt;0,FABRICAR!J42,NA())</f>
        <v>0</v>
      </c>
      <c r="L44" s="9">
        <f t="shared" si="153"/>
        <v>0</v>
      </c>
      <c r="M44">
        <f>IF(A44&gt;0,FABRICAR!N42,NA())</f>
        <v>0</v>
      </c>
      <c r="N44">
        <f>IF(B44=0,B44,IF(A44&gt;0,FABRICAR!M42,"")*9)</f>
        <v>0</v>
      </c>
      <c r="O44" s="3">
        <f t="shared" si="5"/>
        <v>0</v>
      </c>
      <c r="P44">
        <f t="shared" si="6"/>
        <v>0</v>
      </c>
      <c r="Q44">
        <f t="shared" si="63"/>
        <v>0</v>
      </c>
      <c r="R44">
        <f t="shared" si="64"/>
        <v>0</v>
      </c>
      <c r="S44">
        <f t="shared" si="65"/>
        <v>0</v>
      </c>
      <c r="T44">
        <f t="shared" si="66"/>
        <v>0</v>
      </c>
      <c r="U44">
        <f t="shared" si="67"/>
        <v>0</v>
      </c>
      <c r="V44">
        <f t="shared" si="68"/>
        <v>0</v>
      </c>
      <c r="W44">
        <f t="shared" si="69"/>
        <v>0</v>
      </c>
      <c r="X44">
        <f t="shared" si="70"/>
        <v>0</v>
      </c>
      <c r="Y44">
        <f t="shared" si="71"/>
        <v>0</v>
      </c>
      <c r="Z44">
        <f t="shared" si="72"/>
        <v>0</v>
      </c>
      <c r="AA44">
        <f t="shared" si="73"/>
        <v>0</v>
      </c>
      <c r="AB44">
        <f t="shared" si="74"/>
        <v>0</v>
      </c>
      <c r="AC44">
        <f t="shared" si="75"/>
        <v>0</v>
      </c>
      <c r="AD44">
        <f t="shared" si="76"/>
        <v>0</v>
      </c>
      <c r="AE44">
        <f t="shared" si="77"/>
        <v>0</v>
      </c>
      <c r="AF44">
        <f t="shared" si="78"/>
        <v>0</v>
      </c>
      <c r="AG44">
        <f t="shared" si="79"/>
        <v>0</v>
      </c>
      <c r="AH44">
        <f t="shared" si="80"/>
        <v>0</v>
      </c>
      <c r="AI44">
        <f t="shared" si="81"/>
        <v>0</v>
      </c>
      <c r="AJ44">
        <f t="shared" si="82"/>
        <v>0</v>
      </c>
      <c r="AK44">
        <f t="shared" si="83"/>
        <v>0</v>
      </c>
      <c r="AL44">
        <f t="shared" si="84"/>
        <v>0</v>
      </c>
      <c r="AM44">
        <f t="shared" si="85"/>
        <v>0</v>
      </c>
      <c r="AN44">
        <f t="shared" si="86"/>
        <v>0</v>
      </c>
      <c r="AO44">
        <f t="shared" si="87"/>
        <v>0</v>
      </c>
      <c r="AP44">
        <f t="shared" si="88"/>
        <v>0</v>
      </c>
      <c r="AQ44">
        <f t="shared" si="89"/>
        <v>0</v>
      </c>
      <c r="AR44">
        <f t="shared" si="90"/>
        <v>0</v>
      </c>
      <c r="AS44">
        <f t="shared" si="91"/>
        <v>0</v>
      </c>
      <c r="AT44">
        <f t="shared" si="92"/>
        <v>0</v>
      </c>
      <c r="AU44">
        <f t="shared" si="93"/>
        <v>0</v>
      </c>
      <c r="AV44">
        <f t="shared" si="94"/>
        <v>0</v>
      </c>
      <c r="AW44">
        <f t="shared" si="95"/>
        <v>0</v>
      </c>
      <c r="AX44">
        <f t="shared" si="96"/>
        <v>0</v>
      </c>
      <c r="AY44">
        <f>IF(M44&gt;N44+(SUM(O44:AX44)),N44,M44-(SUM($O44:AX44)))</f>
        <v>0</v>
      </c>
      <c r="AZ44">
        <f t="shared" si="97"/>
        <v>0</v>
      </c>
      <c r="BA44">
        <f t="shared" si="98"/>
        <v>0</v>
      </c>
      <c r="BB44">
        <f t="shared" si="99"/>
        <v>0</v>
      </c>
      <c r="BC44">
        <f t="shared" si="100"/>
        <v>0</v>
      </c>
      <c r="BD44">
        <f t="shared" si="101"/>
        <v>0</v>
      </c>
      <c r="BE44">
        <f t="shared" si="102"/>
        <v>0</v>
      </c>
      <c r="BF44">
        <f t="shared" si="103"/>
        <v>0</v>
      </c>
      <c r="BG44">
        <f t="shared" si="104"/>
        <v>0</v>
      </c>
      <c r="BH44">
        <f t="shared" si="105"/>
        <v>0</v>
      </c>
      <c r="BI44">
        <f t="shared" si="106"/>
        <v>0</v>
      </c>
      <c r="BJ44">
        <f t="shared" si="107"/>
        <v>0</v>
      </c>
      <c r="BK44">
        <f t="shared" si="108"/>
        <v>0</v>
      </c>
      <c r="BL44">
        <f t="shared" si="109"/>
        <v>0</v>
      </c>
      <c r="BM44">
        <f t="shared" si="110"/>
        <v>0</v>
      </c>
      <c r="BN44">
        <f t="shared" si="111"/>
        <v>0</v>
      </c>
      <c r="BO44">
        <f t="shared" si="112"/>
        <v>0</v>
      </c>
      <c r="BP44">
        <f t="shared" si="113"/>
        <v>0</v>
      </c>
      <c r="BQ44">
        <f t="shared" si="114"/>
        <v>0</v>
      </c>
      <c r="BR44">
        <f t="shared" si="115"/>
        <v>0</v>
      </c>
      <c r="BS44">
        <f t="shared" si="116"/>
        <v>0</v>
      </c>
      <c r="BT44">
        <f t="shared" si="117"/>
        <v>0</v>
      </c>
      <c r="BU44">
        <f t="shared" si="118"/>
        <v>0</v>
      </c>
      <c r="BV44">
        <f t="shared" si="119"/>
        <v>0</v>
      </c>
      <c r="BY44"/>
    </row>
    <row r="45" spans="1:77" x14ac:dyDescent="0.25">
      <c r="A45" s="81">
        <v>42</v>
      </c>
      <c r="B45">
        <f>IF(A45&gt;0,FABRICAR!F43,NA())</f>
        <v>0</v>
      </c>
      <c r="C45">
        <f>IF(A45&gt;0,FABRICAR!G43,NA())</f>
        <v>0</v>
      </c>
      <c r="D45" s="1" t="str">
        <f t="shared" si="151"/>
        <v>00</v>
      </c>
      <c r="E45">
        <f>IF(A45&gt;0,FABRICAR!P56,"")</f>
        <v>0</v>
      </c>
      <c r="F45" t="str">
        <f t="shared" si="152"/>
        <v/>
      </c>
      <c r="H45" t="e">
        <f>IF(A45&gt;0,FABRICAR!H43,NA())</f>
        <v>#N/A</v>
      </c>
      <c r="I45">
        <f>IF(A45&gt;0,FABRICAR!B43,NA())</f>
        <v>0</v>
      </c>
      <c r="J45" s="75">
        <f t="shared" si="4"/>
        <v>0</v>
      </c>
      <c r="K45">
        <f>IF(A45&gt;0,FABRICAR!J43,NA())</f>
        <v>0</v>
      </c>
      <c r="L45" s="9">
        <f t="shared" si="153"/>
        <v>0</v>
      </c>
      <c r="M45">
        <f>IF(A45&gt;0,FABRICAR!N43,NA())</f>
        <v>0</v>
      </c>
      <c r="N45">
        <f>IF(B45=0,B45,IF(A45&gt;0,FABRICAR!M43,"")*9)</f>
        <v>0</v>
      </c>
      <c r="O45" s="3">
        <f t="shared" si="5"/>
        <v>0</v>
      </c>
      <c r="P45">
        <f t="shared" si="6"/>
        <v>0</v>
      </c>
      <c r="Q45">
        <f t="shared" si="63"/>
        <v>0</v>
      </c>
      <c r="R45">
        <f t="shared" si="64"/>
        <v>0</v>
      </c>
      <c r="S45">
        <f t="shared" si="65"/>
        <v>0</v>
      </c>
      <c r="T45">
        <f t="shared" si="66"/>
        <v>0</v>
      </c>
      <c r="U45">
        <f t="shared" si="67"/>
        <v>0</v>
      </c>
      <c r="V45">
        <f t="shared" si="68"/>
        <v>0</v>
      </c>
      <c r="W45">
        <f t="shared" si="69"/>
        <v>0</v>
      </c>
      <c r="X45">
        <f t="shared" si="70"/>
        <v>0</v>
      </c>
      <c r="Y45">
        <f t="shared" si="71"/>
        <v>0</v>
      </c>
      <c r="Z45">
        <f t="shared" si="72"/>
        <v>0</v>
      </c>
      <c r="AA45">
        <f t="shared" si="73"/>
        <v>0</v>
      </c>
      <c r="AB45">
        <f t="shared" si="74"/>
        <v>0</v>
      </c>
      <c r="AC45">
        <f t="shared" si="75"/>
        <v>0</v>
      </c>
      <c r="AD45">
        <f t="shared" si="76"/>
        <v>0</v>
      </c>
      <c r="AE45">
        <f t="shared" si="77"/>
        <v>0</v>
      </c>
      <c r="AF45">
        <f t="shared" si="78"/>
        <v>0</v>
      </c>
      <c r="AG45">
        <f t="shared" si="79"/>
        <v>0</v>
      </c>
      <c r="AH45">
        <f t="shared" si="80"/>
        <v>0</v>
      </c>
      <c r="AI45">
        <f t="shared" si="81"/>
        <v>0</v>
      </c>
      <c r="AJ45">
        <f t="shared" si="82"/>
        <v>0</v>
      </c>
      <c r="AK45">
        <f t="shared" si="83"/>
        <v>0</v>
      </c>
      <c r="AL45">
        <f t="shared" si="84"/>
        <v>0</v>
      </c>
      <c r="AM45">
        <f t="shared" si="85"/>
        <v>0</v>
      </c>
      <c r="AN45">
        <f t="shared" si="86"/>
        <v>0</v>
      </c>
      <c r="AO45">
        <f t="shared" si="87"/>
        <v>0</v>
      </c>
      <c r="AP45">
        <f t="shared" si="88"/>
        <v>0</v>
      </c>
      <c r="AQ45">
        <f t="shared" si="89"/>
        <v>0</v>
      </c>
      <c r="AR45">
        <f t="shared" si="90"/>
        <v>0</v>
      </c>
      <c r="AS45">
        <f t="shared" si="91"/>
        <v>0</v>
      </c>
      <c r="AT45">
        <f t="shared" si="92"/>
        <v>0</v>
      </c>
      <c r="AU45">
        <f t="shared" si="93"/>
        <v>0</v>
      </c>
      <c r="AV45">
        <f t="shared" si="94"/>
        <v>0</v>
      </c>
      <c r="AW45">
        <f t="shared" si="95"/>
        <v>0</v>
      </c>
      <c r="AX45">
        <f t="shared" si="96"/>
        <v>0</v>
      </c>
      <c r="AY45">
        <f>IF(M45&gt;N45+(SUM(O45:AX45)),N45,M45-(SUM($O45:AX45)))</f>
        <v>0</v>
      </c>
      <c r="AZ45">
        <f t="shared" si="97"/>
        <v>0</v>
      </c>
      <c r="BA45">
        <f t="shared" si="98"/>
        <v>0</v>
      </c>
      <c r="BB45">
        <f t="shared" si="99"/>
        <v>0</v>
      </c>
      <c r="BC45">
        <f t="shared" si="100"/>
        <v>0</v>
      </c>
      <c r="BD45">
        <f t="shared" si="101"/>
        <v>0</v>
      </c>
      <c r="BE45">
        <f t="shared" si="102"/>
        <v>0</v>
      </c>
      <c r="BF45">
        <f t="shared" si="103"/>
        <v>0</v>
      </c>
      <c r="BG45">
        <f t="shared" si="104"/>
        <v>0</v>
      </c>
      <c r="BH45">
        <f t="shared" si="105"/>
        <v>0</v>
      </c>
      <c r="BI45">
        <f t="shared" si="106"/>
        <v>0</v>
      </c>
      <c r="BJ45">
        <f t="shared" si="107"/>
        <v>0</v>
      </c>
      <c r="BK45">
        <f t="shared" si="108"/>
        <v>0</v>
      </c>
      <c r="BL45">
        <f t="shared" si="109"/>
        <v>0</v>
      </c>
      <c r="BM45">
        <f t="shared" si="110"/>
        <v>0</v>
      </c>
      <c r="BN45">
        <f t="shared" si="111"/>
        <v>0</v>
      </c>
      <c r="BO45">
        <f t="shared" si="112"/>
        <v>0</v>
      </c>
      <c r="BP45">
        <f t="shared" si="113"/>
        <v>0</v>
      </c>
      <c r="BQ45">
        <f t="shared" si="114"/>
        <v>0</v>
      </c>
      <c r="BR45">
        <f t="shared" si="115"/>
        <v>0</v>
      </c>
      <c r="BS45">
        <f t="shared" si="116"/>
        <v>0</v>
      </c>
      <c r="BT45">
        <f t="shared" si="117"/>
        <v>0</v>
      </c>
      <c r="BU45">
        <f t="shared" si="118"/>
        <v>0</v>
      </c>
      <c r="BV45">
        <f t="shared" si="119"/>
        <v>0</v>
      </c>
      <c r="BY45"/>
    </row>
    <row r="46" spans="1:77" x14ac:dyDescent="0.25">
      <c r="A46" s="81">
        <v>43</v>
      </c>
      <c r="B46">
        <f>IF(A46&gt;0,FABRICAR!F44,NA())</f>
        <v>0</v>
      </c>
      <c r="C46">
        <f>IF(A46&gt;0,FABRICAR!G44,NA())</f>
        <v>0</v>
      </c>
      <c r="D46" s="1" t="str">
        <f t="shared" si="151"/>
        <v>00</v>
      </c>
      <c r="E46">
        <f>IF(A46&gt;0,FABRICAR!P57,"")</f>
        <v>0</v>
      </c>
      <c r="F46" t="str">
        <f t="shared" si="152"/>
        <v/>
      </c>
      <c r="H46" t="e">
        <f>IF(A46&gt;0,FABRICAR!H44,NA())</f>
        <v>#N/A</v>
      </c>
      <c r="I46">
        <f>IF(A46&gt;0,FABRICAR!B44,NA())</f>
        <v>0</v>
      </c>
      <c r="J46" s="75">
        <f t="shared" si="4"/>
        <v>0</v>
      </c>
      <c r="K46">
        <f>IF(A46&gt;0,FABRICAR!J44,NA())</f>
        <v>0</v>
      </c>
      <c r="L46" s="9">
        <f t="shared" si="153"/>
        <v>0</v>
      </c>
      <c r="M46">
        <f>IF(A46&gt;0,FABRICAR!N44,NA())</f>
        <v>0</v>
      </c>
      <c r="N46">
        <f>IF(B46=0,B46,IF(A46&gt;0,FABRICAR!M44,"")*9)</f>
        <v>0</v>
      </c>
      <c r="O46" s="3">
        <f t="shared" si="5"/>
        <v>0</v>
      </c>
      <c r="P46">
        <f t="shared" si="6"/>
        <v>0</v>
      </c>
      <c r="Q46">
        <f t="shared" si="63"/>
        <v>0</v>
      </c>
      <c r="R46">
        <f t="shared" si="64"/>
        <v>0</v>
      </c>
      <c r="S46">
        <f t="shared" si="65"/>
        <v>0</v>
      </c>
      <c r="T46">
        <f t="shared" si="66"/>
        <v>0</v>
      </c>
      <c r="U46">
        <f t="shared" si="67"/>
        <v>0</v>
      </c>
      <c r="V46">
        <f t="shared" si="68"/>
        <v>0</v>
      </c>
      <c r="W46">
        <f t="shared" si="69"/>
        <v>0</v>
      </c>
      <c r="X46">
        <f t="shared" si="70"/>
        <v>0</v>
      </c>
      <c r="Y46">
        <f t="shared" si="71"/>
        <v>0</v>
      </c>
      <c r="Z46">
        <f t="shared" si="72"/>
        <v>0</v>
      </c>
      <c r="AA46">
        <f t="shared" si="73"/>
        <v>0</v>
      </c>
      <c r="AB46">
        <f t="shared" si="74"/>
        <v>0</v>
      </c>
      <c r="AC46">
        <f t="shared" si="75"/>
        <v>0</v>
      </c>
      <c r="AD46">
        <f t="shared" si="76"/>
        <v>0</v>
      </c>
      <c r="AE46">
        <f t="shared" si="77"/>
        <v>0</v>
      </c>
      <c r="AF46">
        <f t="shared" si="78"/>
        <v>0</v>
      </c>
      <c r="AG46">
        <f t="shared" si="79"/>
        <v>0</v>
      </c>
      <c r="AH46">
        <f t="shared" si="80"/>
        <v>0</v>
      </c>
      <c r="AI46">
        <f t="shared" si="81"/>
        <v>0</v>
      </c>
      <c r="AJ46">
        <f t="shared" si="82"/>
        <v>0</v>
      </c>
      <c r="AK46">
        <f t="shared" si="83"/>
        <v>0</v>
      </c>
      <c r="AL46">
        <f t="shared" si="84"/>
        <v>0</v>
      </c>
      <c r="AM46">
        <f t="shared" si="85"/>
        <v>0</v>
      </c>
      <c r="AN46">
        <f t="shared" si="86"/>
        <v>0</v>
      </c>
      <c r="AO46">
        <f t="shared" si="87"/>
        <v>0</v>
      </c>
      <c r="AP46">
        <f t="shared" si="88"/>
        <v>0</v>
      </c>
      <c r="AQ46">
        <f t="shared" si="89"/>
        <v>0</v>
      </c>
      <c r="AR46">
        <f t="shared" si="90"/>
        <v>0</v>
      </c>
      <c r="AS46">
        <f t="shared" si="91"/>
        <v>0</v>
      </c>
      <c r="AT46">
        <f t="shared" si="92"/>
        <v>0</v>
      </c>
      <c r="AU46">
        <f t="shared" si="93"/>
        <v>0</v>
      </c>
      <c r="AV46">
        <f t="shared" si="94"/>
        <v>0</v>
      </c>
      <c r="AW46">
        <f t="shared" si="95"/>
        <v>0</v>
      </c>
      <c r="AX46">
        <f t="shared" si="96"/>
        <v>0</v>
      </c>
      <c r="AY46">
        <f>IF(M46&gt;N46+(SUM(O46:AX46)),N46,M46-(SUM($O46:AX46)))</f>
        <v>0</v>
      </c>
      <c r="AZ46">
        <f t="shared" si="97"/>
        <v>0</v>
      </c>
      <c r="BA46">
        <f t="shared" si="98"/>
        <v>0</v>
      </c>
      <c r="BB46">
        <f t="shared" si="99"/>
        <v>0</v>
      </c>
      <c r="BC46">
        <f t="shared" si="100"/>
        <v>0</v>
      </c>
      <c r="BD46">
        <f t="shared" si="101"/>
        <v>0</v>
      </c>
      <c r="BE46">
        <f t="shared" si="102"/>
        <v>0</v>
      </c>
      <c r="BF46">
        <f t="shared" si="103"/>
        <v>0</v>
      </c>
      <c r="BG46">
        <f t="shared" si="104"/>
        <v>0</v>
      </c>
      <c r="BH46">
        <f t="shared" si="105"/>
        <v>0</v>
      </c>
      <c r="BI46">
        <f t="shared" si="106"/>
        <v>0</v>
      </c>
      <c r="BJ46">
        <f t="shared" si="107"/>
        <v>0</v>
      </c>
      <c r="BK46">
        <f t="shared" si="108"/>
        <v>0</v>
      </c>
      <c r="BL46">
        <f t="shared" si="109"/>
        <v>0</v>
      </c>
      <c r="BM46">
        <f t="shared" si="110"/>
        <v>0</v>
      </c>
      <c r="BN46">
        <f t="shared" si="111"/>
        <v>0</v>
      </c>
      <c r="BO46">
        <f t="shared" si="112"/>
        <v>0</v>
      </c>
      <c r="BP46">
        <f t="shared" si="113"/>
        <v>0</v>
      </c>
      <c r="BQ46">
        <f t="shared" si="114"/>
        <v>0</v>
      </c>
      <c r="BR46">
        <f t="shared" si="115"/>
        <v>0</v>
      </c>
      <c r="BS46">
        <f t="shared" si="116"/>
        <v>0</v>
      </c>
      <c r="BT46">
        <f t="shared" si="117"/>
        <v>0</v>
      </c>
      <c r="BU46">
        <f t="shared" si="118"/>
        <v>0</v>
      </c>
      <c r="BV46">
        <f t="shared" si="119"/>
        <v>0</v>
      </c>
      <c r="BY46"/>
    </row>
    <row r="47" spans="1:77" x14ac:dyDescent="0.25">
      <c r="A47" s="81">
        <v>44</v>
      </c>
      <c r="B47">
        <f>IF(A47&gt;0,FABRICAR!F45,NA())</f>
        <v>0</v>
      </c>
      <c r="C47">
        <f>IF(A47&gt;0,FABRICAR!G45,NA())</f>
        <v>0</v>
      </c>
      <c r="D47" s="1" t="str">
        <f t="shared" si="151"/>
        <v>00</v>
      </c>
      <c r="E47">
        <f>IF(A47&gt;0,FABRICAR!P58,"")</f>
        <v>0</v>
      </c>
      <c r="F47" t="str">
        <f t="shared" si="152"/>
        <v/>
      </c>
      <c r="H47" t="e">
        <f>IF(A47&gt;0,FABRICAR!H45,NA())</f>
        <v>#N/A</v>
      </c>
      <c r="I47">
        <f>IF(A47&gt;0,FABRICAR!B45,NA())</f>
        <v>0</v>
      </c>
      <c r="J47" s="75">
        <f t="shared" si="4"/>
        <v>0</v>
      </c>
      <c r="K47">
        <f>IF(A47&gt;0,FABRICAR!J45,NA())</f>
        <v>0</v>
      </c>
      <c r="L47" s="9">
        <f t="shared" si="153"/>
        <v>0</v>
      </c>
      <c r="M47">
        <f>IF(A47&gt;0,FABRICAR!N45,NA())</f>
        <v>0</v>
      </c>
      <c r="N47">
        <f>IF(B47=0,B47,IF(A47&gt;0,FABRICAR!M45,"")*9)</f>
        <v>0</v>
      </c>
      <c r="O47" s="3">
        <f t="shared" si="5"/>
        <v>0</v>
      </c>
      <c r="P47">
        <f t="shared" si="6"/>
        <v>0</v>
      </c>
      <c r="Q47">
        <f t="shared" si="63"/>
        <v>0</v>
      </c>
      <c r="R47">
        <f t="shared" si="64"/>
        <v>0</v>
      </c>
      <c r="S47">
        <f t="shared" si="65"/>
        <v>0</v>
      </c>
      <c r="T47">
        <f t="shared" si="66"/>
        <v>0</v>
      </c>
      <c r="U47">
        <f t="shared" si="67"/>
        <v>0</v>
      </c>
      <c r="V47">
        <f t="shared" si="68"/>
        <v>0</v>
      </c>
      <c r="W47">
        <f t="shared" si="69"/>
        <v>0</v>
      </c>
      <c r="X47">
        <f t="shared" si="70"/>
        <v>0</v>
      </c>
      <c r="Y47">
        <f t="shared" si="71"/>
        <v>0</v>
      </c>
      <c r="Z47">
        <f t="shared" si="72"/>
        <v>0</v>
      </c>
      <c r="AA47">
        <f t="shared" si="73"/>
        <v>0</v>
      </c>
      <c r="AB47">
        <f t="shared" si="74"/>
        <v>0</v>
      </c>
      <c r="AC47">
        <f t="shared" si="75"/>
        <v>0</v>
      </c>
      <c r="AD47">
        <f t="shared" si="76"/>
        <v>0</v>
      </c>
      <c r="AE47">
        <f t="shared" si="77"/>
        <v>0</v>
      </c>
      <c r="AF47">
        <f t="shared" si="78"/>
        <v>0</v>
      </c>
      <c r="AG47">
        <f t="shared" si="79"/>
        <v>0</v>
      </c>
      <c r="AH47">
        <f t="shared" si="80"/>
        <v>0</v>
      </c>
      <c r="AI47">
        <f t="shared" si="81"/>
        <v>0</v>
      </c>
      <c r="AJ47">
        <f t="shared" si="82"/>
        <v>0</v>
      </c>
      <c r="AK47">
        <f t="shared" si="83"/>
        <v>0</v>
      </c>
      <c r="AL47">
        <f t="shared" si="84"/>
        <v>0</v>
      </c>
      <c r="AM47">
        <f t="shared" si="85"/>
        <v>0</v>
      </c>
      <c r="AN47">
        <f t="shared" si="86"/>
        <v>0</v>
      </c>
      <c r="AO47">
        <f t="shared" si="87"/>
        <v>0</v>
      </c>
      <c r="AP47">
        <f t="shared" si="88"/>
        <v>0</v>
      </c>
      <c r="AQ47">
        <f t="shared" si="89"/>
        <v>0</v>
      </c>
      <c r="AR47">
        <f t="shared" si="90"/>
        <v>0</v>
      </c>
      <c r="AS47">
        <f t="shared" si="91"/>
        <v>0</v>
      </c>
      <c r="AT47">
        <f t="shared" si="92"/>
        <v>0</v>
      </c>
      <c r="AU47">
        <f t="shared" si="93"/>
        <v>0</v>
      </c>
      <c r="AV47">
        <f t="shared" si="94"/>
        <v>0</v>
      </c>
      <c r="AW47">
        <f t="shared" si="95"/>
        <v>0</v>
      </c>
      <c r="AX47">
        <f t="shared" si="96"/>
        <v>0</v>
      </c>
      <c r="AY47">
        <f>IF(M47&gt;N47+(SUM(O47:AX47)),N47,M47-(SUM($O47:AX47)))</f>
        <v>0</v>
      </c>
      <c r="AZ47">
        <f t="shared" si="97"/>
        <v>0</v>
      </c>
      <c r="BA47">
        <f t="shared" si="98"/>
        <v>0</v>
      </c>
      <c r="BB47">
        <f t="shared" si="99"/>
        <v>0</v>
      </c>
      <c r="BC47">
        <f t="shared" si="100"/>
        <v>0</v>
      </c>
      <c r="BD47">
        <f t="shared" si="101"/>
        <v>0</v>
      </c>
      <c r="BE47">
        <f t="shared" si="102"/>
        <v>0</v>
      </c>
      <c r="BF47">
        <f t="shared" si="103"/>
        <v>0</v>
      </c>
      <c r="BG47">
        <f t="shared" si="104"/>
        <v>0</v>
      </c>
      <c r="BH47">
        <f t="shared" si="105"/>
        <v>0</v>
      </c>
      <c r="BI47">
        <f t="shared" si="106"/>
        <v>0</v>
      </c>
      <c r="BJ47">
        <f t="shared" si="107"/>
        <v>0</v>
      </c>
      <c r="BK47">
        <f t="shared" si="108"/>
        <v>0</v>
      </c>
      <c r="BL47">
        <f t="shared" si="109"/>
        <v>0</v>
      </c>
      <c r="BM47">
        <f t="shared" si="110"/>
        <v>0</v>
      </c>
      <c r="BN47">
        <f t="shared" si="111"/>
        <v>0</v>
      </c>
      <c r="BO47">
        <f t="shared" si="112"/>
        <v>0</v>
      </c>
      <c r="BP47">
        <f t="shared" si="113"/>
        <v>0</v>
      </c>
      <c r="BQ47">
        <f t="shared" si="114"/>
        <v>0</v>
      </c>
      <c r="BR47">
        <f t="shared" si="115"/>
        <v>0</v>
      </c>
      <c r="BS47">
        <f t="shared" si="116"/>
        <v>0</v>
      </c>
      <c r="BT47">
        <f t="shared" si="117"/>
        <v>0</v>
      </c>
      <c r="BU47">
        <f t="shared" si="118"/>
        <v>0</v>
      </c>
      <c r="BV47">
        <f t="shared" si="119"/>
        <v>0</v>
      </c>
      <c r="BY47"/>
    </row>
    <row r="48" spans="1:77" x14ac:dyDescent="0.25">
      <c r="A48" s="81">
        <v>45</v>
      </c>
      <c r="B48">
        <f>IF(A48&gt;0,FABRICAR!F46,NA())</f>
        <v>0</v>
      </c>
      <c r="C48">
        <f>IF(A48&gt;0,FABRICAR!G46,NA())</f>
        <v>0</v>
      </c>
      <c r="D48" s="1" t="str">
        <f t="shared" si="151"/>
        <v>00</v>
      </c>
      <c r="E48">
        <f>IF(A48&gt;0,FABRICAR!P59,"")</f>
        <v>0</v>
      </c>
      <c r="F48" t="str">
        <f t="shared" si="152"/>
        <v/>
      </c>
      <c r="H48">
        <f>IF(A48&gt;0,FABRICAR!H46,NA())</f>
        <v>0</v>
      </c>
      <c r="I48" t="str">
        <f>IF(A48&gt;0,FABRICAR!B46,NA())</f>
        <v/>
      </c>
      <c r="J48" s="75">
        <f t="shared" si="4"/>
        <v>0</v>
      </c>
      <c r="K48">
        <f>IF(A48&gt;0,FABRICAR!J46,NA())</f>
        <v>0</v>
      </c>
      <c r="L48" s="9">
        <f t="shared" si="153"/>
        <v>0</v>
      </c>
      <c r="M48">
        <f>IF(A48&gt;0,FABRICAR!N46,NA())</f>
        <v>0</v>
      </c>
      <c r="N48">
        <f>IF(B48=0,B48,IF(A48&gt;0,FABRICAR!M46,"")*9)</f>
        <v>0</v>
      </c>
      <c r="O48" s="3">
        <f t="shared" ref="O48:O70" si="154">IF(M48&gt;N48,N48,M48)</f>
        <v>0</v>
      </c>
      <c r="P48">
        <f t="shared" ref="P48:P70" si="155">IF(M48&gt;N48+(SUM(O48:O48)),N48,M48-(SUM(O48:O48)))</f>
        <v>0</v>
      </c>
      <c r="Q48">
        <f t="shared" ref="Q48:Q70" si="156">IF(M48&gt;N48+(SUM(O48:P48)),N48,M48-(SUM(O48:P48)))</f>
        <v>0</v>
      </c>
      <c r="R48">
        <f t="shared" ref="R48:R70" si="157">IF(M48&gt;N48+(SUM(O48:Q48)),N48,M48-(SUM(O48:Q48)))</f>
        <v>0</v>
      </c>
      <c r="S48">
        <f t="shared" ref="S48:S70" si="158">IF(M48&gt;N48+(SUM(O48:R48)),N48,M48-(SUM(O48:R48)))</f>
        <v>0</v>
      </c>
      <c r="T48">
        <f t="shared" ref="T48:T70" si="159">IF(M48&gt;N48+(SUM(O48:S48)),N48,M48-(SUM(O48:S48)))</f>
        <v>0</v>
      </c>
      <c r="U48">
        <f t="shared" ref="U48:U70" si="160">IF(M48&gt;N48+(SUM(O48:T48)),N48,M48-(SUM(O48:T48)))</f>
        <v>0</v>
      </c>
      <c r="V48">
        <f t="shared" ref="V48:V70" si="161">IF(M48&gt;N48+(SUM(O48:U48)),N48,M48-(SUM(O48:U48)))</f>
        <v>0</v>
      </c>
      <c r="W48">
        <f t="shared" ref="W48:W70" si="162">IF(M48&gt;N48+(SUM(O48:V48)),N48,M48-(SUM(O48:V48)))</f>
        <v>0</v>
      </c>
      <c r="X48">
        <f t="shared" ref="X48:X70" si="163">IF(M48&gt;N48+(SUM(O48:W48)),N48,M48-(SUM(O48:W48)))</f>
        <v>0</v>
      </c>
      <c r="Y48">
        <f t="shared" ref="Y48:Y70" si="164">IF(M48&gt;N48+(SUM(O48:X48)),N48,M48-(SUM(O48:X48)))</f>
        <v>0</v>
      </c>
      <c r="Z48">
        <f t="shared" ref="Z48:Z70" si="165">IF(M48&gt;N48+(SUM(O48:Y48)),N48,M48-(SUM(O48:Y48)))</f>
        <v>0</v>
      </c>
      <c r="AA48">
        <f t="shared" ref="AA48:AA70" si="166">IF(M48&gt;N48+(SUM(O48:Z48)),N48,M48-(SUM(O48:Z48)))</f>
        <v>0</v>
      </c>
      <c r="AB48">
        <f t="shared" ref="AB48:AB70" si="167">IF(M48&gt;N48+(SUM(O48:AA48)),N48,M48-(SUM(O48:AA48)))</f>
        <v>0</v>
      </c>
      <c r="AC48">
        <f t="shared" ref="AC48:AC70" si="168">IF(M48&gt;N48+(SUM(O48:AB48)),N48,M48-(SUM(O48:AB48)))</f>
        <v>0</v>
      </c>
      <c r="AD48">
        <f t="shared" ref="AD48:AD70" si="169">IF(M48&gt;N48+(SUM(O48:AC48)),N48,M48-(SUM(O48:AC48)))</f>
        <v>0</v>
      </c>
      <c r="AE48">
        <f t="shared" ref="AE48:AE70" si="170">IF(M48&gt;N48+(SUM(O48:AD48)),N48,M48-(SUM(O48:AD48)))</f>
        <v>0</v>
      </c>
      <c r="AF48">
        <f t="shared" ref="AF48:AF70" si="171">IF(M48&gt;N48+(SUM(O48:AE48)),N48,M48-(SUM(O48:AE48)))</f>
        <v>0</v>
      </c>
      <c r="AG48">
        <f t="shared" ref="AG48:AG70" si="172">IF(M48&gt;N48+(SUM(O48:AF48)),N48,M48-(SUM(O48:AF48)))</f>
        <v>0</v>
      </c>
      <c r="AH48">
        <f t="shared" ref="AH48:AH70" si="173">IF(M48&gt;N48+(SUM(O48:AG48)),N48,M48-(SUM(O48:AG48)))</f>
        <v>0</v>
      </c>
      <c r="AI48">
        <f t="shared" ref="AI48:AI70" si="174">IF(M48&gt;N48+(SUM(O48:AH48)),N48,M48-(SUM(O48:AH48)))</f>
        <v>0</v>
      </c>
      <c r="AJ48">
        <f t="shared" ref="AJ48:AJ70" si="175">IF(M48&gt;N48+(SUM(O48:AI48)),N48,M48-(SUM(O48:AI48)))</f>
        <v>0</v>
      </c>
      <c r="AK48">
        <f t="shared" ref="AK48:AK70" si="176">IF(M48&gt;N48+(SUM(O48:AJ48)),N48,M48-(SUM(O48:AJ48)))</f>
        <v>0</v>
      </c>
      <c r="AL48">
        <f t="shared" ref="AL48:AL70" si="177">IF(M48&gt;N48+(SUM(O48:AK48)),N48,M48-(SUM(O48:AK48)))</f>
        <v>0</v>
      </c>
      <c r="AM48">
        <f t="shared" ref="AM48:AM70" si="178">IF(M48&gt;N48+(SUM(O48:AL48)),N48,M48-(SUM(O48:AL48)))</f>
        <v>0</v>
      </c>
      <c r="AN48">
        <f t="shared" ref="AN48:AN70" si="179">IF(M48&gt;N48+(SUM(O48:AM48)),N48,M48-(SUM(O48:AM48)))</f>
        <v>0</v>
      </c>
      <c r="AO48">
        <f t="shared" ref="AO48:AO70" si="180">IF(M48&gt;N48+(SUM(O48:AN48)),N48,M48-(SUM(O48:AN48)))</f>
        <v>0</v>
      </c>
      <c r="AP48">
        <f t="shared" ref="AP48:AP70" si="181">IF(M48&gt;N48+(SUM(O48:AO48)),N48,M48-(SUM(O48:AO48)))</f>
        <v>0</v>
      </c>
      <c r="AQ48">
        <f t="shared" ref="AQ48:AQ70" si="182">IF(M48&gt;N48+(SUM(O48:AP48)),N48,M48-(SUM(O48:AP48)))</f>
        <v>0</v>
      </c>
      <c r="AR48">
        <f t="shared" ref="AR48:AR70" si="183">IF(M48&gt;N48+(SUM(O48:AQ48)),N48,M48-(SUM(O48:AQ48)))</f>
        <v>0</v>
      </c>
      <c r="AS48">
        <f t="shared" ref="AS48:AS70" si="184">IF(M48&gt;N48+(SUM(O48:AR48)),N48,M48-(SUM(O48:AR48)))</f>
        <v>0</v>
      </c>
      <c r="AT48">
        <f t="shared" ref="AT48:AT70" si="185">IF(M48&gt;N48+(SUM(O48:AS48)),N48,M48-(SUM(O48:AS48)))</f>
        <v>0</v>
      </c>
      <c r="AU48">
        <f t="shared" ref="AU48:AU70" si="186">IF(M48&gt;N48+(SUM(O48:AT48)),N48,M48-(SUM(O48:AT48)))</f>
        <v>0</v>
      </c>
      <c r="AV48">
        <f t="shared" ref="AV48:AV70" si="187">IF(M48&gt;N48+(SUM(O48:AU48)),N48,M48-(SUM(O48:AU48)))</f>
        <v>0</v>
      </c>
      <c r="AW48">
        <f t="shared" ref="AW48:AW70" si="188">IF(M48&gt;N48+(SUM(O48:AV48)),N48,M48-(SUM(O48:AV48)))</f>
        <v>0</v>
      </c>
      <c r="AX48">
        <f t="shared" ref="AX48:AX70" si="189">IF(M48&gt;N48+(SUM(O48:AW48)),N48,M48-(SUM(O48:AW48)))</f>
        <v>0</v>
      </c>
      <c r="AY48">
        <f>IF(M48&gt;N48+(SUM(O48:AX48)),N48,M48-(SUM($O48:AX48)))</f>
        <v>0</v>
      </c>
      <c r="AZ48">
        <f t="shared" ref="AZ48:AZ70" si="190">IF(M48&gt;N48+(SUM(O48:AY48)),N48,M48-(SUM(O48:AY48)))</f>
        <v>0</v>
      </c>
      <c r="BA48">
        <f t="shared" ref="BA48:BA70" si="191">IF(M48&gt;N48+(SUM(O48:AZ48)),N48,M48-(SUM(O48:AZ48)))</f>
        <v>0</v>
      </c>
      <c r="BB48">
        <f t="shared" ref="BB48:BB70" si="192">IF(M48&gt;N48+(SUM(O48:BA48)),N48,M48-(SUM(O48:BA48)))</f>
        <v>0</v>
      </c>
      <c r="BC48">
        <f t="shared" ref="BC48:BC70" si="193">IF(M48&gt;N48+(SUM(O48:BB48)),N48,M48-(SUM(O48:BB48)))</f>
        <v>0</v>
      </c>
      <c r="BD48">
        <f t="shared" ref="BD48:BD70" si="194">IF(M48&gt;N48+(SUM(O48:BC48)),N48,M48-(SUM(O48:BC48)))</f>
        <v>0</v>
      </c>
      <c r="BE48">
        <f t="shared" ref="BE48:BE70" si="195">IF(M48&gt;N48+(SUM(O48:BD48)),N48,M48-(SUM(O48:BD48)))</f>
        <v>0</v>
      </c>
      <c r="BF48">
        <f t="shared" ref="BF48:BF70" si="196">IF(M48&gt;N48+(SUM(O48:BE48)),N48,M48-(SUM(O48:BE48)))</f>
        <v>0</v>
      </c>
      <c r="BG48">
        <f t="shared" ref="BG48:BG70" si="197">IF(M48&gt;N48+(SUM(O48:BF48)),N48,M48-(SUM(O48:BF48)))</f>
        <v>0</v>
      </c>
      <c r="BH48">
        <f t="shared" ref="BH48:BH70" si="198">IF(M48&gt;N48+(SUM(O48:BG48)),N48,M48-(SUM(O48:BG48)))</f>
        <v>0</v>
      </c>
      <c r="BI48">
        <f t="shared" ref="BI48:BI70" si="199">IF(M48&gt;N48+(SUM(O48:BH48)),N48,M48-(SUM(O48:BH48)))</f>
        <v>0</v>
      </c>
      <c r="BJ48">
        <f t="shared" ref="BJ48:BJ70" si="200">IF(M48&gt;N48+(SUM(O48:BI48)),N48,M48-(SUM(O48:BI48)))</f>
        <v>0</v>
      </c>
      <c r="BK48">
        <f t="shared" ref="BK48:BK70" si="201">IF(M48&gt;N48+(SUM(O48:BJ48)),N48,M48-(SUM(O48:BJ48)))</f>
        <v>0</v>
      </c>
      <c r="BL48">
        <f t="shared" ref="BL48:BL70" si="202">IF(M48&gt;N48+(SUM(O48:BK48)),N48,M48-(SUM(O48:BK48)))</f>
        <v>0</v>
      </c>
      <c r="BM48">
        <f t="shared" ref="BM48:BM70" si="203">IF(M48&gt;N48+(SUM(O48:BL48)),N48,M48-(SUM(O48:BL48)))</f>
        <v>0</v>
      </c>
      <c r="BN48">
        <f t="shared" ref="BN48:BN70" si="204">IF(M48&gt;N48+(SUM(O48:BM48)),N48,M48-(SUM(O48:BM48)))</f>
        <v>0</v>
      </c>
      <c r="BO48">
        <f t="shared" ref="BO48:BO70" si="205">IF(M48&gt;N48+(SUM(O48:BN48)),N48,M48-(SUM(O48:BN48)))</f>
        <v>0</v>
      </c>
      <c r="BP48">
        <f t="shared" ref="BP48:BP70" si="206">IF(M48&gt;N48+(SUM(O48:BO48)),N48,M48-(SUM(O48:BO48)))</f>
        <v>0</v>
      </c>
      <c r="BQ48">
        <f t="shared" ref="BQ48:BQ70" si="207">IF(M48&gt;N48+(SUM(O48:BP48)),N48,M48-(SUM(O48:BP48)))</f>
        <v>0</v>
      </c>
      <c r="BR48">
        <f t="shared" ref="BR48:BR70" si="208">IF(M48&gt;N48+(SUM(O48:BQ48)),N48,M48-(SUM(O48:BQ48)))</f>
        <v>0</v>
      </c>
      <c r="BS48">
        <f t="shared" ref="BS48:BS70" si="209">IF(M48&gt;N48+(SUM(O48:BR48)),N48,M48-(SUM(O48:BR48)))</f>
        <v>0</v>
      </c>
      <c r="BT48">
        <f t="shared" ref="BT48:BT70" si="210">IF(M48&gt;N48+(SUM(O48:BS48)),N48,M48-(SUM(O48:BS48)))</f>
        <v>0</v>
      </c>
      <c r="BU48">
        <f t="shared" ref="BU48:BU70" si="211">IF(M48&gt;N48+(SUM(O48:BT48)),N48,M48-(SUM(O48:BT48)))</f>
        <v>0</v>
      </c>
      <c r="BV48">
        <f t="shared" ref="BV48:BV70" si="212">IF(M48&gt;N48+(SUM(O48:BU48)),N48,M48-(SUM(O48:BU48)))</f>
        <v>0</v>
      </c>
    </row>
    <row r="49" spans="1:74" x14ac:dyDescent="0.25">
      <c r="A49" s="81">
        <v>46</v>
      </c>
      <c r="B49">
        <f>IF(A49&gt;0,FABRICAR!F47,NA())</f>
        <v>0</v>
      </c>
      <c r="C49">
        <f>IF(A49&gt;0,FABRICAR!G47,NA())</f>
        <v>0</v>
      </c>
      <c r="D49" s="1" t="str">
        <f t="shared" si="151"/>
        <v>00</v>
      </c>
      <c r="E49">
        <f>IF(A49&gt;0,FABRICAR!P60,"")</f>
        <v>0</v>
      </c>
      <c r="F49" t="str">
        <f t="shared" si="152"/>
        <v/>
      </c>
      <c r="H49">
        <f>IF(A49&gt;0,FABRICAR!H47,NA())</f>
        <v>0</v>
      </c>
      <c r="I49" t="str">
        <f>IF(A49&gt;0,FABRICAR!B47,NA())</f>
        <v/>
      </c>
      <c r="J49" s="75">
        <f t="shared" si="4"/>
        <v>0</v>
      </c>
      <c r="K49">
        <f>IF(A49&gt;0,FABRICAR!J47,NA())</f>
        <v>0</v>
      </c>
      <c r="L49" s="9">
        <f t="shared" si="153"/>
        <v>0</v>
      </c>
      <c r="M49">
        <f>IF(A49&gt;0,FABRICAR!N47,NA())</f>
        <v>0</v>
      </c>
      <c r="N49">
        <f>IF(B49=0,B49,IF(A49&gt;0,FABRICAR!M47,"")*9)</f>
        <v>0</v>
      </c>
      <c r="O49" s="3">
        <f t="shared" si="154"/>
        <v>0</v>
      </c>
      <c r="P49">
        <f t="shared" si="155"/>
        <v>0</v>
      </c>
      <c r="Q49">
        <f t="shared" si="156"/>
        <v>0</v>
      </c>
      <c r="R49">
        <f t="shared" si="157"/>
        <v>0</v>
      </c>
      <c r="S49">
        <f t="shared" si="158"/>
        <v>0</v>
      </c>
      <c r="T49">
        <f t="shared" si="159"/>
        <v>0</v>
      </c>
      <c r="U49">
        <f t="shared" si="160"/>
        <v>0</v>
      </c>
      <c r="V49">
        <f t="shared" si="161"/>
        <v>0</v>
      </c>
      <c r="W49">
        <f t="shared" si="162"/>
        <v>0</v>
      </c>
      <c r="X49">
        <f t="shared" si="163"/>
        <v>0</v>
      </c>
      <c r="Y49">
        <f t="shared" si="164"/>
        <v>0</v>
      </c>
      <c r="Z49">
        <f t="shared" si="165"/>
        <v>0</v>
      </c>
      <c r="AA49">
        <f t="shared" si="166"/>
        <v>0</v>
      </c>
      <c r="AB49">
        <f t="shared" si="167"/>
        <v>0</v>
      </c>
      <c r="AC49">
        <f t="shared" si="168"/>
        <v>0</v>
      </c>
      <c r="AD49">
        <f t="shared" si="169"/>
        <v>0</v>
      </c>
      <c r="AE49">
        <f t="shared" si="170"/>
        <v>0</v>
      </c>
      <c r="AF49">
        <f t="shared" si="171"/>
        <v>0</v>
      </c>
      <c r="AG49">
        <f t="shared" si="172"/>
        <v>0</v>
      </c>
      <c r="AH49">
        <f t="shared" si="173"/>
        <v>0</v>
      </c>
      <c r="AI49">
        <f t="shared" si="174"/>
        <v>0</v>
      </c>
      <c r="AJ49">
        <f t="shared" si="175"/>
        <v>0</v>
      </c>
      <c r="AK49">
        <f t="shared" si="176"/>
        <v>0</v>
      </c>
      <c r="AL49">
        <f t="shared" si="177"/>
        <v>0</v>
      </c>
      <c r="AM49">
        <f t="shared" si="178"/>
        <v>0</v>
      </c>
      <c r="AN49">
        <f t="shared" si="179"/>
        <v>0</v>
      </c>
      <c r="AO49">
        <f t="shared" si="180"/>
        <v>0</v>
      </c>
      <c r="AP49">
        <f t="shared" si="181"/>
        <v>0</v>
      </c>
      <c r="AQ49">
        <f t="shared" si="182"/>
        <v>0</v>
      </c>
      <c r="AR49">
        <f t="shared" si="183"/>
        <v>0</v>
      </c>
      <c r="AS49">
        <f t="shared" si="184"/>
        <v>0</v>
      </c>
      <c r="AT49">
        <f t="shared" si="185"/>
        <v>0</v>
      </c>
      <c r="AU49">
        <f t="shared" si="186"/>
        <v>0</v>
      </c>
      <c r="AV49">
        <f t="shared" si="187"/>
        <v>0</v>
      </c>
      <c r="AW49">
        <f t="shared" si="188"/>
        <v>0</v>
      </c>
      <c r="AX49">
        <f t="shared" si="189"/>
        <v>0</v>
      </c>
      <c r="AY49">
        <f>IF(M49&gt;N49+(SUM(O49:AX49)),N49,M49-(SUM($O49:AX49)))</f>
        <v>0</v>
      </c>
      <c r="AZ49">
        <f t="shared" si="190"/>
        <v>0</v>
      </c>
      <c r="BA49">
        <f t="shared" si="191"/>
        <v>0</v>
      </c>
      <c r="BB49">
        <f t="shared" si="192"/>
        <v>0</v>
      </c>
      <c r="BC49">
        <f t="shared" si="193"/>
        <v>0</v>
      </c>
      <c r="BD49">
        <f t="shared" si="194"/>
        <v>0</v>
      </c>
      <c r="BE49">
        <f t="shared" si="195"/>
        <v>0</v>
      </c>
      <c r="BF49">
        <f t="shared" si="196"/>
        <v>0</v>
      </c>
      <c r="BG49">
        <f t="shared" si="197"/>
        <v>0</v>
      </c>
      <c r="BH49">
        <f t="shared" si="198"/>
        <v>0</v>
      </c>
      <c r="BI49">
        <f t="shared" si="199"/>
        <v>0</v>
      </c>
      <c r="BJ49">
        <f t="shared" si="200"/>
        <v>0</v>
      </c>
      <c r="BK49">
        <f t="shared" si="201"/>
        <v>0</v>
      </c>
      <c r="BL49">
        <f t="shared" si="202"/>
        <v>0</v>
      </c>
      <c r="BM49">
        <f t="shared" si="203"/>
        <v>0</v>
      </c>
      <c r="BN49">
        <f t="shared" si="204"/>
        <v>0</v>
      </c>
      <c r="BO49">
        <f t="shared" si="205"/>
        <v>0</v>
      </c>
      <c r="BP49">
        <f t="shared" si="206"/>
        <v>0</v>
      </c>
      <c r="BQ49">
        <f t="shared" si="207"/>
        <v>0</v>
      </c>
      <c r="BR49">
        <f t="shared" si="208"/>
        <v>0</v>
      </c>
      <c r="BS49">
        <f t="shared" si="209"/>
        <v>0</v>
      </c>
      <c r="BT49">
        <f t="shared" si="210"/>
        <v>0</v>
      </c>
      <c r="BU49">
        <f t="shared" si="211"/>
        <v>0</v>
      </c>
      <c r="BV49">
        <f t="shared" si="212"/>
        <v>0</v>
      </c>
    </row>
    <row r="50" spans="1:74" x14ac:dyDescent="0.25">
      <c r="A50" s="81">
        <v>47</v>
      </c>
      <c r="B50">
        <f>IF(A50&gt;0,FABRICAR!F48,NA())</f>
        <v>0</v>
      </c>
      <c r="C50">
        <f>IF(A50&gt;0,FABRICAR!G48,NA())</f>
        <v>0</v>
      </c>
      <c r="D50" s="1" t="str">
        <f t="shared" si="151"/>
        <v>00</v>
      </c>
      <c r="E50">
        <f>IF(A50&gt;0,FABRICAR!P61,"")</f>
        <v>0</v>
      </c>
      <c r="F50" t="str">
        <f t="shared" si="152"/>
        <v/>
      </c>
      <c r="H50">
        <f>IF(A50&gt;0,FABRICAR!H48,NA())</f>
        <v>0</v>
      </c>
      <c r="I50" t="str">
        <f>IF(A50&gt;0,FABRICAR!B48,NA())</f>
        <v/>
      </c>
      <c r="J50" s="75">
        <f t="shared" si="4"/>
        <v>0</v>
      </c>
      <c r="K50">
        <f>IF(A50&gt;0,FABRICAR!J48,NA())</f>
        <v>0</v>
      </c>
      <c r="L50" s="9">
        <f t="shared" si="153"/>
        <v>0</v>
      </c>
      <c r="M50">
        <f>IF(A50&gt;0,FABRICAR!N48,NA())</f>
        <v>0</v>
      </c>
      <c r="N50">
        <f>IF(B50=0,B50,IF(A50&gt;0,FABRICAR!M48,"")*9)</f>
        <v>0</v>
      </c>
      <c r="O50" s="3">
        <f t="shared" si="154"/>
        <v>0</v>
      </c>
      <c r="P50">
        <f t="shared" si="155"/>
        <v>0</v>
      </c>
      <c r="Q50">
        <f t="shared" si="156"/>
        <v>0</v>
      </c>
      <c r="R50">
        <f t="shared" si="157"/>
        <v>0</v>
      </c>
      <c r="S50">
        <f t="shared" si="158"/>
        <v>0</v>
      </c>
      <c r="T50">
        <f t="shared" si="159"/>
        <v>0</v>
      </c>
      <c r="U50">
        <f t="shared" si="160"/>
        <v>0</v>
      </c>
      <c r="V50">
        <f t="shared" si="161"/>
        <v>0</v>
      </c>
      <c r="W50">
        <f t="shared" si="162"/>
        <v>0</v>
      </c>
      <c r="X50">
        <f t="shared" si="163"/>
        <v>0</v>
      </c>
      <c r="Y50">
        <f t="shared" si="164"/>
        <v>0</v>
      </c>
      <c r="Z50">
        <f t="shared" si="165"/>
        <v>0</v>
      </c>
      <c r="AA50">
        <f t="shared" si="166"/>
        <v>0</v>
      </c>
      <c r="AB50">
        <f t="shared" si="167"/>
        <v>0</v>
      </c>
      <c r="AC50">
        <f t="shared" si="168"/>
        <v>0</v>
      </c>
      <c r="AD50">
        <f t="shared" si="169"/>
        <v>0</v>
      </c>
      <c r="AE50">
        <f t="shared" si="170"/>
        <v>0</v>
      </c>
      <c r="AF50">
        <f t="shared" si="171"/>
        <v>0</v>
      </c>
      <c r="AG50">
        <f t="shared" si="172"/>
        <v>0</v>
      </c>
      <c r="AH50">
        <f t="shared" si="173"/>
        <v>0</v>
      </c>
      <c r="AI50">
        <f t="shared" si="174"/>
        <v>0</v>
      </c>
      <c r="AJ50">
        <f t="shared" si="175"/>
        <v>0</v>
      </c>
      <c r="AK50">
        <f t="shared" si="176"/>
        <v>0</v>
      </c>
      <c r="AL50">
        <f t="shared" si="177"/>
        <v>0</v>
      </c>
      <c r="AM50">
        <f t="shared" si="178"/>
        <v>0</v>
      </c>
      <c r="AN50">
        <f t="shared" si="179"/>
        <v>0</v>
      </c>
      <c r="AO50">
        <f t="shared" si="180"/>
        <v>0</v>
      </c>
      <c r="AP50">
        <f t="shared" si="181"/>
        <v>0</v>
      </c>
      <c r="AQ50">
        <f t="shared" si="182"/>
        <v>0</v>
      </c>
      <c r="AR50">
        <f t="shared" si="183"/>
        <v>0</v>
      </c>
      <c r="AS50">
        <f t="shared" si="184"/>
        <v>0</v>
      </c>
      <c r="AT50">
        <f t="shared" si="185"/>
        <v>0</v>
      </c>
      <c r="AU50">
        <f t="shared" si="186"/>
        <v>0</v>
      </c>
      <c r="AV50">
        <f t="shared" si="187"/>
        <v>0</v>
      </c>
      <c r="AW50">
        <f t="shared" si="188"/>
        <v>0</v>
      </c>
      <c r="AX50">
        <f t="shared" si="189"/>
        <v>0</v>
      </c>
      <c r="AY50">
        <f>IF(M50&gt;N50+(SUM(O50:AX50)),N50,M50-(SUM($O50:AX50)))</f>
        <v>0</v>
      </c>
      <c r="AZ50">
        <f t="shared" si="190"/>
        <v>0</v>
      </c>
      <c r="BA50">
        <f t="shared" si="191"/>
        <v>0</v>
      </c>
      <c r="BB50">
        <f t="shared" si="192"/>
        <v>0</v>
      </c>
      <c r="BC50">
        <f t="shared" si="193"/>
        <v>0</v>
      </c>
      <c r="BD50">
        <f t="shared" si="194"/>
        <v>0</v>
      </c>
      <c r="BE50">
        <f t="shared" si="195"/>
        <v>0</v>
      </c>
      <c r="BF50">
        <f t="shared" si="196"/>
        <v>0</v>
      </c>
      <c r="BG50">
        <f t="shared" si="197"/>
        <v>0</v>
      </c>
      <c r="BH50">
        <f t="shared" si="198"/>
        <v>0</v>
      </c>
      <c r="BI50">
        <f t="shared" si="199"/>
        <v>0</v>
      </c>
      <c r="BJ50">
        <f t="shared" si="200"/>
        <v>0</v>
      </c>
      <c r="BK50">
        <f t="shared" si="201"/>
        <v>0</v>
      </c>
      <c r="BL50">
        <f t="shared" si="202"/>
        <v>0</v>
      </c>
      <c r="BM50">
        <f t="shared" si="203"/>
        <v>0</v>
      </c>
      <c r="BN50">
        <f t="shared" si="204"/>
        <v>0</v>
      </c>
      <c r="BO50">
        <f t="shared" si="205"/>
        <v>0</v>
      </c>
      <c r="BP50">
        <f t="shared" si="206"/>
        <v>0</v>
      </c>
      <c r="BQ50">
        <f t="shared" si="207"/>
        <v>0</v>
      </c>
      <c r="BR50">
        <f t="shared" si="208"/>
        <v>0</v>
      </c>
      <c r="BS50">
        <f t="shared" si="209"/>
        <v>0</v>
      </c>
      <c r="BT50">
        <f t="shared" si="210"/>
        <v>0</v>
      </c>
      <c r="BU50">
        <f t="shared" si="211"/>
        <v>0</v>
      </c>
      <c r="BV50">
        <f t="shared" si="212"/>
        <v>0</v>
      </c>
    </row>
    <row r="51" spans="1:74" x14ac:dyDescent="0.25">
      <c r="A51" s="81">
        <v>48</v>
      </c>
      <c r="B51">
        <f>IF(A51&gt;0,FABRICAR!F49,NA())</f>
        <v>0</v>
      </c>
      <c r="C51">
        <f>IF(A51&gt;0,FABRICAR!G49,NA())</f>
        <v>0</v>
      </c>
      <c r="D51" s="1" t="str">
        <f t="shared" si="151"/>
        <v>00</v>
      </c>
      <c r="E51">
        <f>IF(A51&gt;0,FABRICAR!P62,"")</f>
        <v>0</v>
      </c>
      <c r="F51" t="str">
        <f t="shared" si="152"/>
        <v/>
      </c>
      <c r="H51">
        <f>IF(A51&gt;0,FABRICAR!H49,NA())</f>
        <v>0</v>
      </c>
      <c r="I51" t="str">
        <f>IF(A51&gt;0,FABRICAR!B49,NA())</f>
        <v/>
      </c>
      <c r="J51" s="75">
        <f t="shared" si="4"/>
        <v>0</v>
      </c>
      <c r="K51">
        <f>IF(A51&gt;0,FABRICAR!J49,NA())</f>
        <v>0</v>
      </c>
      <c r="L51" s="9">
        <f t="shared" si="153"/>
        <v>0</v>
      </c>
      <c r="M51">
        <f>IF(A51&gt;0,FABRICAR!N49,NA())</f>
        <v>0</v>
      </c>
      <c r="N51">
        <f>IF(B51=0,B51,IF(A51&gt;0,FABRICAR!M49,"")*9)</f>
        <v>0</v>
      </c>
      <c r="O51" s="3">
        <f t="shared" si="154"/>
        <v>0</v>
      </c>
      <c r="P51">
        <f t="shared" si="155"/>
        <v>0</v>
      </c>
      <c r="Q51">
        <f t="shared" si="156"/>
        <v>0</v>
      </c>
      <c r="R51">
        <f t="shared" si="157"/>
        <v>0</v>
      </c>
      <c r="S51">
        <f t="shared" si="158"/>
        <v>0</v>
      </c>
      <c r="T51">
        <f t="shared" si="159"/>
        <v>0</v>
      </c>
      <c r="U51">
        <f t="shared" si="160"/>
        <v>0</v>
      </c>
      <c r="V51">
        <f t="shared" si="161"/>
        <v>0</v>
      </c>
      <c r="W51">
        <f t="shared" si="162"/>
        <v>0</v>
      </c>
      <c r="X51">
        <f t="shared" si="163"/>
        <v>0</v>
      </c>
      <c r="Y51">
        <f t="shared" si="164"/>
        <v>0</v>
      </c>
      <c r="Z51">
        <f t="shared" si="165"/>
        <v>0</v>
      </c>
      <c r="AA51">
        <f t="shared" si="166"/>
        <v>0</v>
      </c>
      <c r="AB51">
        <f t="shared" si="167"/>
        <v>0</v>
      </c>
      <c r="AC51">
        <f t="shared" si="168"/>
        <v>0</v>
      </c>
      <c r="AD51">
        <f t="shared" si="169"/>
        <v>0</v>
      </c>
      <c r="AE51">
        <f t="shared" si="170"/>
        <v>0</v>
      </c>
      <c r="AF51">
        <f t="shared" si="171"/>
        <v>0</v>
      </c>
      <c r="AG51">
        <f t="shared" si="172"/>
        <v>0</v>
      </c>
      <c r="AH51">
        <f t="shared" si="173"/>
        <v>0</v>
      </c>
      <c r="AI51">
        <f t="shared" si="174"/>
        <v>0</v>
      </c>
      <c r="AJ51">
        <f t="shared" si="175"/>
        <v>0</v>
      </c>
      <c r="AK51">
        <f t="shared" si="176"/>
        <v>0</v>
      </c>
      <c r="AL51">
        <f t="shared" si="177"/>
        <v>0</v>
      </c>
      <c r="AM51">
        <f t="shared" si="178"/>
        <v>0</v>
      </c>
      <c r="AN51">
        <f t="shared" si="179"/>
        <v>0</v>
      </c>
      <c r="AO51">
        <f t="shared" si="180"/>
        <v>0</v>
      </c>
      <c r="AP51">
        <f t="shared" si="181"/>
        <v>0</v>
      </c>
      <c r="AQ51">
        <f t="shared" si="182"/>
        <v>0</v>
      </c>
      <c r="AR51">
        <f t="shared" si="183"/>
        <v>0</v>
      </c>
      <c r="AS51">
        <f t="shared" si="184"/>
        <v>0</v>
      </c>
      <c r="AT51">
        <f t="shared" si="185"/>
        <v>0</v>
      </c>
      <c r="AU51">
        <f t="shared" si="186"/>
        <v>0</v>
      </c>
      <c r="AV51">
        <f t="shared" si="187"/>
        <v>0</v>
      </c>
      <c r="AW51">
        <f t="shared" si="188"/>
        <v>0</v>
      </c>
      <c r="AX51">
        <f t="shared" si="189"/>
        <v>0</v>
      </c>
      <c r="AY51">
        <f>IF(M51&gt;N51+(SUM(O51:AX51)),N51,M51-(SUM($O51:AX51)))</f>
        <v>0</v>
      </c>
      <c r="AZ51">
        <f t="shared" si="190"/>
        <v>0</v>
      </c>
      <c r="BA51">
        <f t="shared" si="191"/>
        <v>0</v>
      </c>
      <c r="BB51">
        <f t="shared" si="192"/>
        <v>0</v>
      </c>
      <c r="BC51">
        <f t="shared" si="193"/>
        <v>0</v>
      </c>
      <c r="BD51">
        <f t="shared" si="194"/>
        <v>0</v>
      </c>
      <c r="BE51">
        <f t="shared" si="195"/>
        <v>0</v>
      </c>
      <c r="BF51">
        <f t="shared" si="196"/>
        <v>0</v>
      </c>
      <c r="BG51">
        <f t="shared" si="197"/>
        <v>0</v>
      </c>
      <c r="BH51">
        <f t="shared" si="198"/>
        <v>0</v>
      </c>
      <c r="BI51">
        <f t="shared" si="199"/>
        <v>0</v>
      </c>
      <c r="BJ51">
        <f t="shared" si="200"/>
        <v>0</v>
      </c>
      <c r="BK51">
        <f t="shared" si="201"/>
        <v>0</v>
      </c>
      <c r="BL51">
        <f t="shared" si="202"/>
        <v>0</v>
      </c>
      <c r="BM51">
        <f t="shared" si="203"/>
        <v>0</v>
      </c>
      <c r="BN51">
        <f t="shared" si="204"/>
        <v>0</v>
      </c>
      <c r="BO51">
        <f t="shared" si="205"/>
        <v>0</v>
      </c>
      <c r="BP51">
        <f t="shared" si="206"/>
        <v>0</v>
      </c>
      <c r="BQ51">
        <f t="shared" si="207"/>
        <v>0</v>
      </c>
      <c r="BR51">
        <f t="shared" si="208"/>
        <v>0</v>
      </c>
      <c r="BS51">
        <f t="shared" si="209"/>
        <v>0</v>
      </c>
      <c r="BT51">
        <f t="shared" si="210"/>
        <v>0</v>
      </c>
      <c r="BU51">
        <f t="shared" si="211"/>
        <v>0</v>
      </c>
      <c r="BV51">
        <f t="shared" si="212"/>
        <v>0</v>
      </c>
    </row>
    <row r="52" spans="1:74" x14ac:dyDescent="0.25">
      <c r="A52" s="81">
        <v>49</v>
      </c>
      <c r="B52">
        <f>IF(A52&gt;0,FABRICAR!F50,NA())</f>
        <v>0</v>
      </c>
      <c r="C52">
        <f>IF(A52&gt;0,FABRICAR!G50,NA())</f>
        <v>0</v>
      </c>
      <c r="D52" s="1" t="str">
        <f t="shared" si="151"/>
        <v>00</v>
      </c>
      <c r="E52">
        <f>IF(A52&gt;0,FABRICAR!P63,"")</f>
        <v>0</v>
      </c>
      <c r="F52" t="str">
        <f t="shared" si="152"/>
        <v/>
      </c>
      <c r="H52">
        <f>IF(A52&gt;0,FABRICAR!H50,NA())</f>
        <v>0</v>
      </c>
      <c r="I52" t="str">
        <f>IF(A52&gt;0,FABRICAR!B50,NA())</f>
        <v/>
      </c>
      <c r="J52" s="75">
        <f t="shared" si="4"/>
        <v>0</v>
      </c>
      <c r="K52">
        <f>IF(A52&gt;0,FABRICAR!J50,NA())</f>
        <v>0</v>
      </c>
      <c r="L52" s="9">
        <f t="shared" si="153"/>
        <v>0</v>
      </c>
      <c r="M52">
        <f>IF(A52&gt;0,FABRICAR!N50,NA())</f>
        <v>0</v>
      </c>
      <c r="N52">
        <f>IF(B52=0,B52,IF(A52&gt;0,FABRICAR!M50,"")*9)</f>
        <v>0</v>
      </c>
      <c r="O52" s="3">
        <f t="shared" si="154"/>
        <v>0</v>
      </c>
      <c r="P52">
        <f t="shared" si="155"/>
        <v>0</v>
      </c>
      <c r="Q52">
        <f t="shared" si="156"/>
        <v>0</v>
      </c>
      <c r="R52">
        <f t="shared" si="157"/>
        <v>0</v>
      </c>
      <c r="S52">
        <f t="shared" si="158"/>
        <v>0</v>
      </c>
      <c r="T52">
        <f t="shared" si="159"/>
        <v>0</v>
      </c>
      <c r="U52">
        <f t="shared" si="160"/>
        <v>0</v>
      </c>
      <c r="V52">
        <f t="shared" si="161"/>
        <v>0</v>
      </c>
      <c r="W52">
        <f t="shared" si="162"/>
        <v>0</v>
      </c>
      <c r="X52">
        <f t="shared" si="163"/>
        <v>0</v>
      </c>
      <c r="Y52">
        <f t="shared" si="164"/>
        <v>0</v>
      </c>
      <c r="Z52">
        <f t="shared" si="165"/>
        <v>0</v>
      </c>
      <c r="AA52">
        <f t="shared" si="166"/>
        <v>0</v>
      </c>
      <c r="AB52">
        <f t="shared" si="167"/>
        <v>0</v>
      </c>
      <c r="AC52">
        <f t="shared" si="168"/>
        <v>0</v>
      </c>
      <c r="AD52">
        <f t="shared" si="169"/>
        <v>0</v>
      </c>
      <c r="AE52">
        <f t="shared" si="170"/>
        <v>0</v>
      </c>
      <c r="AF52">
        <f t="shared" si="171"/>
        <v>0</v>
      </c>
      <c r="AG52">
        <f t="shared" si="172"/>
        <v>0</v>
      </c>
      <c r="AH52">
        <f t="shared" si="173"/>
        <v>0</v>
      </c>
      <c r="AI52">
        <f t="shared" si="174"/>
        <v>0</v>
      </c>
      <c r="AJ52">
        <f t="shared" si="175"/>
        <v>0</v>
      </c>
      <c r="AK52">
        <f t="shared" si="176"/>
        <v>0</v>
      </c>
      <c r="AL52">
        <f t="shared" si="177"/>
        <v>0</v>
      </c>
      <c r="AM52">
        <f t="shared" si="178"/>
        <v>0</v>
      </c>
      <c r="AN52">
        <f t="shared" si="179"/>
        <v>0</v>
      </c>
      <c r="AO52">
        <f t="shared" si="180"/>
        <v>0</v>
      </c>
      <c r="AP52">
        <f t="shared" si="181"/>
        <v>0</v>
      </c>
      <c r="AQ52">
        <f t="shared" si="182"/>
        <v>0</v>
      </c>
      <c r="AR52">
        <f t="shared" si="183"/>
        <v>0</v>
      </c>
      <c r="AS52">
        <f t="shared" si="184"/>
        <v>0</v>
      </c>
      <c r="AT52">
        <f t="shared" si="185"/>
        <v>0</v>
      </c>
      <c r="AU52">
        <f t="shared" si="186"/>
        <v>0</v>
      </c>
      <c r="AV52">
        <f t="shared" si="187"/>
        <v>0</v>
      </c>
      <c r="AW52">
        <f t="shared" si="188"/>
        <v>0</v>
      </c>
      <c r="AX52">
        <f t="shared" si="189"/>
        <v>0</v>
      </c>
      <c r="AY52">
        <f>IF(M52&gt;N52+(SUM(O52:AX52)),N52,M52-(SUM($O52:AX52)))</f>
        <v>0</v>
      </c>
      <c r="AZ52">
        <f t="shared" si="190"/>
        <v>0</v>
      </c>
      <c r="BA52">
        <f t="shared" si="191"/>
        <v>0</v>
      </c>
      <c r="BB52">
        <f t="shared" si="192"/>
        <v>0</v>
      </c>
      <c r="BC52">
        <f t="shared" si="193"/>
        <v>0</v>
      </c>
      <c r="BD52">
        <f t="shared" si="194"/>
        <v>0</v>
      </c>
      <c r="BE52">
        <f t="shared" si="195"/>
        <v>0</v>
      </c>
      <c r="BF52">
        <f t="shared" si="196"/>
        <v>0</v>
      </c>
      <c r="BG52">
        <f t="shared" si="197"/>
        <v>0</v>
      </c>
      <c r="BH52">
        <f t="shared" si="198"/>
        <v>0</v>
      </c>
      <c r="BI52">
        <f t="shared" si="199"/>
        <v>0</v>
      </c>
      <c r="BJ52">
        <f t="shared" si="200"/>
        <v>0</v>
      </c>
      <c r="BK52">
        <f t="shared" si="201"/>
        <v>0</v>
      </c>
      <c r="BL52">
        <f t="shared" si="202"/>
        <v>0</v>
      </c>
      <c r="BM52">
        <f t="shared" si="203"/>
        <v>0</v>
      </c>
      <c r="BN52">
        <f t="shared" si="204"/>
        <v>0</v>
      </c>
      <c r="BO52">
        <f t="shared" si="205"/>
        <v>0</v>
      </c>
      <c r="BP52">
        <f t="shared" si="206"/>
        <v>0</v>
      </c>
      <c r="BQ52">
        <f t="shared" si="207"/>
        <v>0</v>
      </c>
      <c r="BR52">
        <f t="shared" si="208"/>
        <v>0</v>
      </c>
      <c r="BS52">
        <f t="shared" si="209"/>
        <v>0</v>
      </c>
      <c r="BT52">
        <f t="shared" si="210"/>
        <v>0</v>
      </c>
      <c r="BU52">
        <f t="shared" si="211"/>
        <v>0</v>
      </c>
      <c r="BV52">
        <f t="shared" si="212"/>
        <v>0</v>
      </c>
    </row>
    <row r="53" spans="1:74" x14ac:dyDescent="0.25">
      <c r="A53" s="81">
        <v>50</v>
      </c>
      <c r="B53">
        <f>IF(A53&gt;0,FABRICAR!F51,NA())</f>
        <v>0</v>
      </c>
      <c r="C53">
        <f>IF(A53&gt;0,FABRICAR!G51,NA())</f>
        <v>0</v>
      </c>
      <c r="D53" s="1" t="str">
        <f t="shared" si="151"/>
        <v>00</v>
      </c>
      <c r="E53">
        <f>IF(A53&gt;0,FABRICAR!P64,"")</f>
        <v>0</v>
      </c>
      <c r="F53" t="str">
        <f t="shared" si="152"/>
        <v/>
      </c>
      <c r="H53">
        <f>IF(A53&gt;0,FABRICAR!H51,NA())</f>
        <v>0</v>
      </c>
      <c r="I53" t="str">
        <f>IF(A53&gt;0,FABRICAR!B51,NA())</f>
        <v/>
      </c>
      <c r="J53" s="75">
        <f t="shared" si="4"/>
        <v>0</v>
      </c>
      <c r="K53">
        <f>IF(A53&gt;0,FABRICAR!J51,NA())</f>
        <v>0</v>
      </c>
      <c r="L53" s="9">
        <f t="shared" si="153"/>
        <v>0</v>
      </c>
      <c r="M53">
        <f>IF(A53&gt;0,FABRICAR!N51,NA())</f>
        <v>0</v>
      </c>
      <c r="N53">
        <f>IF(B53=0,B53,IF(A53&gt;0,FABRICAR!M51,"")*9)</f>
        <v>0</v>
      </c>
      <c r="O53" s="3">
        <f t="shared" si="154"/>
        <v>0</v>
      </c>
      <c r="P53">
        <f t="shared" si="155"/>
        <v>0</v>
      </c>
      <c r="Q53">
        <f t="shared" si="156"/>
        <v>0</v>
      </c>
      <c r="R53">
        <f t="shared" si="157"/>
        <v>0</v>
      </c>
      <c r="S53">
        <f t="shared" si="158"/>
        <v>0</v>
      </c>
      <c r="T53">
        <f t="shared" si="159"/>
        <v>0</v>
      </c>
      <c r="U53">
        <f t="shared" si="160"/>
        <v>0</v>
      </c>
      <c r="V53">
        <f t="shared" si="161"/>
        <v>0</v>
      </c>
      <c r="W53">
        <f t="shared" si="162"/>
        <v>0</v>
      </c>
      <c r="X53">
        <f t="shared" si="163"/>
        <v>0</v>
      </c>
      <c r="Y53">
        <f t="shared" si="164"/>
        <v>0</v>
      </c>
      <c r="Z53">
        <f t="shared" si="165"/>
        <v>0</v>
      </c>
      <c r="AA53">
        <f t="shared" si="166"/>
        <v>0</v>
      </c>
      <c r="AB53">
        <f t="shared" si="167"/>
        <v>0</v>
      </c>
      <c r="AC53">
        <f t="shared" si="168"/>
        <v>0</v>
      </c>
      <c r="AD53">
        <f t="shared" si="169"/>
        <v>0</v>
      </c>
      <c r="AE53">
        <f t="shared" si="170"/>
        <v>0</v>
      </c>
      <c r="AF53">
        <f t="shared" si="171"/>
        <v>0</v>
      </c>
      <c r="AG53">
        <f t="shared" si="172"/>
        <v>0</v>
      </c>
      <c r="AH53">
        <f t="shared" si="173"/>
        <v>0</v>
      </c>
      <c r="AI53">
        <f t="shared" si="174"/>
        <v>0</v>
      </c>
      <c r="AJ53">
        <f t="shared" si="175"/>
        <v>0</v>
      </c>
      <c r="AK53">
        <f t="shared" si="176"/>
        <v>0</v>
      </c>
      <c r="AL53">
        <f t="shared" si="177"/>
        <v>0</v>
      </c>
      <c r="AM53">
        <f t="shared" si="178"/>
        <v>0</v>
      </c>
      <c r="AN53">
        <f t="shared" si="179"/>
        <v>0</v>
      </c>
      <c r="AO53">
        <f t="shared" si="180"/>
        <v>0</v>
      </c>
      <c r="AP53">
        <f t="shared" si="181"/>
        <v>0</v>
      </c>
      <c r="AQ53">
        <f t="shared" si="182"/>
        <v>0</v>
      </c>
      <c r="AR53">
        <f t="shared" si="183"/>
        <v>0</v>
      </c>
      <c r="AS53">
        <f t="shared" si="184"/>
        <v>0</v>
      </c>
      <c r="AT53">
        <f t="shared" si="185"/>
        <v>0</v>
      </c>
      <c r="AU53">
        <f t="shared" si="186"/>
        <v>0</v>
      </c>
      <c r="AV53">
        <f t="shared" si="187"/>
        <v>0</v>
      </c>
      <c r="AW53">
        <f t="shared" si="188"/>
        <v>0</v>
      </c>
      <c r="AX53">
        <f t="shared" si="189"/>
        <v>0</v>
      </c>
      <c r="AY53">
        <f>IF(M53&gt;N53+(SUM(O53:AX53)),N53,M53-(SUM($O53:AX53)))</f>
        <v>0</v>
      </c>
      <c r="AZ53">
        <f t="shared" si="190"/>
        <v>0</v>
      </c>
      <c r="BA53">
        <f t="shared" si="191"/>
        <v>0</v>
      </c>
      <c r="BB53">
        <f t="shared" si="192"/>
        <v>0</v>
      </c>
      <c r="BC53">
        <f t="shared" si="193"/>
        <v>0</v>
      </c>
      <c r="BD53">
        <f t="shared" si="194"/>
        <v>0</v>
      </c>
      <c r="BE53">
        <f t="shared" si="195"/>
        <v>0</v>
      </c>
      <c r="BF53">
        <f t="shared" si="196"/>
        <v>0</v>
      </c>
      <c r="BG53">
        <f t="shared" si="197"/>
        <v>0</v>
      </c>
      <c r="BH53">
        <f t="shared" si="198"/>
        <v>0</v>
      </c>
      <c r="BI53">
        <f t="shared" si="199"/>
        <v>0</v>
      </c>
      <c r="BJ53">
        <f t="shared" si="200"/>
        <v>0</v>
      </c>
      <c r="BK53">
        <f t="shared" si="201"/>
        <v>0</v>
      </c>
      <c r="BL53">
        <f t="shared" si="202"/>
        <v>0</v>
      </c>
      <c r="BM53">
        <f t="shared" si="203"/>
        <v>0</v>
      </c>
      <c r="BN53">
        <f t="shared" si="204"/>
        <v>0</v>
      </c>
      <c r="BO53">
        <f t="shared" si="205"/>
        <v>0</v>
      </c>
      <c r="BP53">
        <f t="shared" si="206"/>
        <v>0</v>
      </c>
      <c r="BQ53">
        <f t="shared" si="207"/>
        <v>0</v>
      </c>
      <c r="BR53">
        <f t="shared" si="208"/>
        <v>0</v>
      </c>
      <c r="BS53">
        <f t="shared" si="209"/>
        <v>0</v>
      </c>
      <c r="BT53">
        <f t="shared" si="210"/>
        <v>0</v>
      </c>
      <c r="BU53">
        <f t="shared" si="211"/>
        <v>0</v>
      </c>
      <c r="BV53">
        <f t="shared" si="212"/>
        <v>0</v>
      </c>
    </row>
    <row r="54" spans="1:74" x14ac:dyDescent="0.25">
      <c r="A54" s="81">
        <v>51</v>
      </c>
      <c r="B54">
        <f>IF(A54&gt;0,FABRICAR!F52,NA())</f>
        <v>0</v>
      </c>
      <c r="C54">
        <f>IF(A54&gt;0,FABRICAR!G52,NA())</f>
        <v>0</v>
      </c>
      <c r="D54" s="1" t="str">
        <f t="shared" si="151"/>
        <v>00</v>
      </c>
      <c r="E54">
        <f>IF(A54&gt;0,FABRICAR!P65,"")</f>
        <v>0</v>
      </c>
      <c r="F54" t="str">
        <f t="shared" si="152"/>
        <v/>
      </c>
      <c r="H54">
        <f>IF(A54&gt;0,FABRICAR!H52,NA())</f>
        <v>0</v>
      </c>
      <c r="I54" t="str">
        <f>IF(A54&gt;0,FABRICAR!B52,NA())</f>
        <v/>
      </c>
      <c r="J54" s="75">
        <f t="shared" si="4"/>
        <v>0</v>
      </c>
      <c r="K54">
        <f>IF(A54&gt;0,FABRICAR!J52,NA())</f>
        <v>0</v>
      </c>
      <c r="L54" s="9">
        <f t="shared" si="153"/>
        <v>0</v>
      </c>
      <c r="M54">
        <f>IF(A54&gt;0,FABRICAR!N52,NA())</f>
        <v>0</v>
      </c>
      <c r="N54">
        <f>IF(B54=0,B54,IF(A54&gt;0,FABRICAR!M52,"")*9)</f>
        <v>0</v>
      </c>
      <c r="O54" s="3">
        <f t="shared" si="154"/>
        <v>0</v>
      </c>
      <c r="P54">
        <f t="shared" si="155"/>
        <v>0</v>
      </c>
      <c r="Q54">
        <f t="shared" si="156"/>
        <v>0</v>
      </c>
      <c r="R54">
        <f t="shared" si="157"/>
        <v>0</v>
      </c>
      <c r="S54">
        <f t="shared" si="158"/>
        <v>0</v>
      </c>
      <c r="T54">
        <f t="shared" si="159"/>
        <v>0</v>
      </c>
      <c r="U54">
        <f t="shared" si="160"/>
        <v>0</v>
      </c>
      <c r="V54">
        <f t="shared" si="161"/>
        <v>0</v>
      </c>
      <c r="W54">
        <f t="shared" si="162"/>
        <v>0</v>
      </c>
      <c r="X54">
        <f t="shared" si="163"/>
        <v>0</v>
      </c>
      <c r="Y54">
        <f t="shared" si="164"/>
        <v>0</v>
      </c>
      <c r="Z54">
        <f t="shared" si="165"/>
        <v>0</v>
      </c>
      <c r="AA54">
        <f t="shared" si="166"/>
        <v>0</v>
      </c>
      <c r="AB54">
        <f t="shared" si="167"/>
        <v>0</v>
      </c>
      <c r="AC54">
        <f t="shared" si="168"/>
        <v>0</v>
      </c>
      <c r="AD54">
        <f t="shared" si="169"/>
        <v>0</v>
      </c>
      <c r="AE54">
        <f t="shared" si="170"/>
        <v>0</v>
      </c>
      <c r="AF54">
        <f t="shared" si="171"/>
        <v>0</v>
      </c>
      <c r="AG54">
        <f t="shared" si="172"/>
        <v>0</v>
      </c>
      <c r="AH54">
        <f t="shared" si="173"/>
        <v>0</v>
      </c>
      <c r="AI54">
        <f t="shared" si="174"/>
        <v>0</v>
      </c>
      <c r="AJ54">
        <f t="shared" si="175"/>
        <v>0</v>
      </c>
      <c r="AK54">
        <f t="shared" si="176"/>
        <v>0</v>
      </c>
      <c r="AL54">
        <f t="shared" si="177"/>
        <v>0</v>
      </c>
      <c r="AM54">
        <f t="shared" si="178"/>
        <v>0</v>
      </c>
      <c r="AN54">
        <f t="shared" si="179"/>
        <v>0</v>
      </c>
      <c r="AO54">
        <f t="shared" si="180"/>
        <v>0</v>
      </c>
      <c r="AP54">
        <f t="shared" si="181"/>
        <v>0</v>
      </c>
      <c r="AQ54">
        <f t="shared" si="182"/>
        <v>0</v>
      </c>
      <c r="AR54">
        <f t="shared" si="183"/>
        <v>0</v>
      </c>
      <c r="AS54">
        <f t="shared" si="184"/>
        <v>0</v>
      </c>
      <c r="AT54">
        <f t="shared" si="185"/>
        <v>0</v>
      </c>
      <c r="AU54">
        <f t="shared" si="186"/>
        <v>0</v>
      </c>
      <c r="AV54">
        <f t="shared" si="187"/>
        <v>0</v>
      </c>
      <c r="AW54">
        <f t="shared" si="188"/>
        <v>0</v>
      </c>
      <c r="AX54">
        <f t="shared" si="189"/>
        <v>0</v>
      </c>
      <c r="AY54">
        <f>IF(M54&gt;N54+(SUM(O54:AX54)),N54,M54-(SUM($O54:AX54)))</f>
        <v>0</v>
      </c>
      <c r="AZ54">
        <f t="shared" si="190"/>
        <v>0</v>
      </c>
      <c r="BA54">
        <f t="shared" si="191"/>
        <v>0</v>
      </c>
      <c r="BB54">
        <f t="shared" si="192"/>
        <v>0</v>
      </c>
      <c r="BC54">
        <f t="shared" si="193"/>
        <v>0</v>
      </c>
      <c r="BD54">
        <f t="shared" si="194"/>
        <v>0</v>
      </c>
      <c r="BE54">
        <f t="shared" si="195"/>
        <v>0</v>
      </c>
      <c r="BF54">
        <f t="shared" si="196"/>
        <v>0</v>
      </c>
      <c r="BG54">
        <f t="shared" si="197"/>
        <v>0</v>
      </c>
      <c r="BH54">
        <f t="shared" si="198"/>
        <v>0</v>
      </c>
      <c r="BI54">
        <f t="shared" si="199"/>
        <v>0</v>
      </c>
      <c r="BJ54">
        <f t="shared" si="200"/>
        <v>0</v>
      </c>
      <c r="BK54">
        <f t="shared" si="201"/>
        <v>0</v>
      </c>
      <c r="BL54">
        <f t="shared" si="202"/>
        <v>0</v>
      </c>
      <c r="BM54">
        <f t="shared" si="203"/>
        <v>0</v>
      </c>
      <c r="BN54">
        <f t="shared" si="204"/>
        <v>0</v>
      </c>
      <c r="BO54">
        <f t="shared" si="205"/>
        <v>0</v>
      </c>
      <c r="BP54">
        <f t="shared" si="206"/>
        <v>0</v>
      </c>
      <c r="BQ54">
        <f t="shared" si="207"/>
        <v>0</v>
      </c>
      <c r="BR54">
        <f t="shared" si="208"/>
        <v>0</v>
      </c>
      <c r="BS54">
        <f t="shared" si="209"/>
        <v>0</v>
      </c>
      <c r="BT54">
        <f t="shared" si="210"/>
        <v>0</v>
      </c>
      <c r="BU54">
        <f t="shared" si="211"/>
        <v>0</v>
      </c>
      <c r="BV54">
        <f t="shared" si="212"/>
        <v>0</v>
      </c>
    </row>
    <row r="55" spans="1:74" x14ac:dyDescent="0.25">
      <c r="A55" s="81">
        <v>52</v>
      </c>
      <c r="B55">
        <f>IF(A55&gt;0,FABRICAR!F53,NA())</f>
        <v>0</v>
      </c>
      <c r="C55">
        <f>IF(A55&gt;0,FABRICAR!G53,NA())</f>
        <v>0</v>
      </c>
      <c r="D55" s="1" t="str">
        <f t="shared" si="151"/>
        <v>00</v>
      </c>
      <c r="E55">
        <f>IF(A55&gt;0,FABRICAR!P66,"")</f>
        <v>0</v>
      </c>
      <c r="F55" t="str">
        <f t="shared" si="152"/>
        <v/>
      </c>
      <c r="H55">
        <f>IF(A55&gt;0,FABRICAR!H53,NA())</f>
        <v>0</v>
      </c>
      <c r="I55" t="str">
        <f>IF(A55&gt;0,FABRICAR!B53,NA())</f>
        <v/>
      </c>
      <c r="J55" s="75">
        <f t="shared" si="4"/>
        <v>0</v>
      </c>
      <c r="K55">
        <f>IF(A55&gt;0,FABRICAR!J53,NA())</f>
        <v>0</v>
      </c>
      <c r="L55" s="9">
        <f t="shared" si="153"/>
        <v>0</v>
      </c>
      <c r="M55">
        <f>IF(A55&gt;0,FABRICAR!N53,NA())</f>
        <v>0</v>
      </c>
      <c r="N55">
        <f>IF(B55=0,B55,IF(A55&gt;0,FABRICAR!M53,"")*9)</f>
        <v>0</v>
      </c>
      <c r="O55" s="3">
        <f t="shared" si="154"/>
        <v>0</v>
      </c>
      <c r="P55">
        <f t="shared" si="155"/>
        <v>0</v>
      </c>
      <c r="Q55">
        <f t="shared" si="156"/>
        <v>0</v>
      </c>
      <c r="R55">
        <f t="shared" si="157"/>
        <v>0</v>
      </c>
      <c r="S55">
        <f t="shared" si="158"/>
        <v>0</v>
      </c>
      <c r="T55">
        <f t="shared" si="159"/>
        <v>0</v>
      </c>
      <c r="U55">
        <f t="shared" si="160"/>
        <v>0</v>
      </c>
      <c r="V55">
        <f t="shared" si="161"/>
        <v>0</v>
      </c>
      <c r="W55">
        <f t="shared" si="162"/>
        <v>0</v>
      </c>
      <c r="X55">
        <f t="shared" si="163"/>
        <v>0</v>
      </c>
      <c r="Y55">
        <f t="shared" si="164"/>
        <v>0</v>
      </c>
      <c r="Z55">
        <f t="shared" si="165"/>
        <v>0</v>
      </c>
      <c r="AA55">
        <f t="shared" si="166"/>
        <v>0</v>
      </c>
      <c r="AB55">
        <f t="shared" si="167"/>
        <v>0</v>
      </c>
      <c r="AC55">
        <f t="shared" si="168"/>
        <v>0</v>
      </c>
      <c r="AD55">
        <f t="shared" si="169"/>
        <v>0</v>
      </c>
      <c r="AE55">
        <f t="shared" si="170"/>
        <v>0</v>
      </c>
      <c r="AF55">
        <f t="shared" si="171"/>
        <v>0</v>
      </c>
      <c r="AG55">
        <f t="shared" si="172"/>
        <v>0</v>
      </c>
      <c r="AH55">
        <f t="shared" si="173"/>
        <v>0</v>
      </c>
      <c r="AI55">
        <f t="shared" si="174"/>
        <v>0</v>
      </c>
      <c r="AJ55">
        <f t="shared" si="175"/>
        <v>0</v>
      </c>
      <c r="AK55">
        <f t="shared" si="176"/>
        <v>0</v>
      </c>
      <c r="AL55">
        <f t="shared" si="177"/>
        <v>0</v>
      </c>
      <c r="AM55">
        <f t="shared" si="178"/>
        <v>0</v>
      </c>
      <c r="AN55">
        <f t="shared" si="179"/>
        <v>0</v>
      </c>
      <c r="AO55">
        <f t="shared" si="180"/>
        <v>0</v>
      </c>
      <c r="AP55">
        <f t="shared" si="181"/>
        <v>0</v>
      </c>
      <c r="AQ55">
        <f t="shared" si="182"/>
        <v>0</v>
      </c>
      <c r="AR55">
        <f t="shared" si="183"/>
        <v>0</v>
      </c>
      <c r="AS55">
        <f t="shared" si="184"/>
        <v>0</v>
      </c>
      <c r="AT55">
        <f t="shared" si="185"/>
        <v>0</v>
      </c>
      <c r="AU55">
        <f t="shared" si="186"/>
        <v>0</v>
      </c>
      <c r="AV55">
        <f t="shared" si="187"/>
        <v>0</v>
      </c>
      <c r="AW55">
        <f t="shared" si="188"/>
        <v>0</v>
      </c>
      <c r="AX55">
        <f t="shared" si="189"/>
        <v>0</v>
      </c>
      <c r="AY55">
        <f>IF(M55&gt;N55+(SUM(O55:AX55)),N55,M55-(SUM($O55:AX55)))</f>
        <v>0</v>
      </c>
      <c r="AZ55">
        <f t="shared" si="190"/>
        <v>0</v>
      </c>
      <c r="BA55">
        <f t="shared" si="191"/>
        <v>0</v>
      </c>
      <c r="BB55">
        <f t="shared" si="192"/>
        <v>0</v>
      </c>
      <c r="BC55">
        <f t="shared" si="193"/>
        <v>0</v>
      </c>
      <c r="BD55">
        <f t="shared" si="194"/>
        <v>0</v>
      </c>
      <c r="BE55">
        <f t="shared" si="195"/>
        <v>0</v>
      </c>
      <c r="BF55">
        <f t="shared" si="196"/>
        <v>0</v>
      </c>
      <c r="BG55">
        <f t="shared" si="197"/>
        <v>0</v>
      </c>
      <c r="BH55">
        <f t="shared" si="198"/>
        <v>0</v>
      </c>
      <c r="BI55">
        <f t="shared" si="199"/>
        <v>0</v>
      </c>
      <c r="BJ55">
        <f t="shared" si="200"/>
        <v>0</v>
      </c>
      <c r="BK55">
        <f t="shared" si="201"/>
        <v>0</v>
      </c>
      <c r="BL55">
        <f t="shared" si="202"/>
        <v>0</v>
      </c>
      <c r="BM55">
        <f t="shared" si="203"/>
        <v>0</v>
      </c>
      <c r="BN55">
        <f t="shared" si="204"/>
        <v>0</v>
      </c>
      <c r="BO55">
        <f t="shared" si="205"/>
        <v>0</v>
      </c>
      <c r="BP55">
        <f t="shared" si="206"/>
        <v>0</v>
      </c>
      <c r="BQ55">
        <f t="shared" si="207"/>
        <v>0</v>
      </c>
      <c r="BR55">
        <f t="shared" si="208"/>
        <v>0</v>
      </c>
      <c r="BS55">
        <f t="shared" si="209"/>
        <v>0</v>
      </c>
      <c r="BT55">
        <f t="shared" si="210"/>
        <v>0</v>
      </c>
      <c r="BU55">
        <f t="shared" si="211"/>
        <v>0</v>
      </c>
      <c r="BV55">
        <f t="shared" si="212"/>
        <v>0</v>
      </c>
    </row>
    <row r="56" spans="1:74" x14ac:dyDescent="0.25">
      <c r="A56" s="81">
        <v>53</v>
      </c>
      <c r="B56">
        <f>IF(A56&gt;0,FABRICAR!F54,NA())</f>
        <v>0</v>
      </c>
      <c r="C56">
        <f>IF(A56&gt;0,FABRICAR!G54,NA())</f>
        <v>0</v>
      </c>
      <c r="D56" s="1" t="str">
        <f t="shared" si="151"/>
        <v>00</v>
      </c>
      <c r="E56">
        <f>IF(A56&gt;0,FABRICAR!P67,"")</f>
        <v>0</v>
      </c>
      <c r="F56" t="str">
        <f t="shared" si="152"/>
        <v/>
      </c>
      <c r="H56">
        <f>IF(A56&gt;0,FABRICAR!H54,NA())</f>
        <v>0</v>
      </c>
      <c r="I56" t="str">
        <f>IF(A56&gt;0,FABRICAR!B54,NA())</f>
        <v/>
      </c>
      <c r="J56" s="75">
        <f t="shared" si="4"/>
        <v>0</v>
      </c>
      <c r="K56">
        <f>IF(A56&gt;0,FABRICAR!J54,NA())</f>
        <v>0</v>
      </c>
      <c r="L56" s="9">
        <f t="shared" si="153"/>
        <v>0</v>
      </c>
      <c r="M56">
        <f>IF(A56&gt;0,FABRICAR!N54,NA())</f>
        <v>0</v>
      </c>
      <c r="N56">
        <f>IF(B56=0,B56,IF(A56&gt;0,FABRICAR!M54,"")*9)</f>
        <v>0</v>
      </c>
      <c r="O56" s="3">
        <f t="shared" si="154"/>
        <v>0</v>
      </c>
      <c r="P56">
        <f t="shared" si="155"/>
        <v>0</v>
      </c>
      <c r="Q56">
        <f t="shared" si="156"/>
        <v>0</v>
      </c>
      <c r="R56">
        <f t="shared" si="157"/>
        <v>0</v>
      </c>
      <c r="S56">
        <f t="shared" si="158"/>
        <v>0</v>
      </c>
      <c r="T56">
        <f t="shared" si="159"/>
        <v>0</v>
      </c>
      <c r="U56">
        <f t="shared" si="160"/>
        <v>0</v>
      </c>
      <c r="V56">
        <f t="shared" si="161"/>
        <v>0</v>
      </c>
      <c r="W56">
        <f t="shared" si="162"/>
        <v>0</v>
      </c>
      <c r="X56">
        <f t="shared" si="163"/>
        <v>0</v>
      </c>
      <c r="Y56">
        <f t="shared" si="164"/>
        <v>0</v>
      </c>
      <c r="Z56">
        <f t="shared" si="165"/>
        <v>0</v>
      </c>
      <c r="AA56">
        <f t="shared" si="166"/>
        <v>0</v>
      </c>
      <c r="AB56">
        <f t="shared" si="167"/>
        <v>0</v>
      </c>
      <c r="AC56">
        <f t="shared" si="168"/>
        <v>0</v>
      </c>
      <c r="AD56">
        <f t="shared" si="169"/>
        <v>0</v>
      </c>
      <c r="AE56">
        <f t="shared" si="170"/>
        <v>0</v>
      </c>
      <c r="AF56">
        <f t="shared" si="171"/>
        <v>0</v>
      </c>
      <c r="AG56">
        <f t="shared" si="172"/>
        <v>0</v>
      </c>
      <c r="AH56">
        <f t="shared" si="173"/>
        <v>0</v>
      </c>
      <c r="AI56">
        <f t="shared" si="174"/>
        <v>0</v>
      </c>
      <c r="AJ56">
        <f t="shared" si="175"/>
        <v>0</v>
      </c>
      <c r="AK56">
        <f t="shared" si="176"/>
        <v>0</v>
      </c>
      <c r="AL56">
        <f t="shared" si="177"/>
        <v>0</v>
      </c>
      <c r="AM56">
        <f t="shared" si="178"/>
        <v>0</v>
      </c>
      <c r="AN56">
        <f t="shared" si="179"/>
        <v>0</v>
      </c>
      <c r="AO56">
        <f t="shared" si="180"/>
        <v>0</v>
      </c>
      <c r="AP56">
        <f t="shared" si="181"/>
        <v>0</v>
      </c>
      <c r="AQ56">
        <f t="shared" si="182"/>
        <v>0</v>
      </c>
      <c r="AR56">
        <f t="shared" si="183"/>
        <v>0</v>
      </c>
      <c r="AS56">
        <f t="shared" si="184"/>
        <v>0</v>
      </c>
      <c r="AT56">
        <f t="shared" si="185"/>
        <v>0</v>
      </c>
      <c r="AU56">
        <f t="shared" si="186"/>
        <v>0</v>
      </c>
      <c r="AV56">
        <f t="shared" si="187"/>
        <v>0</v>
      </c>
      <c r="AW56">
        <f t="shared" si="188"/>
        <v>0</v>
      </c>
      <c r="AX56">
        <f t="shared" si="189"/>
        <v>0</v>
      </c>
      <c r="AY56">
        <f>IF(M56&gt;N56+(SUM(O56:AX56)),N56,M56-(SUM($O56:AX56)))</f>
        <v>0</v>
      </c>
      <c r="AZ56">
        <f t="shared" si="190"/>
        <v>0</v>
      </c>
      <c r="BA56">
        <f t="shared" si="191"/>
        <v>0</v>
      </c>
      <c r="BB56">
        <f t="shared" si="192"/>
        <v>0</v>
      </c>
      <c r="BC56">
        <f t="shared" si="193"/>
        <v>0</v>
      </c>
      <c r="BD56">
        <f t="shared" si="194"/>
        <v>0</v>
      </c>
      <c r="BE56">
        <f t="shared" si="195"/>
        <v>0</v>
      </c>
      <c r="BF56">
        <f t="shared" si="196"/>
        <v>0</v>
      </c>
      <c r="BG56">
        <f t="shared" si="197"/>
        <v>0</v>
      </c>
      <c r="BH56">
        <f t="shared" si="198"/>
        <v>0</v>
      </c>
      <c r="BI56">
        <f t="shared" si="199"/>
        <v>0</v>
      </c>
      <c r="BJ56">
        <f t="shared" si="200"/>
        <v>0</v>
      </c>
      <c r="BK56">
        <f t="shared" si="201"/>
        <v>0</v>
      </c>
      <c r="BL56">
        <f t="shared" si="202"/>
        <v>0</v>
      </c>
      <c r="BM56">
        <f t="shared" si="203"/>
        <v>0</v>
      </c>
      <c r="BN56">
        <f t="shared" si="204"/>
        <v>0</v>
      </c>
      <c r="BO56">
        <f t="shared" si="205"/>
        <v>0</v>
      </c>
      <c r="BP56">
        <f t="shared" si="206"/>
        <v>0</v>
      </c>
      <c r="BQ56">
        <f t="shared" si="207"/>
        <v>0</v>
      </c>
      <c r="BR56">
        <f t="shared" si="208"/>
        <v>0</v>
      </c>
      <c r="BS56">
        <f t="shared" si="209"/>
        <v>0</v>
      </c>
      <c r="BT56">
        <f t="shared" si="210"/>
        <v>0</v>
      </c>
      <c r="BU56">
        <f t="shared" si="211"/>
        <v>0</v>
      </c>
      <c r="BV56">
        <f t="shared" si="212"/>
        <v>0</v>
      </c>
    </row>
    <row r="57" spans="1:74" x14ac:dyDescent="0.25">
      <c r="A57" s="81">
        <v>54</v>
      </c>
      <c r="B57">
        <f>IF(A57&gt;0,FABRICAR!F55,NA())</f>
        <v>0</v>
      </c>
      <c r="C57">
        <f>IF(A57&gt;0,FABRICAR!G55,NA())</f>
        <v>0</v>
      </c>
      <c r="D57" s="1" t="str">
        <f t="shared" si="151"/>
        <v>00</v>
      </c>
      <c r="E57">
        <f>IF(A57&gt;0,FABRICAR!P68,"")</f>
        <v>0</v>
      </c>
      <c r="F57" t="str">
        <f t="shared" si="152"/>
        <v/>
      </c>
      <c r="H57">
        <f>IF(A57&gt;0,FABRICAR!H55,NA())</f>
        <v>0</v>
      </c>
      <c r="I57" t="str">
        <f>IF(A57&gt;0,FABRICAR!B55,NA())</f>
        <v/>
      </c>
      <c r="J57" s="75">
        <f t="shared" si="4"/>
        <v>0</v>
      </c>
      <c r="K57">
        <f>IF(A57&gt;0,FABRICAR!J55,NA())</f>
        <v>0</v>
      </c>
      <c r="L57" s="9">
        <f t="shared" si="153"/>
        <v>0</v>
      </c>
      <c r="M57">
        <f>IF(A57&gt;0,FABRICAR!N55,NA())</f>
        <v>0</v>
      </c>
      <c r="N57">
        <f>IF(B57=0,B57,IF(A57&gt;0,FABRICAR!M55,"")*9)</f>
        <v>0</v>
      </c>
      <c r="O57" s="3">
        <f t="shared" si="154"/>
        <v>0</v>
      </c>
      <c r="P57">
        <f t="shared" si="155"/>
        <v>0</v>
      </c>
      <c r="Q57">
        <f t="shared" si="156"/>
        <v>0</v>
      </c>
      <c r="R57">
        <f t="shared" si="157"/>
        <v>0</v>
      </c>
      <c r="S57">
        <f t="shared" si="158"/>
        <v>0</v>
      </c>
      <c r="T57">
        <f t="shared" si="159"/>
        <v>0</v>
      </c>
      <c r="U57">
        <f t="shared" si="160"/>
        <v>0</v>
      </c>
      <c r="V57">
        <f t="shared" si="161"/>
        <v>0</v>
      </c>
      <c r="W57">
        <f t="shared" si="162"/>
        <v>0</v>
      </c>
      <c r="X57">
        <f t="shared" si="163"/>
        <v>0</v>
      </c>
      <c r="Y57">
        <f t="shared" si="164"/>
        <v>0</v>
      </c>
      <c r="Z57">
        <f t="shared" si="165"/>
        <v>0</v>
      </c>
      <c r="AA57">
        <f t="shared" si="166"/>
        <v>0</v>
      </c>
      <c r="AB57">
        <f t="shared" si="167"/>
        <v>0</v>
      </c>
      <c r="AC57">
        <f t="shared" si="168"/>
        <v>0</v>
      </c>
      <c r="AD57">
        <f t="shared" si="169"/>
        <v>0</v>
      </c>
      <c r="AE57">
        <f t="shared" si="170"/>
        <v>0</v>
      </c>
      <c r="AF57">
        <f t="shared" si="171"/>
        <v>0</v>
      </c>
      <c r="AG57">
        <f t="shared" si="172"/>
        <v>0</v>
      </c>
      <c r="AH57">
        <f t="shared" si="173"/>
        <v>0</v>
      </c>
      <c r="AI57">
        <f t="shared" si="174"/>
        <v>0</v>
      </c>
      <c r="AJ57">
        <f t="shared" si="175"/>
        <v>0</v>
      </c>
      <c r="AK57">
        <f t="shared" si="176"/>
        <v>0</v>
      </c>
      <c r="AL57">
        <f t="shared" si="177"/>
        <v>0</v>
      </c>
      <c r="AM57">
        <f t="shared" si="178"/>
        <v>0</v>
      </c>
      <c r="AN57">
        <f t="shared" si="179"/>
        <v>0</v>
      </c>
      <c r="AO57">
        <f t="shared" si="180"/>
        <v>0</v>
      </c>
      <c r="AP57">
        <f t="shared" si="181"/>
        <v>0</v>
      </c>
      <c r="AQ57">
        <f t="shared" si="182"/>
        <v>0</v>
      </c>
      <c r="AR57">
        <f t="shared" si="183"/>
        <v>0</v>
      </c>
      <c r="AS57">
        <f t="shared" si="184"/>
        <v>0</v>
      </c>
      <c r="AT57">
        <f t="shared" si="185"/>
        <v>0</v>
      </c>
      <c r="AU57">
        <f t="shared" si="186"/>
        <v>0</v>
      </c>
      <c r="AV57">
        <f t="shared" si="187"/>
        <v>0</v>
      </c>
      <c r="AW57">
        <f t="shared" si="188"/>
        <v>0</v>
      </c>
      <c r="AX57">
        <f t="shared" si="189"/>
        <v>0</v>
      </c>
      <c r="AY57">
        <f>IF(M57&gt;N57+(SUM(O57:AX57)),N57,M57-(SUM($O57:AX57)))</f>
        <v>0</v>
      </c>
      <c r="AZ57">
        <f t="shared" si="190"/>
        <v>0</v>
      </c>
      <c r="BA57">
        <f t="shared" si="191"/>
        <v>0</v>
      </c>
      <c r="BB57">
        <f t="shared" si="192"/>
        <v>0</v>
      </c>
      <c r="BC57">
        <f t="shared" si="193"/>
        <v>0</v>
      </c>
      <c r="BD57">
        <f t="shared" si="194"/>
        <v>0</v>
      </c>
      <c r="BE57">
        <f t="shared" si="195"/>
        <v>0</v>
      </c>
      <c r="BF57">
        <f t="shared" si="196"/>
        <v>0</v>
      </c>
      <c r="BG57">
        <f t="shared" si="197"/>
        <v>0</v>
      </c>
      <c r="BH57">
        <f t="shared" si="198"/>
        <v>0</v>
      </c>
      <c r="BI57">
        <f t="shared" si="199"/>
        <v>0</v>
      </c>
      <c r="BJ57">
        <f t="shared" si="200"/>
        <v>0</v>
      </c>
      <c r="BK57">
        <f t="shared" si="201"/>
        <v>0</v>
      </c>
      <c r="BL57">
        <f t="shared" si="202"/>
        <v>0</v>
      </c>
      <c r="BM57">
        <f t="shared" si="203"/>
        <v>0</v>
      </c>
      <c r="BN57">
        <f t="shared" si="204"/>
        <v>0</v>
      </c>
      <c r="BO57">
        <f t="shared" si="205"/>
        <v>0</v>
      </c>
      <c r="BP57">
        <f t="shared" si="206"/>
        <v>0</v>
      </c>
      <c r="BQ57">
        <f t="shared" si="207"/>
        <v>0</v>
      </c>
      <c r="BR57">
        <f t="shared" si="208"/>
        <v>0</v>
      </c>
      <c r="BS57">
        <f t="shared" si="209"/>
        <v>0</v>
      </c>
      <c r="BT57">
        <f t="shared" si="210"/>
        <v>0</v>
      </c>
      <c r="BU57">
        <f t="shared" si="211"/>
        <v>0</v>
      </c>
      <c r="BV57">
        <f t="shared" si="212"/>
        <v>0</v>
      </c>
    </row>
    <row r="58" spans="1:74" x14ac:dyDescent="0.25">
      <c r="O58" s="3">
        <f t="shared" si="154"/>
        <v>0</v>
      </c>
      <c r="P58">
        <f t="shared" si="155"/>
        <v>0</v>
      </c>
      <c r="Q58">
        <f t="shared" si="156"/>
        <v>0</v>
      </c>
      <c r="R58">
        <f t="shared" si="157"/>
        <v>0</v>
      </c>
      <c r="S58">
        <f t="shared" si="158"/>
        <v>0</v>
      </c>
      <c r="T58">
        <f t="shared" si="159"/>
        <v>0</v>
      </c>
      <c r="U58">
        <f t="shared" si="160"/>
        <v>0</v>
      </c>
      <c r="V58">
        <f t="shared" si="161"/>
        <v>0</v>
      </c>
      <c r="W58">
        <f t="shared" si="162"/>
        <v>0</v>
      </c>
      <c r="X58">
        <f t="shared" si="163"/>
        <v>0</v>
      </c>
      <c r="Y58">
        <f t="shared" si="164"/>
        <v>0</v>
      </c>
      <c r="Z58">
        <f t="shared" si="165"/>
        <v>0</v>
      </c>
      <c r="AA58">
        <f t="shared" si="166"/>
        <v>0</v>
      </c>
      <c r="AB58">
        <f t="shared" si="167"/>
        <v>0</v>
      </c>
      <c r="AC58">
        <f t="shared" si="168"/>
        <v>0</v>
      </c>
      <c r="AD58">
        <f t="shared" si="169"/>
        <v>0</v>
      </c>
      <c r="AE58">
        <f t="shared" si="170"/>
        <v>0</v>
      </c>
      <c r="AF58">
        <f t="shared" si="171"/>
        <v>0</v>
      </c>
      <c r="AG58">
        <f t="shared" si="172"/>
        <v>0</v>
      </c>
      <c r="AH58">
        <f t="shared" si="173"/>
        <v>0</v>
      </c>
      <c r="AI58">
        <f t="shared" si="174"/>
        <v>0</v>
      </c>
      <c r="AJ58">
        <f t="shared" si="175"/>
        <v>0</v>
      </c>
      <c r="AK58">
        <f t="shared" si="176"/>
        <v>0</v>
      </c>
      <c r="AL58">
        <f t="shared" si="177"/>
        <v>0</v>
      </c>
      <c r="AM58">
        <f t="shared" si="178"/>
        <v>0</v>
      </c>
      <c r="AN58">
        <f t="shared" si="179"/>
        <v>0</v>
      </c>
      <c r="AO58">
        <f t="shared" si="180"/>
        <v>0</v>
      </c>
      <c r="AP58">
        <f t="shared" si="181"/>
        <v>0</v>
      </c>
      <c r="AQ58">
        <f t="shared" si="182"/>
        <v>0</v>
      </c>
      <c r="AR58">
        <f t="shared" si="183"/>
        <v>0</v>
      </c>
      <c r="AS58">
        <f t="shared" si="184"/>
        <v>0</v>
      </c>
      <c r="AT58">
        <f t="shared" si="185"/>
        <v>0</v>
      </c>
      <c r="AU58">
        <f t="shared" si="186"/>
        <v>0</v>
      </c>
      <c r="AV58">
        <f t="shared" si="187"/>
        <v>0</v>
      </c>
      <c r="AW58">
        <f t="shared" si="188"/>
        <v>0</v>
      </c>
      <c r="AX58">
        <f t="shared" si="189"/>
        <v>0</v>
      </c>
      <c r="AY58">
        <f>IF(M58&gt;N58+(SUM(O58:AX58)),N58,M58-(SUM($O58:AX58)))</f>
        <v>0</v>
      </c>
      <c r="AZ58">
        <f t="shared" si="190"/>
        <v>0</v>
      </c>
      <c r="BA58">
        <f t="shared" si="191"/>
        <v>0</v>
      </c>
      <c r="BB58">
        <f t="shared" si="192"/>
        <v>0</v>
      </c>
      <c r="BC58">
        <f t="shared" si="193"/>
        <v>0</v>
      </c>
      <c r="BD58">
        <f t="shared" si="194"/>
        <v>0</v>
      </c>
      <c r="BE58">
        <f t="shared" si="195"/>
        <v>0</v>
      </c>
      <c r="BF58">
        <f t="shared" si="196"/>
        <v>0</v>
      </c>
      <c r="BG58">
        <f t="shared" si="197"/>
        <v>0</v>
      </c>
      <c r="BH58">
        <f t="shared" si="198"/>
        <v>0</v>
      </c>
      <c r="BI58">
        <f t="shared" si="199"/>
        <v>0</v>
      </c>
      <c r="BJ58">
        <f t="shared" si="200"/>
        <v>0</v>
      </c>
      <c r="BK58">
        <f t="shared" si="201"/>
        <v>0</v>
      </c>
      <c r="BL58">
        <f t="shared" si="202"/>
        <v>0</v>
      </c>
      <c r="BM58">
        <f t="shared" si="203"/>
        <v>0</v>
      </c>
      <c r="BN58">
        <f t="shared" si="204"/>
        <v>0</v>
      </c>
      <c r="BO58">
        <f t="shared" si="205"/>
        <v>0</v>
      </c>
      <c r="BP58">
        <f t="shared" si="206"/>
        <v>0</v>
      </c>
      <c r="BQ58">
        <f t="shared" si="207"/>
        <v>0</v>
      </c>
      <c r="BR58">
        <f t="shared" si="208"/>
        <v>0</v>
      </c>
      <c r="BS58">
        <f t="shared" si="209"/>
        <v>0</v>
      </c>
      <c r="BT58">
        <f t="shared" si="210"/>
        <v>0</v>
      </c>
      <c r="BU58">
        <f t="shared" si="211"/>
        <v>0</v>
      </c>
      <c r="BV58">
        <f t="shared" si="212"/>
        <v>0</v>
      </c>
    </row>
    <row r="59" spans="1:74" x14ac:dyDescent="0.25">
      <c r="O59" s="3">
        <f t="shared" si="154"/>
        <v>0</v>
      </c>
      <c r="P59">
        <f t="shared" si="155"/>
        <v>0</v>
      </c>
      <c r="Q59">
        <f t="shared" si="156"/>
        <v>0</v>
      </c>
      <c r="R59">
        <f t="shared" si="157"/>
        <v>0</v>
      </c>
      <c r="S59">
        <f t="shared" si="158"/>
        <v>0</v>
      </c>
      <c r="T59">
        <f t="shared" si="159"/>
        <v>0</v>
      </c>
      <c r="U59">
        <f t="shared" si="160"/>
        <v>0</v>
      </c>
      <c r="V59">
        <f t="shared" si="161"/>
        <v>0</v>
      </c>
      <c r="W59">
        <f t="shared" si="162"/>
        <v>0</v>
      </c>
      <c r="X59">
        <f t="shared" si="163"/>
        <v>0</v>
      </c>
      <c r="Y59">
        <f t="shared" si="164"/>
        <v>0</v>
      </c>
      <c r="Z59">
        <f t="shared" si="165"/>
        <v>0</v>
      </c>
      <c r="AA59">
        <f t="shared" si="166"/>
        <v>0</v>
      </c>
      <c r="AB59">
        <f t="shared" si="167"/>
        <v>0</v>
      </c>
      <c r="AC59">
        <f t="shared" si="168"/>
        <v>0</v>
      </c>
      <c r="AD59">
        <f t="shared" si="169"/>
        <v>0</v>
      </c>
      <c r="AE59">
        <f t="shared" si="170"/>
        <v>0</v>
      </c>
      <c r="AF59">
        <f t="shared" si="171"/>
        <v>0</v>
      </c>
      <c r="AG59">
        <f t="shared" si="172"/>
        <v>0</v>
      </c>
      <c r="AH59">
        <f t="shared" si="173"/>
        <v>0</v>
      </c>
      <c r="AI59">
        <f t="shared" si="174"/>
        <v>0</v>
      </c>
      <c r="AJ59">
        <f t="shared" si="175"/>
        <v>0</v>
      </c>
      <c r="AK59">
        <f t="shared" si="176"/>
        <v>0</v>
      </c>
      <c r="AL59">
        <f t="shared" si="177"/>
        <v>0</v>
      </c>
      <c r="AM59">
        <f t="shared" si="178"/>
        <v>0</v>
      </c>
      <c r="AN59">
        <f t="shared" si="179"/>
        <v>0</v>
      </c>
      <c r="AO59">
        <f t="shared" si="180"/>
        <v>0</v>
      </c>
      <c r="AP59">
        <f t="shared" si="181"/>
        <v>0</v>
      </c>
      <c r="AQ59">
        <f t="shared" si="182"/>
        <v>0</v>
      </c>
      <c r="AR59">
        <f t="shared" si="183"/>
        <v>0</v>
      </c>
      <c r="AS59">
        <f t="shared" si="184"/>
        <v>0</v>
      </c>
      <c r="AT59">
        <f t="shared" si="185"/>
        <v>0</v>
      </c>
      <c r="AU59">
        <f t="shared" si="186"/>
        <v>0</v>
      </c>
      <c r="AV59">
        <f t="shared" si="187"/>
        <v>0</v>
      </c>
      <c r="AW59">
        <f t="shared" si="188"/>
        <v>0</v>
      </c>
      <c r="AX59">
        <f t="shared" si="189"/>
        <v>0</v>
      </c>
      <c r="AY59">
        <f>IF(M59&gt;N59+(SUM(O59:AX59)),N59,M59-(SUM($O59:AX59)))</f>
        <v>0</v>
      </c>
      <c r="AZ59">
        <f t="shared" si="190"/>
        <v>0</v>
      </c>
      <c r="BA59">
        <f t="shared" si="191"/>
        <v>0</v>
      </c>
      <c r="BB59">
        <f t="shared" si="192"/>
        <v>0</v>
      </c>
      <c r="BC59">
        <f t="shared" si="193"/>
        <v>0</v>
      </c>
      <c r="BD59">
        <f t="shared" si="194"/>
        <v>0</v>
      </c>
      <c r="BE59">
        <f t="shared" si="195"/>
        <v>0</v>
      </c>
      <c r="BF59">
        <f t="shared" si="196"/>
        <v>0</v>
      </c>
      <c r="BG59">
        <f t="shared" si="197"/>
        <v>0</v>
      </c>
      <c r="BH59">
        <f t="shared" si="198"/>
        <v>0</v>
      </c>
      <c r="BI59">
        <f t="shared" si="199"/>
        <v>0</v>
      </c>
      <c r="BJ59">
        <f t="shared" si="200"/>
        <v>0</v>
      </c>
      <c r="BK59">
        <f t="shared" si="201"/>
        <v>0</v>
      </c>
      <c r="BL59">
        <f t="shared" si="202"/>
        <v>0</v>
      </c>
      <c r="BM59">
        <f t="shared" si="203"/>
        <v>0</v>
      </c>
      <c r="BN59">
        <f t="shared" si="204"/>
        <v>0</v>
      </c>
      <c r="BO59">
        <f t="shared" si="205"/>
        <v>0</v>
      </c>
      <c r="BP59">
        <f t="shared" si="206"/>
        <v>0</v>
      </c>
      <c r="BQ59">
        <f t="shared" si="207"/>
        <v>0</v>
      </c>
      <c r="BR59">
        <f t="shared" si="208"/>
        <v>0</v>
      </c>
      <c r="BS59">
        <f t="shared" si="209"/>
        <v>0</v>
      </c>
      <c r="BT59">
        <f t="shared" si="210"/>
        <v>0</v>
      </c>
      <c r="BU59">
        <f t="shared" si="211"/>
        <v>0</v>
      </c>
      <c r="BV59">
        <f t="shared" si="212"/>
        <v>0</v>
      </c>
    </row>
    <row r="60" spans="1:74" x14ac:dyDescent="0.25">
      <c r="O60" s="3">
        <f t="shared" si="154"/>
        <v>0</v>
      </c>
      <c r="P60">
        <f t="shared" si="155"/>
        <v>0</v>
      </c>
      <c r="Q60">
        <f t="shared" si="156"/>
        <v>0</v>
      </c>
      <c r="R60">
        <f t="shared" si="157"/>
        <v>0</v>
      </c>
      <c r="S60">
        <f t="shared" si="158"/>
        <v>0</v>
      </c>
      <c r="T60">
        <f t="shared" si="159"/>
        <v>0</v>
      </c>
      <c r="U60">
        <f t="shared" si="160"/>
        <v>0</v>
      </c>
      <c r="V60">
        <f t="shared" si="161"/>
        <v>0</v>
      </c>
      <c r="W60">
        <f t="shared" si="162"/>
        <v>0</v>
      </c>
      <c r="X60">
        <f t="shared" si="163"/>
        <v>0</v>
      </c>
      <c r="Y60">
        <f t="shared" si="164"/>
        <v>0</v>
      </c>
      <c r="Z60">
        <f t="shared" si="165"/>
        <v>0</v>
      </c>
      <c r="AA60">
        <f t="shared" si="166"/>
        <v>0</v>
      </c>
      <c r="AB60">
        <f t="shared" si="167"/>
        <v>0</v>
      </c>
      <c r="AC60">
        <f t="shared" si="168"/>
        <v>0</v>
      </c>
      <c r="AD60">
        <f t="shared" si="169"/>
        <v>0</v>
      </c>
      <c r="AE60">
        <f t="shared" si="170"/>
        <v>0</v>
      </c>
      <c r="AF60">
        <f t="shared" si="171"/>
        <v>0</v>
      </c>
      <c r="AG60">
        <f t="shared" si="172"/>
        <v>0</v>
      </c>
      <c r="AH60">
        <f t="shared" si="173"/>
        <v>0</v>
      </c>
      <c r="AI60">
        <f t="shared" si="174"/>
        <v>0</v>
      </c>
      <c r="AJ60">
        <f t="shared" si="175"/>
        <v>0</v>
      </c>
      <c r="AK60">
        <f t="shared" si="176"/>
        <v>0</v>
      </c>
      <c r="AL60">
        <f t="shared" si="177"/>
        <v>0</v>
      </c>
      <c r="AM60">
        <f t="shared" si="178"/>
        <v>0</v>
      </c>
      <c r="AN60">
        <f t="shared" si="179"/>
        <v>0</v>
      </c>
      <c r="AO60">
        <f t="shared" si="180"/>
        <v>0</v>
      </c>
      <c r="AP60">
        <f t="shared" si="181"/>
        <v>0</v>
      </c>
      <c r="AQ60">
        <f t="shared" si="182"/>
        <v>0</v>
      </c>
      <c r="AR60">
        <f t="shared" si="183"/>
        <v>0</v>
      </c>
      <c r="AS60">
        <f t="shared" si="184"/>
        <v>0</v>
      </c>
      <c r="AT60">
        <f t="shared" si="185"/>
        <v>0</v>
      </c>
      <c r="AU60">
        <f t="shared" si="186"/>
        <v>0</v>
      </c>
      <c r="AV60">
        <f t="shared" si="187"/>
        <v>0</v>
      </c>
      <c r="AW60">
        <f t="shared" si="188"/>
        <v>0</v>
      </c>
      <c r="AX60">
        <f t="shared" si="189"/>
        <v>0</v>
      </c>
      <c r="AY60">
        <f>IF(M60&gt;N60+(SUM(O60:AX60)),N60,M60-(SUM($O60:AX60)))</f>
        <v>0</v>
      </c>
      <c r="AZ60">
        <f t="shared" si="190"/>
        <v>0</v>
      </c>
      <c r="BA60">
        <f t="shared" si="191"/>
        <v>0</v>
      </c>
      <c r="BB60">
        <f t="shared" si="192"/>
        <v>0</v>
      </c>
      <c r="BC60">
        <f t="shared" si="193"/>
        <v>0</v>
      </c>
      <c r="BD60">
        <f t="shared" si="194"/>
        <v>0</v>
      </c>
      <c r="BE60">
        <f t="shared" si="195"/>
        <v>0</v>
      </c>
      <c r="BF60">
        <f t="shared" si="196"/>
        <v>0</v>
      </c>
      <c r="BG60">
        <f t="shared" si="197"/>
        <v>0</v>
      </c>
      <c r="BH60">
        <f t="shared" si="198"/>
        <v>0</v>
      </c>
      <c r="BI60">
        <f t="shared" si="199"/>
        <v>0</v>
      </c>
      <c r="BJ60">
        <f t="shared" si="200"/>
        <v>0</v>
      </c>
      <c r="BK60">
        <f t="shared" si="201"/>
        <v>0</v>
      </c>
      <c r="BL60">
        <f t="shared" si="202"/>
        <v>0</v>
      </c>
      <c r="BM60">
        <f t="shared" si="203"/>
        <v>0</v>
      </c>
      <c r="BN60">
        <f t="shared" si="204"/>
        <v>0</v>
      </c>
      <c r="BO60">
        <f t="shared" si="205"/>
        <v>0</v>
      </c>
      <c r="BP60">
        <f t="shared" si="206"/>
        <v>0</v>
      </c>
      <c r="BQ60">
        <f t="shared" si="207"/>
        <v>0</v>
      </c>
      <c r="BR60">
        <f t="shared" si="208"/>
        <v>0</v>
      </c>
      <c r="BS60">
        <f t="shared" si="209"/>
        <v>0</v>
      </c>
      <c r="BT60">
        <f t="shared" si="210"/>
        <v>0</v>
      </c>
      <c r="BU60">
        <f t="shared" si="211"/>
        <v>0</v>
      </c>
      <c r="BV60">
        <f t="shared" si="212"/>
        <v>0</v>
      </c>
    </row>
    <row r="61" spans="1:74" x14ac:dyDescent="0.25">
      <c r="O61" s="3">
        <f t="shared" si="154"/>
        <v>0</v>
      </c>
      <c r="P61">
        <f t="shared" si="155"/>
        <v>0</v>
      </c>
      <c r="Q61">
        <f t="shared" si="156"/>
        <v>0</v>
      </c>
      <c r="R61">
        <f t="shared" si="157"/>
        <v>0</v>
      </c>
      <c r="S61">
        <f t="shared" si="158"/>
        <v>0</v>
      </c>
      <c r="T61">
        <f t="shared" si="159"/>
        <v>0</v>
      </c>
      <c r="U61">
        <f t="shared" si="160"/>
        <v>0</v>
      </c>
      <c r="V61">
        <f t="shared" si="161"/>
        <v>0</v>
      </c>
      <c r="W61">
        <f t="shared" si="162"/>
        <v>0</v>
      </c>
      <c r="X61">
        <f t="shared" si="163"/>
        <v>0</v>
      </c>
      <c r="Y61">
        <f t="shared" si="164"/>
        <v>0</v>
      </c>
      <c r="Z61">
        <f t="shared" si="165"/>
        <v>0</v>
      </c>
      <c r="AA61">
        <f t="shared" si="166"/>
        <v>0</v>
      </c>
      <c r="AB61">
        <f t="shared" si="167"/>
        <v>0</v>
      </c>
      <c r="AC61">
        <f t="shared" si="168"/>
        <v>0</v>
      </c>
      <c r="AD61">
        <f t="shared" si="169"/>
        <v>0</v>
      </c>
      <c r="AE61">
        <f t="shared" si="170"/>
        <v>0</v>
      </c>
      <c r="AF61">
        <f t="shared" si="171"/>
        <v>0</v>
      </c>
      <c r="AG61">
        <f t="shared" si="172"/>
        <v>0</v>
      </c>
      <c r="AH61">
        <f t="shared" si="173"/>
        <v>0</v>
      </c>
      <c r="AI61">
        <f t="shared" si="174"/>
        <v>0</v>
      </c>
      <c r="AJ61">
        <f t="shared" si="175"/>
        <v>0</v>
      </c>
      <c r="AK61">
        <f t="shared" si="176"/>
        <v>0</v>
      </c>
      <c r="AL61">
        <f t="shared" si="177"/>
        <v>0</v>
      </c>
      <c r="AM61">
        <f t="shared" si="178"/>
        <v>0</v>
      </c>
      <c r="AN61">
        <f t="shared" si="179"/>
        <v>0</v>
      </c>
      <c r="AO61">
        <f t="shared" si="180"/>
        <v>0</v>
      </c>
      <c r="AP61">
        <f t="shared" si="181"/>
        <v>0</v>
      </c>
      <c r="AQ61">
        <f t="shared" si="182"/>
        <v>0</v>
      </c>
      <c r="AR61">
        <f t="shared" si="183"/>
        <v>0</v>
      </c>
      <c r="AS61">
        <f t="shared" si="184"/>
        <v>0</v>
      </c>
      <c r="AT61">
        <f t="shared" si="185"/>
        <v>0</v>
      </c>
      <c r="AU61">
        <f t="shared" si="186"/>
        <v>0</v>
      </c>
      <c r="AV61">
        <f t="shared" si="187"/>
        <v>0</v>
      </c>
      <c r="AW61">
        <f t="shared" si="188"/>
        <v>0</v>
      </c>
      <c r="AX61">
        <f t="shared" si="189"/>
        <v>0</v>
      </c>
      <c r="AY61">
        <f>IF(M61&gt;N61+(SUM(O61:AX61)),N61,M61-(SUM($O61:AX61)))</f>
        <v>0</v>
      </c>
      <c r="AZ61">
        <f t="shared" si="190"/>
        <v>0</v>
      </c>
      <c r="BA61">
        <f t="shared" si="191"/>
        <v>0</v>
      </c>
      <c r="BB61">
        <f t="shared" si="192"/>
        <v>0</v>
      </c>
      <c r="BC61">
        <f t="shared" si="193"/>
        <v>0</v>
      </c>
      <c r="BD61">
        <f t="shared" si="194"/>
        <v>0</v>
      </c>
      <c r="BE61">
        <f t="shared" si="195"/>
        <v>0</v>
      </c>
      <c r="BF61">
        <f t="shared" si="196"/>
        <v>0</v>
      </c>
      <c r="BG61">
        <f t="shared" si="197"/>
        <v>0</v>
      </c>
      <c r="BH61">
        <f t="shared" si="198"/>
        <v>0</v>
      </c>
      <c r="BI61">
        <f t="shared" si="199"/>
        <v>0</v>
      </c>
      <c r="BJ61">
        <f t="shared" si="200"/>
        <v>0</v>
      </c>
      <c r="BK61">
        <f t="shared" si="201"/>
        <v>0</v>
      </c>
      <c r="BL61">
        <f t="shared" si="202"/>
        <v>0</v>
      </c>
      <c r="BM61">
        <f t="shared" si="203"/>
        <v>0</v>
      </c>
      <c r="BN61">
        <f t="shared" si="204"/>
        <v>0</v>
      </c>
      <c r="BO61">
        <f t="shared" si="205"/>
        <v>0</v>
      </c>
      <c r="BP61">
        <f t="shared" si="206"/>
        <v>0</v>
      </c>
      <c r="BQ61">
        <f t="shared" si="207"/>
        <v>0</v>
      </c>
      <c r="BR61">
        <f t="shared" si="208"/>
        <v>0</v>
      </c>
      <c r="BS61">
        <f t="shared" si="209"/>
        <v>0</v>
      </c>
      <c r="BT61">
        <f t="shared" si="210"/>
        <v>0</v>
      </c>
      <c r="BU61">
        <f t="shared" si="211"/>
        <v>0</v>
      </c>
      <c r="BV61">
        <f t="shared" si="212"/>
        <v>0</v>
      </c>
    </row>
    <row r="62" spans="1:74" x14ac:dyDescent="0.25">
      <c r="O62" s="3">
        <f t="shared" si="154"/>
        <v>0</v>
      </c>
      <c r="P62">
        <f t="shared" si="155"/>
        <v>0</v>
      </c>
      <c r="Q62">
        <f t="shared" si="156"/>
        <v>0</v>
      </c>
      <c r="R62">
        <f t="shared" si="157"/>
        <v>0</v>
      </c>
      <c r="S62">
        <f t="shared" si="158"/>
        <v>0</v>
      </c>
      <c r="T62">
        <f t="shared" si="159"/>
        <v>0</v>
      </c>
      <c r="U62">
        <f t="shared" si="160"/>
        <v>0</v>
      </c>
      <c r="V62">
        <f t="shared" si="161"/>
        <v>0</v>
      </c>
      <c r="W62">
        <f t="shared" si="162"/>
        <v>0</v>
      </c>
      <c r="X62">
        <f t="shared" si="163"/>
        <v>0</v>
      </c>
      <c r="Y62">
        <f t="shared" si="164"/>
        <v>0</v>
      </c>
      <c r="Z62">
        <f t="shared" si="165"/>
        <v>0</v>
      </c>
      <c r="AA62">
        <f t="shared" si="166"/>
        <v>0</v>
      </c>
      <c r="AB62">
        <f t="shared" si="167"/>
        <v>0</v>
      </c>
      <c r="AC62">
        <f t="shared" si="168"/>
        <v>0</v>
      </c>
      <c r="AD62">
        <f t="shared" si="169"/>
        <v>0</v>
      </c>
      <c r="AE62">
        <f t="shared" si="170"/>
        <v>0</v>
      </c>
      <c r="AF62">
        <f t="shared" si="171"/>
        <v>0</v>
      </c>
      <c r="AG62">
        <f t="shared" si="172"/>
        <v>0</v>
      </c>
      <c r="AH62">
        <f t="shared" si="173"/>
        <v>0</v>
      </c>
      <c r="AI62">
        <f t="shared" si="174"/>
        <v>0</v>
      </c>
      <c r="AJ62">
        <f t="shared" si="175"/>
        <v>0</v>
      </c>
      <c r="AK62">
        <f t="shared" si="176"/>
        <v>0</v>
      </c>
      <c r="AL62">
        <f t="shared" si="177"/>
        <v>0</v>
      </c>
      <c r="AM62">
        <f t="shared" si="178"/>
        <v>0</v>
      </c>
      <c r="AN62">
        <f t="shared" si="179"/>
        <v>0</v>
      </c>
      <c r="AO62">
        <f t="shared" si="180"/>
        <v>0</v>
      </c>
      <c r="AP62">
        <f t="shared" si="181"/>
        <v>0</v>
      </c>
      <c r="AQ62">
        <f t="shared" si="182"/>
        <v>0</v>
      </c>
      <c r="AR62">
        <f t="shared" si="183"/>
        <v>0</v>
      </c>
      <c r="AS62">
        <f t="shared" si="184"/>
        <v>0</v>
      </c>
      <c r="AT62">
        <f t="shared" si="185"/>
        <v>0</v>
      </c>
      <c r="AU62">
        <f t="shared" si="186"/>
        <v>0</v>
      </c>
      <c r="AV62">
        <f t="shared" si="187"/>
        <v>0</v>
      </c>
      <c r="AW62">
        <f t="shared" si="188"/>
        <v>0</v>
      </c>
      <c r="AX62">
        <f t="shared" si="189"/>
        <v>0</v>
      </c>
      <c r="AY62">
        <f>IF(M62&gt;N62+(SUM(O62:AX62)),N62,M62-(SUM($O62:AX62)))</f>
        <v>0</v>
      </c>
      <c r="AZ62">
        <f t="shared" si="190"/>
        <v>0</v>
      </c>
      <c r="BA62">
        <f t="shared" si="191"/>
        <v>0</v>
      </c>
      <c r="BB62">
        <f t="shared" si="192"/>
        <v>0</v>
      </c>
      <c r="BC62">
        <f t="shared" si="193"/>
        <v>0</v>
      </c>
      <c r="BD62">
        <f t="shared" si="194"/>
        <v>0</v>
      </c>
      <c r="BE62">
        <f t="shared" si="195"/>
        <v>0</v>
      </c>
      <c r="BF62">
        <f t="shared" si="196"/>
        <v>0</v>
      </c>
      <c r="BG62">
        <f t="shared" si="197"/>
        <v>0</v>
      </c>
      <c r="BH62">
        <f t="shared" si="198"/>
        <v>0</v>
      </c>
      <c r="BI62">
        <f t="shared" si="199"/>
        <v>0</v>
      </c>
      <c r="BJ62">
        <f t="shared" si="200"/>
        <v>0</v>
      </c>
      <c r="BK62">
        <f t="shared" si="201"/>
        <v>0</v>
      </c>
      <c r="BL62">
        <f t="shared" si="202"/>
        <v>0</v>
      </c>
      <c r="BM62">
        <f t="shared" si="203"/>
        <v>0</v>
      </c>
      <c r="BN62">
        <f t="shared" si="204"/>
        <v>0</v>
      </c>
      <c r="BO62">
        <f t="shared" si="205"/>
        <v>0</v>
      </c>
      <c r="BP62">
        <f t="shared" si="206"/>
        <v>0</v>
      </c>
      <c r="BQ62">
        <f t="shared" si="207"/>
        <v>0</v>
      </c>
      <c r="BR62">
        <f t="shared" si="208"/>
        <v>0</v>
      </c>
      <c r="BS62">
        <f t="shared" si="209"/>
        <v>0</v>
      </c>
      <c r="BT62">
        <f t="shared" si="210"/>
        <v>0</v>
      </c>
      <c r="BU62">
        <f t="shared" si="211"/>
        <v>0</v>
      </c>
      <c r="BV62">
        <f t="shared" si="212"/>
        <v>0</v>
      </c>
    </row>
    <row r="63" spans="1:74" x14ac:dyDescent="0.25">
      <c r="O63" s="3">
        <f t="shared" si="154"/>
        <v>0</v>
      </c>
      <c r="P63">
        <f t="shared" si="155"/>
        <v>0</v>
      </c>
      <c r="Q63">
        <f t="shared" si="156"/>
        <v>0</v>
      </c>
      <c r="R63">
        <f t="shared" si="157"/>
        <v>0</v>
      </c>
      <c r="S63">
        <f t="shared" si="158"/>
        <v>0</v>
      </c>
      <c r="T63">
        <f t="shared" si="159"/>
        <v>0</v>
      </c>
      <c r="U63">
        <f t="shared" si="160"/>
        <v>0</v>
      </c>
      <c r="V63">
        <f t="shared" si="161"/>
        <v>0</v>
      </c>
      <c r="W63">
        <f t="shared" si="162"/>
        <v>0</v>
      </c>
      <c r="X63">
        <f t="shared" si="163"/>
        <v>0</v>
      </c>
      <c r="Y63">
        <f t="shared" si="164"/>
        <v>0</v>
      </c>
      <c r="Z63">
        <f t="shared" si="165"/>
        <v>0</v>
      </c>
      <c r="AA63">
        <f t="shared" si="166"/>
        <v>0</v>
      </c>
      <c r="AB63">
        <f t="shared" si="167"/>
        <v>0</v>
      </c>
      <c r="AC63">
        <f t="shared" si="168"/>
        <v>0</v>
      </c>
      <c r="AD63">
        <f t="shared" si="169"/>
        <v>0</v>
      </c>
      <c r="AE63">
        <f t="shared" si="170"/>
        <v>0</v>
      </c>
      <c r="AF63">
        <f t="shared" si="171"/>
        <v>0</v>
      </c>
      <c r="AG63">
        <f t="shared" si="172"/>
        <v>0</v>
      </c>
      <c r="AH63">
        <f t="shared" si="173"/>
        <v>0</v>
      </c>
      <c r="AI63">
        <f t="shared" si="174"/>
        <v>0</v>
      </c>
      <c r="AJ63">
        <f t="shared" si="175"/>
        <v>0</v>
      </c>
      <c r="AK63">
        <f t="shared" si="176"/>
        <v>0</v>
      </c>
      <c r="AL63">
        <f t="shared" si="177"/>
        <v>0</v>
      </c>
      <c r="AM63">
        <f t="shared" si="178"/>
        <v>0</v>
      </c>
      <c r="AN63">
        <f t="shared" si="179"/>
        <v>0</v>
      </c>
      <c r="AO63">
        <f t="shared" si="180"/>
        <v>0</v>
      </c>
      <c r="AP63">
        <f t="shared" si="181"/>
        <v>0</v>
      </c>
      <c r="AQ63">
        <f t="shared" si="182"/>
        <v>0</v>
      </c>
      <c r="AR63">
        <f t="shared" si="183"/>
        <v>0</v>
      </c>
      <c r="AS63">
        <f t="shared" si="184"/>
        <v>0</v>
      </c>
      <c r="AT63">
        <f t="shared" si="185"/>
        <v>0</v>
      </c>
      <c r="AU63">
        <f t="shared" si="186"/>
        <v>0</v>
      </c>
      <c r="AV63">
        <f t="shared" si="187"/>
        <v>0</v>
      </c>
      <c r="AW63">
        <f t="shared" si="188"/>
        <v>0</v>
      </c>
      <c r="AX63">
        <f t="shared" si="189"/>
        <v>0</v>
      </c>
      <c r="AY63">
        <f>IF(M63&gt;N63+(SUM(O63:AX63)),N63,M63-(SUM($O63:AX63)))</f>
        <v>0</v>
      </c>
      <c r="AZ63">
        <f t="shared" si="190"/>
        <v>0</v>
      </c>
      <c r="BA63">
        <f t="shared" si="191"/>
        <v>0</v>
      </c>
      <c r="BB63">
        <f t="shared" si="192"/>
        <v>0</v>
      </c>
      <c r="BC63">
        <f t="shared" si="193"/>
        <v>0</v>
      </c>
      <c r="BD63">
        <f t="shared" si="194"/>
        <v>0</v>
      </c>
      <c r="BE63">
        <f t="shared" si="195"/>
        <v>0</v>
      </c>
      <c r="BF63">
        <f t="shared" si="196"/>
        <v>0</v>
      </c>
      <c r="BG63">
        <f t="shared" si="197"/>
        <v>0</v>
      </c>
      <c r="BH63">
        <f t="shared" si="198"/>
        <v>0</v>
      </c>
      <c r="BI63">
        <f t="shared" si="199"/>
        <v>0</v>
      </c>
      <c r="BJ63">
        <f t="shared" si="200"/>
        <v>0</v>
      </c>
      <c r="BK63">
        <f t="shared" si="201"/>
        <v>0</v>
      </c>
      <c r="BL63">
        <f t="shared" si="202"/>
        <v>0</v>
      </c>
      <c r="BM63">
        <f t="shared" si="203"/>
        <v>0</v>
      </c>
      <c r="BN63">
        <f t="shared" si="204"/>
        <v>0</v>
      </c>
      <c r="BO63">
        <f t="shared" si="205"/>
        <v>0</v>
      </c>
      <c r="BP63">
        <f t="shared" si="206"/>
        <v>0</v>
      </c>
      <c r="BQ63">
        <f t="shared" si="207"/>
        <v>0</v>
      </c>
      <c r="BR63">
        <f t="shared" si="208"/>
        <v>0</v>
      </c>
      <c r="BS63">
        <f t="shared" si="209"/>
        <v>0</v>
      </c>
      <c r="BT63">
        <f t="shared" si="210"/>
        <v>0</v>
      </c>
      <c r="BU63">
        <f t="shared" si="211"/>
        <v>0</v>
      </c>
      <c r="BV63">
        <f t="shared" si="212"/>
        <v>0</v>
      </c>
    </row>
    <row r="64" spans="1:74" x14ac:dyDescent="0.25">
      <c r="O64" s="3">
        <f t="shared" si="154"/>
        <v>0</v>
      </c>
      <c r="P64">
        <f t="shared" si="155"/>
        <v>0</v>
      </c>
      <c r="Q64">
        <f t="shared" si="156"/>
        <v>0</v>
      </c>
      <c r="R64">
        <f t="shared" si="157"/>
        <v>0</v>
      </c>
      <c r="S64">
        <f t="shared" si="158"/>
        <v>0</v>
      </c>
      <c r="T64">
        <f t="shared" si="159"/>
        <v>0</v>
      </c>
      <c r="U64">
        <f t="shared" si="160"/>
        <v>0</v>
      </c>
      <c r="V64">
        <f t="shared" si="161"/>
        <v>0</v>
      </c>
      <c r="W64">
        <f t="shared" si="162"/>
        <v>0</v>
      </c>
      <c r="X64">
        <f t="shared" si="163"/>
        <v>0</v>
      </c>
      <c r="Y64">
        <f t="shared" si="164"/>
        <v>0</v>
      </c>
      <c r="Z64">
        <f t="shared" si="165"/>
        <v>0</v>
      </c>
      <c r="AA64">
        <f t="shared" si="166"/>
        <v>0</v>
      </c>
      <c r="AB64">
        <f t="shared" si="167"/>
        <v>0</v>
      </c>
      <c r="AC64">
        <f t="shared" si="168"/>
        <v>0</v>
      </c>
      <c r="AD64">
        <f t="shared" si="169"/>
        <v>0</v>
      </c>
      <c r="AE64">
        <f t="shared" si="170"/>
        <v>0</v>
      </c>
      <c r="AF64">
        <f t="shared" si="171"/>
        <v>0</v>
      </c>
      <c r="AG64">
        <f t="shared" si="172"/>
        <v>0</v>
      </c>
      <c r="AH64">
        <f t="shared" si="173"/>
        <v>0</v>
      </c>
      <c r="AI64">
        <f t="shared" si="174"/>
        <v>0</v>
      </c>
      <c r="AJ64">
        <f t="shared" si="175"/>
        <v>0</v>
      </c>
      <c r="AK64">
        <f t="shared" si="176"/>
        <v>0</v>
      </c>
      <c r="AL64">
        <f t="shared" si="177"/>
        <v>0</v>
      </c>
      <c r="AM64">
        <f t="shared" si="178"/>
        <v>0</v>
      </c>
      <c r="AN64">
        <f t="shared" si="179"/>
        <v>0</v>
      </c>
      <c r="AO64">
        <f t="shared" si="180"/>
        <v>0</v>
      </c>
      <c r="AP64">
        <f t="shared" si="181"/>
        <v>0</v>
      </c>
      <c r="AQ64">
        <f t="shared" si="182"/>
        <v>0</v>
      </c>
      <c r="AR64">
        <f t="shared" si="183"/>
        <v>0</v>
      </c>
      <c r="AS64">
        <f t="shared" si="184"/>
        <v>0</v>
      </c>
      <c r="AT64">
        <f t="shared" si="185"/>
        <v>0</v>
      </c>
      <c r="AU64">
        <f t="shared" si="186"/>
        <v>0</v>
      </c>
      <c r="AV64">
        <f t="shared" si="187"/>
        <v>0</v>
      </c>
      <c r="AW64">
        <f t="shared" si="188"/>
        <v>0</v>
      </c>
      <c r="AX64">
        <f t="shared" si="189"/>
        <v>0</v>
      </c>
      <c r="AY64">
        <f>IF(M64&gt;N64+(SUM(O64:AX64)),N64,M64-(SUM($O64:AX64)))</f>
        <v>0</v>
      </c>
      <c r="AZ64">
        <f t="shared" si="190"/>
        <v>0</v>
      </c>
      <c r="BA64">
        <f t="shared" si="191"/>
        <v>0</v>
      </c>
      <c r="BB64">
        <f t="shared" si="192"/>
        <v>0</v>
      </c>
      <c r="BC64">
        <f t="shared" si="193"/>
        <v>0</v>
      </c>
      <c r="BD64">
        <f t="shared" si="194"/>
        <v>0</v>
      </c>
      <c r="BE64">
        <f t="shared" si="195"/>
        <v>0</v>
      </c>
      <c r="BF64">
        <f t="shared" si="196"/>
        <v>0</v>
      </c>
      <c r="BG64">
        <f t="shared" si="197"/>
        <v>0</v>
      </c>
      <c r="BH64">
        <f t="shared" si="198"/>
        <v>0</v>
      </c>
      <c r="BI64">
        <f t="shared" si="199"/>
        <v>0</v>
      </c>
      <c r="BJ64">
        <f t="shared" si="200"/>
        <v>0</v>
      </c>
      <c r="BK64">
        <f t="shared" si="201"/>
        <v>0</v>
      </c>
      <c r="BL64">
        <f t="shared" si="202"/>
        <v>0</v>
      </c>
      <c r="BM64">
        <f t="shared" si="203"/>
        <v>0</v>
      </c>
      <c r="BN64">
        <f t="shared" si="204"/>
        <v>0</v>
      </c>
      <c r="BO64">
        <f t="shared" si="205"/>
        <v>0</v>
      </c>
      <c r="BP64">
        <f t="shared" si="206"/>
        <v>0</v>
      </c>
      <c r="BQ64">
        <f t="shared" si="207"/>
        <v>0</v>
      </c>
      <c r="BR64">
        <f t="shared" si="208"/>
        <v>0</v>
      </c>
      <c r="BS64">
        <f t="shared" si="209"/>
        <v>0</v>
      </c>
      <c r="BT64">
        <f t="shared" si="210"/>
        <v>0</v>
      </c>
      <c r="BU64">
        <f t="shared" si="211"/>
        <v>0</v>
      </c>
      <c r="BV64">
        <f t="shared" si="212"/>
        <v>0</v>
      </c>
    </row>
    <row r="65" spans="15:74" x14ac:dyDescent="0.25">
      <c r="O65" s="3">
        <f t="shared" si="154"/>
        <v>0</v>
      </c>
      <c r="P65">
        <f t="shared" si="155"/>
        <v>0</v>
      </c>
      <c r="Q65">
        <f t="shared" si="156"/>
        <v>0</v>
      </c>
      <c r="R65">
        <f t="shared" si="157"/>
        <v>0</v>
      </c>
      <c r="S65">
        <f t="shared" si="158"/>
        <v>0</v>
      </c>
      <c r="T65">
        <f t="shared" si="159"/>
        <v>0</v>
      </c>
      <c r="U65">
        <f t="shared" si="160"/>
        <v>0</v>
      </c>
      <c r="V65">
        <f t="shared" si="161"/>
        <v>0</v>
      </c>
      <c r="W65">
        <f t="shared" si="162"/>
        <v>0</v>
      </c>
      <c r="X65">
        <f t="shared" si="163"/>
        <v>0</v>
      </c>
      <c r="Y65">
        <f t="shared" si="164"/>
        <v>0</v>
      </c>
      <c r="Z65">
        <f t="shared" si="165"/>
        <v>0</v>
      </c>
      <c r="AA65">
        <f t="shared" si="166"/>
        <v>0</v>
      </c>
      <c r="AB65">
        <f t="shared" si="167"/>
        <v>0</v>
      </c>
      <c r="AC65">
        <f t="shared" si="168"/>
        <v>0</v>
      </c>
      <c r="AD65">
        <f t="shared" si="169"/>
        <v>0</v>
      </c>
      <c r="AE65">
        <f t="shared" si="170"/>
        <v>0</v>
      </c>
      <c r="AF65">
        <f t="shared" si="171"/>
        <v>0</v>
      </c>
      <c r="AG65">
        <f t="shared" si="172"/>
        <v>0</v>
      </c>
      <c r="AH65">
        <f t="shared" si="173"/>
        <v>0</v>
      </c>
      <c r="AI65">
        <f t="shared" si="174"/>
        <v>0</v>
      </c>
      <c r="AJ65">
        <f t="shared" si="175"/>
        <v>0</v>
      </c>
      <c r="AK65">
        <f t="shared" si="176"/>
        <v>0</v>
      </c>
      <c r="AL65">
        <f t="shared" si="177"/>
        <v>0</v>
      </c>
      <c r="AM65">
        <f t="shared" si="178"/>
        <v>0</v>
      </c>
      <c r="AN65">
        <f t="shared" si="179"/>
        <v>0</v>
      </c>
      <c r="AO65">
        <f t="shared" si="180"/>
        <v>0</v>
      </c>
      <c r="AP65">
        <f t="shared" si="181"/>
        <v>0</v>
      </c>
      <c r="AQ65">
        <f t="shared" si="182"/>
        <v>0</v>
      </c>
      <c r="AR65">
        <f t="shared" si="183"/>
        <v>0</v>
      </c>
      <c r="AS65">
        <f t="shared" si="184"/>
        <v>0</v>
      </c>
      <c r="AT65">
        <f t="shared" si="185"/>
        <v>0</v>
      </c>
      <c r="AU65">
        <f t="shared" si="186"/>
        <v>0</v>
      </c>
      <c r="AV65">
        <f t="shared" si="187"/>
        <v>0</v>
      </c>
      <c r="AW65">
        <f t="shared" si="188"/>
        <v>0</v>
      </c>
      <c r="AX65">
        <f t="shared" si="189"/>
        <v>0</v>
      </c>
      <c r="AY65">
        <f>IF(M65&gt;N65+(SUM(O65:AX65)),N65,M65-(SUM($O65:AX65)))</f>
        <v>0</v>
      </c>
      <c r="AZ65">
        <f t="shared" si="190"/>
        <v>0</v>
      </c>
      <c r="BA65">
        <f t="shared" si="191"/>
        <v>0</v>
      </c>
      <c r="BB65">
        <f t="shared" si="192"/>
        <v>0</v>
      </c>
      <c r="BC65">
        <f t="shared" si="193"/>
        <v>0</v>
      </c>
      <c r="BD65">
        <f t="shared" si="194"/>
        <v>0</v>
      </c>
      <c r="BE65">
        <f t="shared" si="195"/>
        <v>0</v>
      </c>
      <c r="BF65">
        <f t="shared" si="196"/>
        <v>0</v>
      </c>
      <c r="BG65">
        <f t="shared" si="197"/>
        <v>0</v>
      </c>
      <c r="BH65">
        <f t="shared" si="198"/>
        <v>0</v>
      </c>
      <c r="BI65">
        <f t="shared" si="199"/>
        <v>0</v>
      </c>
      <c r="BJ65">
        <f t="shared" si="200"/>
        <v>0</v>
      </c>
      <c r="BK65">
        <f t="shared" si="201"/>
        <v>0</v>
      </c>
      <c r="BL65">
        <f t="shared" si="202"/>
        <v>0</v>
      </c>
      <c r="BM65">
        <f t="shared" si="203"/>
        <v>0</v>
      </c>
      <c r="BN65">
        <f t="shared" si="204"/>
        <v>0</v>
      </c>
      <c r="BO65">
        <f t="shared" si="205"/>
        <v>0</v>
      </c>
      <c r="BP65">
        <f t="shared" si="206"/>
        <v>0</v>
      </c>
      <c r="BQ65">
        <f t="shared" si="207"/>
        <v>0</v>
      </c>
      <c r="BR65">
        <f t="shared" si="208"/>
        <v>0</v>
      </c>
      <c r="BS65">
        <f t="shared" si="209"/>
        <v>0</v>
      </c>
      <c r="BT65">
        <f t="shared" si="210"/>
        <v>0</v>
      </c>
      <c r="BU65">
        <f t="shared" si="211"/>
        <v>0</v>
      </c>
      <c r="BV65">
        <f t="shared" si="212"/>
        <v>0</v>
      </c>
    </row>
    <row r="66" spans="15:74" x14ac:dyDescent="0.25">
      <c r="O66" s="3">
        <f t="shared" si="154"/>
        <v>0</v>
      </c>
      <c r="P66">
        <f t="shared" si="155"/>
        <v>0</v>
      </c>
      <c r="Q66">
        <f t="shared" si="156"/>
        <v>0</v>
      </c>
      <c r="R66">
        <f t="shared" si="157"/>
        <v>0</v>
      </c>
      <c r="S66">
        <f t="shared" si="158"/>
        <v>0</v>
      </c>
      <c r="T66">
        <f t="shared" si="159"/>
        <v>0</v>
      </c>
      <c r="U66">
        <f t="shared" si="160"/>
        <v>0</v>
      </c>
      <c r="V66">
        <f t="shared" si="161"/>
        <v>0</v>
      </c>
      <c r="W66">
        <f t="shared" si="162"/>
        <v>0</v>
      </c>
      <c r="X66">
        <f t="shared" si="163"/>
        <v>0</v>
      </c>
      <c r="Y66">
        <f t="shared" si="164"/>
        <v>0</v>
      </c>
      <c r="Z66">
        <f t="shared" si="165"/>
        <v>0</v>
      </c>
      <c r="AA66">
        <f t="shared" si="166"/>
        <v>0</v>
      </c>
      <c r="AB66">
        <f t="shared" si="167"/>
        <v>0</v>
      </c>
      <c r="AC66">
        <f t="shared" si="168"/>
        <v>0</v>
      </c>
      <c r="AD66">
        <f t="shared" si="169"/>
        <v>0</v>
      </c>
      <c r="AE66">
        <f t="shared" si="170"/>
        <v>0</v>
      </c>
      <c r="AF66">
        <f t="shared" si="171"/>
        <v>0</v>
      </c>
      <c r="AG66">
        <f t="shared" si="172"/>
        <v>0</v>
      </c>
      <c r="AH66">
        <f t="shared" si="173"/>
        <v>0</v>
      </c>
      <c r="AI66">
        <f t="shared" si="174"/>
        <v>0</v>
      </c>
      <c r="AJ66">
        <f t="shared" si="175"/>
        <v>0</v>
      </c>
      <c r="AK66">
        <f t="shared" si="176"/>
        <v>0</v>
      </c>
      <c r="AL66">
        <f t="shared" si="177"/>
        <v>0</v>
      </c>
      <c r="AM66">
        <f t="shared" si="178"/>
        <v>0</v>
      </c>
      <c r="AN66">
        <f t="shared" si="179"/>
        <v>0</v>
      </c>
      <c r="AO66">
        <f t="shared" si="180"/>
        <v>0</v>
      </c>
      <c r="AP66">
        <f t="shared" si="181"/>
        <v>0</v>
      </c>
      <c r="AQ66">
        <f t="shared" si="182"/>
        <v>0</v>
      </c>
      <c r="AR66">
        <f t="shared" si="183"/>
        <v>0</v>
      </c>
      <c r="AS66">
        <f t="shared" si="184"/>
        <v>0</v>
      </c>
      <c r="AT66">
        <f t="shared" si="185"/>
        <v>0</v>
      </c>
      <c r="AU66">
        <f t="shared" si="186"/>
        <v>0</v>
      </c>
      <c r="AV66">
        <f t="shared" si="187"/>
        <v>0</v>
      </c>
      <c r="AW66">
        <f t="shared" si="188"/>
        <v>0</v>
      </c>
      <c r="AX66">
        <f t="shared" si="189"/>
        <v>0</v>
      </c>
      <c r="AY66">
        <f>IF(M66&gt;N66+(SUM(O66:AX66)),N66,M66-(SUM($O66:AX66)))</f>
        <v>0</v>
      </c>
      <c r="AZ66">
        <f t="shared" si="190"/>
        <v>0</v>
      </c>
      <c r="BA66">
        <f t="shared" si="191"/>
        <v>0</v>
      </c>
      <c r="BB66">
        <f t="shared" si="192"/>
        <v>0</v>
      </c>
      <c r="BC66">
        <f t="shared" si="193"/>
        <v>0</v>
      </c>
      <c r="BD66">
        <f t="shared" si="194"/>
        <v>0</v>
      </c>
      <c r="BE66">
        <f t="shared" si="195"/>
        <v>0</v>
      </c>
      <c r="BF66">
        <f t="shared" si="196"/>
        <v>0</v>
      </c>
      <c r="BG66">
        <f t="shared" si="197"/>
        <v>0</v>
      </c>
      <c r="BH66">
        <f t="shared" si="198"/>
        <v>0</v>
      </c>
      <c r="BI66">
        <f t="shared" si="199"/>
        <v>0</v>
      </c>
      <c r="BJ66">
        <f t="shared" si="200"/>
        <v>0</v>
      </c>
      <c r="BK66">
        <f t="shared" si="201"/>
        <v>0</v>
      </c>
      <c r="BL66">
        <f t="shared" si="202"/>
        <v>0</v>
      </c>
      <c r="BM66">
        <f t="shared" si="203"/>
        <v>0</v>
      </c>
      <c r="BN66">
        <f t="shared" si="204"/>
        <v>0</v>
      </c>
      <c r="BO66">
        <f t="shared" si="205"/>
        <v>0</v>
      </c>
      <c r="BP66">
        <f t="shared" si="206"/>
        <v>0</v>
      </c>
      <c r="BQ66">
        <f t="shared" si="207"/>
        <v>0</v>
      </c>
      <c r="BR66">
        <f t="shared" si="208"/>
        <v>0</v>
      </c>
      <c r="BS66">
        <f t="shared" si="209"/>
        <v>0</v>
      </c>
      <c r="BT66">
        <f t="shared" si="210"/>
        <v>0</v>
      </c>
      <c r="BU66">
        <f t="shared" si="211"/>
        <v>0</v>
      </c>
      <c r="BV66">
        <f t="shared" si="212"/>
        <v>0</v>
      </c>
    </row>
    <row r="67" spans="15:74" x14ac:dyDescent="0.25">
      <c r="O67" s="3">
        <f t="shared" si="154"/>
        <v>0</v>
      </c>
      <c r="P67">
        <f t="shared" si="155"/>
        <v>0</v>
      </c>
      <c r="Q67">
        <f t="shared" si="156"/>
        <v>0</v>
      </c>
      <c r="R67">
        <f t="shared" si="157"/>
        <v>0</v>
      </c>
      <c r="S67">
        <f t="shared" si="158"/>
        <v>0</v>
      </c>
      <c r="T67">
        <f t="shared" si="159"/>
        <v>0</v>
      </c>
      <c r="U67">
        <f t="shared" si="160"/>
        <v>0</v>
      </c>
      <c r="V67">
        <f t="shared" si="161"/>
        <v>0</v>
      </c>
      <c r="W67">
        <f t="shared" si="162"/>
        <v>0</v>
      </c>
      <c r="X67">
        <f t="shared" si="163"/>
        <v>0</v>
      </c>
      <c r="Y67">
        <f t="shared" si="164"/>
        <v>0</v>
      </c>
      <c r="Z67">
        <f t="shared" si="165"/>
        <v>0</v>
      </c>
      <c r="AA67">
        <f t="shared" si="166"/>
        <v>0</v>
      </c>
      <c r="AB67">
        <f t="shared" si="167"/>
        <v>0</v>
      </c>
      <c r="AC67">
        <f t="shared" si="168"/>
        <v>0</v>
      </c>
      <c r="AD67">
        <f t="shared" si="169"/>
        <v>0</v>
      </c>
      <c r="AE67">
        <f t="shared" si="170"/>
        <v>0</v>
      </c>
      <c r="AF67">
        <f t="shared" si="171"/>
        <v>0</v>
      </c>
      <c r="AG67">
        <f t="shared" si="172"/>
        <v>0</v>
      </c>
      <c r="AH67">
        <f t="shared" si="173"/>
        <v>0</v>
      </c>
      <c r="AI67">
        <f t="shared" si="174"/>
        <v>0</v>
      </c>
      <c r="AJ67">
        <f t="shared" si="175"/>
        <v>0</v>
      </c>
      <c r="AK67">
        <f t="shared" si="176"/>
        <v>0</v>
      </c>
      <c r="AL67">
        <f t="shared" si="177"/>
        <v>0</v>
      </c>
      <c r="AM67">
        <f t="shared" si="178"/>
        <v>0</v>
      </c>
      <c r="AN67">
        <f t="shared" si="179"/>
        <v>0</v>
      </c>
      <c r="AO67">
        <f t="shared" si="180"/>
        <v>0</v>
      </c>
      <c r="AP67">
        <f t="shared" si="181"/>
        <v>0</v>
      </c>
      <c r="AQ67">
        <f t="shared" si="182"/>
        <v>0</v>
      </c>
      <c r="AR67">
        <f t="shared" si="183"/>
        <v>0</v>
      </c>
      <c r="AS67">
        <f t="shared" si="184"/>
        <v>0</v>
      </c>
      <c r="AT67">
        <f t="shared" si="185"/>
        <v>0</v>
      </c>
      <c r="AU67">
        <f t="shared" si="186"/>
        <v>0</v>
      </c>
      <c r="AV67">
        <f t="shared" si="187"/>
        <v>0</v>
      </c>
      <c r="AW67">
        <f t="shared" si="188"/>
        <v>0</v>
      </c>
      <c r="AX67">
        <f t="shared" si="189"/>
        <v>0</v>
      </c>
      <c r="AY67">
        <f>IF(M67&gt;N67+(SUM(O67:AX67)),N67,M67-(SUM($O67:AX67)))</f>
        <v>0</v>
      </c>
      <c r="AZ67">
        <f t="shared" si="190"/>
        <v>0</v>
      </c>
      <c r="BA67">
        <f t="shared" si="191"/>
        <v>0</v>
      </c>
      <c r="BB67">
        <f t="shared" si="192"/>
        <v>0</v>
      </c>
      <c r="BC67">
        <f t="shared" si="193"/>
        <v>0</v>
      </c>
      <c r="BD67">
        <f t="shared" si="194"/>
        <v>0</v>
      </c>
      <c r="BE67">
        <f t="shared" si="195"/>
        <v>0</v>
      </c>
      <c r="BF67">
        <f t="shared" si="196"/>
        <v>0</v>
      </c>
      <c r="BG67">
        <f t="shared" si="197"/>
        <v>0</v>
      </c>
      <c r="BH67">
        <f t="shared" si="198"/>
        <v>0</v>
      </c>
      <c r="BI67">
        <f t="shared" si="199"/>
        <v>0</v>
      </c>
      <c r="BJ67">
        <f t="shared" si="200"/>
        <v>0</v>
      </c>
      <c r="BK67">
        <f t="shared" si="201"/>
        <v>0</v>
      </c>
      <c r="BL67">
        <f t="shared" si="202"/>
        <v>0</v>
      </c>
      <c r="BM67">
        <f t="shared" si="203"/>
        <v>0</v>
      </c>
      <c r="BN67">
        <f t="shared" si="204"/>
        <v>0</v>
      </c>
      <c r="BO67">
        <f t="shared" si="205"/>
        <v>0</v>
      </c>
      <c r="BP67">
        <f t="shared" si="206"/>
        <v>0</v>
      </c>
      <c r="BQ67">
        <f t="shared" si="207"/>
        <v>0</v>
      </c>
      <c r="BR67">
        <f t="shared" si="208"/>
        <v>0</v>
      </c>
      <c r="BS67">
        <f t="shared" si="209"/>
        <v>0</v>
      </c>
      <c r="BT67">
        <f t="shared" si="210"/>
        <v>0</v>
      </c>
      <c r="BU67">
        <f t="shared" si="211"/>
        <v>0</v>
      </c>
      <c r="BV67">
        <f t="shared" si="212"/>
        <v>0</v>
      </c>
    </row>
    <row r="68" spans="15:74" x14ac:dyDescent="0.25">
      <c r="O68" s="3">
        <f t="shared" si="154"/>
        <v>0</v>
      </c>
      <c r="P68">
        <f t="shared" si="155"/>
        <v>0</v>
      </c>
      <c r="Q68">
        <f t="shared" si="156"/>
        <v>0</v>
      </c>
      <c r="R68">
        <f t="shared" si="157"/>
        <v>0</v>
      </c>
      <c r="S68">
        <f t="shared" si="158"/>
        <v>0</v>
      </c>
      <c r="T68">
        <f t="shared" si="159"/>
        <v>0</v>
      </c>
      <c r="U68">
        <f t="shared" si="160"/>
        <v>0</v>
      </c>
      <c r="V68">
        <f t="shared" si="161"/>
        <v>0</v>
      </c>
      <c r="W68">
        <f t="shared" si="162"/>
        <v>0</v>
      </c>
      <c r="X68">
        <f t="shared" si="163"/>
        <v>0</v>
      </c>
      <c r="Y68">
        <f t="shared" si="164"/>
        <v>0</v>
      </c>
      <c r="Z68">
        <f t="shared" si="165"/>
        <v>0</v>
      </c>
      <c r="AA68">
        <f t="shared" si="166"/>
        <v>0</v>
      </c>
      <c r="AB68">
        <f t="shared" si="167"/>
        <v>0</v>
      </c>
      <c r="AC68">
        <f t="shared" si="168"/>
        <v>0</v>
      </c>
      <c r="AD68">
        <f t="shared" si="169"/>
        <v>0</v>
      </c>
      <c r="AE68">
        <f t="shared" si="170"/>
        <v>0</v>
      </c>
      <c r="AF68">
        <f t="shared" si="171"/>
        <v>0</v>
      </c>
      <c r="AG68">
        <f t="shared" si="172"/>
        <v>0</v>
      </c>
      <c r="AH68">
        <f t="shared" si="173"/>
        <v>0</v>
      </c>
      <c r="AI68">
        <f t="shared" si="174"/>
        <v>0</v>
      </c>
      <c r="AJ68">
        <f t="shared" si="175"/>
        <v>0</v>
      </c>
      <c r="AK68">
        <f t="shared" si="176"/>
        <v>0</v>
      </c>
      <c r="AL68">
        <f t="shared" si="177"/>
        <v>0</v>
      </c>
      <c r="AM68">
        <f t="shared" si="178"/>
        <v>0</v>
      </c>
      <c r="AN68">
        <f t="shared" si="179"/>
        <v>0</v>
      </c>
      <c r="AO68">
        <f t="shared" si="180"/>
        <v>0</v>
      </c>
      <c r="AP68">
        <f t="shared" si="181"/>
        <v>0</v>
      </c>
      <c r="AQ68">
        <f t="shared" si="182"/>
        <v>0</v>
      </c>
      <c r="AR68">
        <f t="shared" si="183"/>
        <v>0</v>
      </c>
      <c r="AS68">
        <f t="shared" si="184"/>
        <v>0</v>
      </c>
      <c r="AT68">
        <f t="shared" si="185"/>
        <v>0</v>
      </c>
      <c r="AU68">
        <f t="shared" si="186"/>
        <v>0</v>
      </c>
      <c r="AV68">
        <f t="shared" si="187"/>
        <v>0</v>
      </c>
      <c r="AW68">
        <f t="shared" si="188"/>
        <v>0</v>
      </c>
      <c r="AX68">
        <f t="shared" si="189"/>
        <v>0</v>
      </c>
      <c r="AY68">
        <f>IF(M68&gt;N68+(SUM(O68:AX68)),N68,M68-(SUM($O68:AX68)))</f>
        <v>0</v>
      </c>
      <c r="AZ68">
        <f t="shared" si="190"/>
        <v>0</v>
      </c>
      <c r="BA68">
        <f t="shared" si="191"/>
        <v>0</v>
      </c>
      <c r="BB68">
        <f t="shared" si="192"/>
        <v>0</v>
      </c>
      <c r="BC68">
        <f t="shared" si="193"/>
        <v>0</v>
      </c>
      <c r="BD68">
        <f t="shared" si="194"/>
        <v>0</v>
      </c>
      <c r="BE68">
        <f t="shared" si="195"/>
        <v>0</v>
      </c>
      <c r="BF68">
        <f t="shared" si="196"/>
        <v>0</v>
      </c>
      <c r="BG68">
        <f t="shared" si="197"/>
        <v>0</v>
      </c>
      <c r="BH68">
        <f t="shared" si="198"/>
        <v>0</v>
      </c>
      <c r="BI68">
        <f t="shared" si="199"/>
        <v>0</v>
      </c>
      <c r="BJ68">
        <f t="shared" si="200"/>
        <v>0</v>
      </c>
      <c r="BK68">
        <f t="shared" si="201"/>
        <v>0</v>
      </c>
      <c r="BL68">
        <f t="shared" si="202"/>
        <v>0</v>
      </c>
      <c r="BM68">
        <f t="shared" si="203"/>
        <v>0</v>
      </c>
      <c r="BN68">
        <f t="shared" si="204"/>
        <v>0</v>
      </c>
      <c r="BO68">
        <f t="shared" si="205"/>
        <v>0</v>
      </c>
      <c r="BP68">
        <f t="shared" si="206"/>
        <v>0</v>
      </c>
      <c r="BQ68">
        <f t="shared" si="207"/>
        <v>0</v>
      </c>
      <c r="BR68">
        <f t="shared" si="208"/>
        <v>0</v>
      </c>
      <c r="BS68">
        <f t="shared" si="209"/>
        <v>0</v>
      </c>
      <c r="BT68">
        <f t="shared" si="210"/>
        <v>0</v>
      </c>
      <c r="BU68">
        <f t="shared" si="211"/>
        <v>0</v>
      </c>
      <c r="BV68">
        <f t="shared" si="212"/>
        <v>0</v>
      </c>
    </row>
    <row r="69" spans="15:74" x14ac:dyDescent="0.25">
      <c r="O69" s="3">
        <f t="shared" si="154"/>
        <v>0</v>
      </c>
      <c r="P69">
        <f t="shared" si="155"/>
        <v>0</v>
      </c>
      <c r="Q69">
        <f t="shared" si="156"/>
        <v>0</v>
      </c>
      <c r="R69">
        <f t="shared" si="157"/>
        <v>0</v>
      </c>
      <c r="S69">
        <f t="shared" si="158"/>
        <v>0</v>
      </c>
      <c r="T69">
        <f t="shared" si="159"/>
        <v>0</v>
      </c>
      <c r="U69">
        <f t="shared" si="160"/>
        <v>0</v>
      </c>
      <c r="V69">
        <f t="shared" si="161"/>
        <v>0</v>
      </c>
      <c r="W69">
        <f t="shared" si="162"/>
        <v>0</v>
      </c>
      <c r="X69">
        <f t="shared" si="163"/>
        <v>0</v>
      </c>
      <c r="Y69">
        <f t="shared" si="164"/>
        <v>0</v>
      </c>
      <c r="Z69">
        <f t="shared" si="165"/>
        <v>0</v>
      </c>
      <c r="AA69">
        <f t="shared" si="166"/>
        <v>0</v>
      </c>
      <c r="AB69">
        <f t="shared" si="167"/>
        <v>0</v>
      </c>
      <c r="AC69">
        <f t="shared" si="168"/>
        <v>0</v>
      </c>
      <c r="AD69">
        <f t="shared" si="169"/>
        <v>0</v>
      </c>
      <c r="AE69">
        <f t="shared" si="170"/>
        <v>0</v>
      </c>
      <c r="AF69">
        <f t="shared" si="171"/>
        <v>0</v>
      </c>
      <c r="AG69">
        <f t="shared" si="172"/>
        <v>0</v>
      </c>
      <c r="AH69">
        <f t="shared" si="173"/>
        <v>0</v>
      </c>
      <c r="AI69">
        <f t="shared" si="174"/>
        <v>0</v>
      </c>
      <c r="AJ69">
        <f t="shared" si="175"/>
        <v>0</v>
      </c>
      <c r="AK69">
        <f t="shared" si="176"/>
        <v>0</v>
      </c>
      <c r="AL69">
        <f t="shared" si="177"/>
        <v>0</v>
      </c>
      <c r="AM69">
        <f t="shared" si="178"/>
        <v>0</v>
      </c>
      <c r="AN69">
        <f t="shared" si="179"/>
        <v>0</v>
      </c>
      <c r="AO69">
        <f t="shared" si="180"/>
        <v>0</v>
      </c>
      <c r="AP69">
        <f t="shared" si="181"/>
        <v>0</v>
      </c>
      <c r="AQ69">
        <f t="shared" si="182"/>
        <v>0</v>
      </c>
      <c r="AR69">
        <f t="shared" si="183"/>
        <v>0</v>
      </c>
      <c r="AS69">
        <f t="shared" si="184"/>
        <v>0</v>
      </c>
      <c r="AT69">
        <f t="shared" si="185"/>
        <v>0</v>
      </c>
      <c r="AU69">
        <f t="shared" si="186"/>
        <v>0</v>
      </c>
      <c r="AV69">
        <f t="shared" si="187"/>
        <v>0</v>
      </c>
      <c r="AW69">
        <f t="shared" si="188"/>
        <v>0</v>
      </c>
      <c r="AX69">
        <f t="shared" si="189"/>
        <v>0</v>
      </c>
      <c r="AY69">
        <f>IF(M69&gt;N69+(SUM(O69:AX69)),N69,M69-(SUM($O69:AX69)))</f>
        <v>0</v>
      </c>
      <c r="AZ69">
        <f t="shared" si="190"/>
        <v>0</v>
      </c>
      <c r="BA69">
        <f t="shared" si="191"/>
        <v>0</v>
      </c>
      <c r="BB69">
        <f t="shared" si="192"/>
        <v>0</v>
      </c>
      <c r="BC69">
        <f t="shared" si="193"/>
        <v>0</v>
      </c>
      <c r="BD69">
        <f t="shared" si="194"/>
        <v>0</v>
      </c>
      <c r="BE69">
        <f t="shared" si="195"/>
        <v>0</v>
      </c>
      <c r="BF69">
        <f t="shared" si="196"/>
        <v>0</v>
      </c>
      <c r="BG69">
        <f t="shared" si="197"/>
        <v>0</v>
      </c>
      <c r="BH69">
        <f t="shared" si="198"/>
        <v>0</v>
      </c>
      <c r="BI69">
        <f t="shared" si="199"/>
        <v>0</v>
      </c>
      <c r="BJ69">
        <f t="shared" si="200"/>
        <v>0</v>
      </c>
      <c r="BK69">
        <f t="shared" si="201"/>
        <v>0</v>
      </c>
      <c r="BL69">
        <f t="shared" si="202"/>
        <v>0</v>
      </c>
      <c r="BM69">
        <f t="shared" si="203"/>
        <v>0</v>
      </c>
      <c r="BN69">
        <f t="shared" si="204"/>
        <v>0</v>
      </c>
      <c r="BO69">
        <f t="shared" si="205"/>
        <v>0</v>
      </c>
      <c r="BP69">
        <f t="shared" si="206"/>
        <v>0</v>
      </c>
      <c r="BQ69">
        <f t="shared" si="207"/>
        <v>0</v>
      </c>
      <c r="BR69">
        <f t="shared" si="208"/>
        <v>0</v>
      </c>
      <c r="BS69">
        <f t="shared" si="209"/>
        <v>0</v>
      </c>
      <c r="BT69">
        <f t="shared" si="210"/>
        <v>0</v>
      </c>
      <c r="BU69">
        <f t="shared" si="211"/>
        <v>0</v>
      </c>
      <c r="BV69">
        <f t="shared" si="212"/>
        <v>0</v>
      </c>
    </row>
    <row r="70" spans="15:74" x14ac:dyDescent="0.25">
      <c r="O70" s="3">
        <f t="shared" si="154"/>
        <v>0</v>
      </c>
      <c r="P70">
        <f t="shared" si="155"/>
        <v>0</v>
      </c>
      <c r="Q70">
        <f t="shared" si="156"/>
        <v>0</v>
      </c>
      <c r="R70">
        <f t="shared" si="157"/>
        <v>0</v>
      </c>
      <c r="S70">
        <f t="shared" si="158"/>
        <v>0</v>
      </c>
      <c r="T70">
        <f t="shared" si="159"/>
        <v>0</v>
      </c>
      <c r="U70">
        <f t="shared" si="160"/>
        <v>0</v>
      </c>
      <c r="V70">
        <f t="shared" si="161"/>
        <v>0</v>
      </c>
      <c r="W70">
        <f t="shared" si="162"/>
        <v>0</v>
      </c>
      <c r="X70">
        <f t="shared" si="163"/>
        <v>0</v>
      </c>
      <c r="Y70">
        <f t="shared" si="164"/>
        <v>0</v>
      </c>
      <c r="Z70">
        <f t="shared" si="165"/>
        <v>0</v>
      </c>
      <c r="AA70">
        <f t="shared" si="166"/>
        <v>0</v>
      </c>
      <c r="AB70">
        <f t="shared" si="167"/>
        <v>0</v>
      </c>
      <c r="AC70">
        <f t="shared" si="168"/>
        <v>0</v>
      </c>
      <c r="AD70">
        <f t="shared" si="169"/>
        <v>0</v>
      </c>
      <c r="AE70">
        <f t="shared" si="170"/>
        <v>0</v>
      </c>
      <c r="AF70">
        <f t="shared" si="171"/>
        <v>0</v>
      </c>
      <c r="AG70">
        <f t="shared" si="172"/>
        <v>0</v>
      </c>
      <c r="AH70">
        <f t="shared" si="173"/>
        <v>0</v>
      </c>
      <c r="AI70">
        <f t="shared" si="174"/>
        <v>0</v>
      </c>
      <c r="AJ70">
        <f t="shared" si="175"/>
        <v>0</v>
      </c>
      <c r="AK70">
        <f t="shared" si="176"/>
        <v>0</v>
      </c>
      <c r="AL70">
        <f t="shared" si="177"/>
        <v>0</v>
      </c>
      <c r="AM70">
        <f t="shared" si="178"/>
        <v>0</v>
      </c>
      <c r="AN70">
        <f t="shared" si="179"/>
        <v>0</v>
      </c>
      <c r="AO70">
        <f t="shared" si="180"/>
        <v>0</v>
      </c>
      <c r="AP70">
        <f t="shared" si="181"/>
        <v>0</v>
      </c>
      <c r="AQ70">
        <f t="shared" si="182"/>
        <v>0</v>
      </c>
      <c r="AR70">
        <f t="shared" si="183"/>
        <v>0</v>
      </c>
      <c r="AS70">
        <f t="shared" si="184"/>
        <v>0</v>
      </c>
      <c r="AT70">
        <f t="shared" si="185"/>
        <v>0</v>
      </c>
      <c r="AU70">
        <f t="shared" si="186"/>
        <v>0</v>
      </c>
      <c r="AV70">
        <f t="shared" si="187"/>
        <v>0</v>
      </c>
      <c r="AW70">
        <f t="shared" si="188"/>
        <v>0</v>
      </c>
      <c r="AX70">
        <f t="shared" si="189"/>
        <v>0</v>
      </c>
      <c r="AY70">
        <f>IF(M70&gt;N70+(SUM(O70:AX70)),N70,M70-(SUM($O70:AX70)))</f>
        <v>0</v>
      </c>
      <c r="AZ70">
        <f t="shared" si="190"/>
        <v>0</v>
      </c>
      <c r="BA70">
        <f t="shared" si="191"/>
        <v>0</v>
      </c>
      <c r="BB70">
        <f t="shared" si="192"/>
        <v>0</v>
      </c>
      <c r="BC70">
        <f t="shared" si="193"/>
        <v>0</v>
      </c>
      <c r="BD70">
        <f t="shared" si="194"/>
        <v>0</v>
      </c>
      <c r="BE70">
        <f t="shared" si="195"/>
        <v>0</v>
      </c>
      <c r="BF70">
        <f t="shared" si="196"/>
        <v>0</v>
      </c>
      <c r="BG70">
        <f t="shared" si="197"/>
        <v>0</v>
      </c>
      <c r="BH70">
        <f t="shared" si="198"/>
        <v>0</v>
      </c>
      <c r="BI70">
        <f t="shared" si="199"/>
        <v>0</v>
      </c>
      <c r="BJ70">
        <f t="shared" si="200"/>
        <v>0</v>
      </c>
      <c r="BK70">
        <f t="shared" si="201"/>
        <v>0</v>
      </c>
      <c r="BL70">
        <f t="shared" si="202"/>
        <v>0</v>
      </c>
      <c r="BM70">
        <f t="shared" si="203"/>
        <v>0</v>
      </c>
      <c r="BN70">
        <f t="shared" si="204"/>
        <v>0</v>
      </c>
      <c r="BO70">
        <f t="shared" si="205"/>
        <v>0</v>
      </c>
      <c r="BP70">
        <f t="shared" si="206"/>
        <v>0</v>
      </c>
      <c r="BQ70">
        <f t="shared" si="207"/>
        <v>0</v>
      </c>
      <c r="BR70">
        <f t="shared" si="208"/>
        <v>0</v>
      </c>
      <c r="BS70">
        <f t="shared" si="209"/>
        <v>0</v>
      </c>
      <c r="BT70">
        <f t="shared" si="210"/>
        <v>0</v>
      </c>
      <c r="BU70">
        <f t="shared" si="211"/>
        <v>0</v>
      </c>
      <c r="BV70">
        <f t="shared" si="212"/>
        <v>0</v>
      </c>
    </row>
  </sheetData>
  <sheetProtection formatCells="0" formatColumns="0" formatRows="0" insertColumns="0" insertRows="0" insertHyperlinks="0" deleteColumns="0" deleteRows="0" sort="0" autoFilter="0" pivotTables="0"/>
  <autoFilter ref="A3:N47" xr:uid="{00000000-0009-0000-0000-000004000000}"/>
  <conditionalFormatting sqref="B2">
    <cfRule type="containsText" dxfId="11" priority="1" stopIfTrue="1" operator="containsText" text="NUEVA OT">
      <formula>NOT(ISERROR(SEARCH("NUEVA OT",B2)))</formula>
    </cfRule>
  </conditionalFormatting>
  <conditionalFormatting sqref="B3">
    <cfRule type="containsText" dxfId="10" priority="2" stopIfTrue="1" operator="containsText" text="ANULAR OT">
      <formula>NOT(ISERROR(SEARCH("ANULAR OT",B3)))</formula>
    </cfRule>
    <cfRule type="containsText" dxfId="9" priority="2" stopIfTrue="1" operator="containsText" text="NUEVA OT">
      <formula>NOT(ISERROR(SEARCH("NUEVA OT",B3)))</formula>
    </cfRule>
  </conditionalFormatting>
  <conditionalFormatting sqref="CJ17:FL21 CJ2 P2:BX2 BZ4:IV16 BW3:BX3 BY2:CI3 BX25 BZ17:CI24 BW4:BY4 P5:AN24 P3:BV4 P5:BY8 O9:BY24 O2:O47 AN5:AN28 AO5:AP27 AQ5:AQ38 AR5:BV47 P7:P47 Q7:CJ7 O25:BW65536">
    <cfRule type="cellIs" dxfId="8" priority="3" stopIfTrue="1" operator="between">
      <formula>0.9</formula>
      <formula>20000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IQ102"/>
  <sheetViews>
    <sheetView zoomScale="80" zoomScaleNormal="80" workbookViewId="0">
      <pane xSplit="10" ySplit="2" topLeftCell="K3" activePane="bottomRight" state="frozen"/>
      <selection pane="topRight" activeCell="J1" sqref="J1"/>
      <selection pane="bottomLeft" activeCell="A3" sqref="A3"/>
      <selection pane="bottomRight" activeCell="D3" sqref="D3:F9"/>
    </sheetView>
  </sheetViews>
  <sheetFormatPr baseColWidth="10" defaultRowHeight="15" x14ac:dyDescent="0.25"/>
  <cols>
    <col min="1" max="1" width="4.5703125" customWidth="1"/>
    <col min="2" max="2" width="20.7109375" hidden="1" customWidth="1"/>
    <col min="3" max="3" width="46.5703125" hidden="1" customWidth="1"/>
    <col min="4" max="4" width="10.42578125" customWidth="1"/>
    <col min="5" max="5" width="32.7109375" style="102" bestFit="1" customWidth="1"/>
    <col min="6" max="6" width="14.5703125" customWidth="1"/>
    <col min="7" max="7" width="13.5703125" bestFit="1" customWidth="1"/>
    <col min="8" max="8" width="11.42578125" style="9" bestFit="1" customWidth="1"/>
    <col min="9" max="9" width="11.140625" style="17" customWidth="1"/>
    <col min="10" max="10" width="6.7109375" style="9" customWidth="1"/>
    <col min="11" max="11" width="7.7109375" style="3" customWidth="1"/>
    <col min="12" max="83" width="7.7109375" customWidth="1"/>
  </cols>
  <sheetData>
    <row r="1" spans="1:251" ht="15.75" thickBot="1" x14ac:dyDescent="0.3">
      <c r="A1" s="20"/>
      <c r="B1" s="20"/>
      <c r="C1" s="20"/>
      <c r="D1" s="20"/>
      <c r="E1" s="99" t="s">
        <v>1596</v>
      </c>
      <c r="F1" s="56"/>
      <c r="G1" s="22" t="s">
        <v>103</v>
      </c>
      <c r="H1" s="23" t="s">
        <v>1626</v>
      </c>
      <c r="I1" s="24" t="s">
        <v>1595</v>
      </c>
      <c r="J1" s="25" t="s">
        <v>1606</v>
      </c>
      <c r="K1" s="8">
        <v>43549</v>
      </c>
      <c r="L1" s="8">
        <v>43550</v>
      </c>
      <c r="M1" s="8">
        <v>43551</v>
      </c>
      <c r="N1" s="8">
        <v>43552</v>
      </c>
      <c r="O1" s="8">
        <v>43553</v>
      </c>
      <c r="P1" s="8">
        <v>43556</v>
      </c>
      <c r="Q1" s="8">
        <v>43557</v>
      </c>
      <c r="R1" s="8">
        <v>43558</v>
      </c>
      <c r="S1" s="8">
        <v>43559</v>
      </c>
      <c r="T1" s="8">
        <v>43560</v>
      </c>
      <c r="U1" s="8">
        <v>43563</v>
      </c>
      <c r="V1" s="8">
        <v>43564</v>
      </c>
      <c r="W1" s="8">
        <v>43565</v>
      </c>
      <c r="X1" s="8">
        <v>43566</v>
      </c>
      <c r="Y1" s="8">
        <v>43567</v>
      </c>
      <c r="Z1" s="8">
        <v>43570</v>
      </c>
      <c r="AA1" s="8">
        <v>43571</v>
      </c>
      <c r="AB1" s="8">
        <v>43572</v>
      </c>
      <c r="AC1" s="8">
        <v>43573</v>
      </c>
      <c r="AD1" s="8">
        <v>43574</v>
      </c>
      <c r="AE1" s="8">
        <v>43577</v>
      </c>
      <c r="AF1" s="8">
        <v>43578</v>
      </c>
      <c r="AG1" s="8">
        <v>43579</v>
      </c>
      <c r="AH1" s="8">
        <v>43580</v>
      </c>
      <c r="AI1" s="8">
        <v>43581</v>
      </c>
      <c r="AJ1" s="8">
        <v>43584</v>
      </c>
      <c r="AK1" s="8">
        <v>43585</v>
      </c>
      <c r="AL1" s="8">
        <v>43586</v>
      </c>
      <c r="AM1" s="8">
        <v>43587</v>
      </c>
    </row>
    <row r="2" spans="1:251" s="5" customFormat="1" x14ac:dyDescent="0.25">
      <c r="A2" s="10">
        <f>COUNTIFS(FABRICAR!O:O,'PROGRAM MAQ'!E2,FABRICAR!B:B,"")</f>
        <v>0</v>
      </c>
      <c r="B2" s="1"/>
      <c r="C2" s="1"/>
      <c r="D2" s="83" t="s">
        <v>1593</v>
      </c>
      <c r="E2" s="100" t="s">
        <v>1620</v>
      </c>
      <c r="F2" s="57"/>
      <c r="G2" s="4" t="s">
        <v>1596</v>
      </c>
      <c r="H2" s="18" t="s">
        <v>1598</v>
      </c>
      <c r="I2" s="17"/>
      <c r="J2" s="19"/>
      <c r="K2" s="7">
        <v>43549</v>
      </c>
      <c r="L2" s="7">
        <v>43550</v>
      </c>
      <c r="M2" s="7">
        <v>43551</v>
      </c>
      <c r="N2" s="7">
        <v>43552</v>
      </c>
      <c r="O2" s="7">
        <v>43553</v>
      </c>
      <c r="P2" s="7">
        <v>43556</v>
      </c>
      <c r="Q2" s="7">
        <v>43557</v>
      </c>
      <c r="R2" s="7">
        <v>43558</v>
      </c>
      <c r="S2" s="7">
        <v>43559</v>
      </c>
      <c r="T2" s="7">
        <v>43560</v>
      </c>
      <c r="U2" s="7">
        <v>43563</v>
      </c>
      <c r="V2" s="7">
        <v>43564</v>
      </c>
      <c r="W2" s="7">
        <v>43565</v>
      </c>
      <c r="X2" s="7">
        <v>43566</v>
      </c>
      <c r="Y2" s="7">
        <v>43567</v>
      </c>
      <c r="Z2" s="7">
        <v>43570</v>
      </c>
      <c r="AA2" s="7">
        <v>43571</v>
      </c>
      <c r="AB2" s="7">
        <v>43572</v>
      </c>
      <c r="AC2" s="7">
        <v>43573</v>
      </c>
      <c r="AD2" s="7">
        <v>43574</v>
      </c>
      <c r="AE2" s="7">
        <v>43577</v>
      </c>
      <c r="AF2" s="7">
        <v>43578</v>
      </c>
      <c r="AG2" s="7">
        <v>43579</v>
      </c>
      <c r="AH2" s="7">
        <v>43580</v>
      </c>
      <c r="AI2" s="7">
        <v>43581</v>
      </c>
      <c r="AJ2" s="7">
        <v>43584</v>
      </c>
      <c r="AK2" s="7">
        <v>43585</v>
      </c>
      <c r="AL2" s="7">
        <v>43586</v>
      </c>
      <c r="AM2" s="7">
        <v>43587</v>
      </c>
    </row>
    <row r="3" spans="1:251" x14ac:dyDescent="0.25">
      <c r="A3" s="6">
        <v>1</v>
      </c>
      <c r="B3" t="str">
        <f>D3&amp;F3</f>
        <v>39223PRENSA FR - 01</v>
      </c>
      <c r="C3" t="str">
        <f>CONCATENATE(G3,E3)</f>
        <v>ESTAMPARBarra Ojo 5/8x2,40mtrs</v>
      </c>
      <c r="D3">
        <v>39223</v>
      </c>
      <c r="E3" s="101" t="s">
        <v>177</v>
      </c>
      <c r="F3" s="27" t="s">
        <v>74</v>
      </c>
      <c r="G3" s="2" t="str">
        <f t="shared" ref="G3:G34" si="0">VLOOKUP(B3,FABRICAR,8,0)</f>
        <v>ESTAMPAR</v>
      </c>
      <c r="H3" s="9">
        <f t="shared" ref="H3:H34" si="1">IFERROR(VLOOKUP(E3,PRODUCTOS,4,0),0)</f>
        <v>4.0423999999999998</v>
      </c>
      <c r="I3" s="2">
        <f t="shared" ref="I3:I67" si="2">VLOOKUP(B3,FABRICAR,10,0)</f>
        <v>15000</v>
      </c>
      <c r="J3" s="2">
        <f>VLOOKUP(B3,FABRICAR,11,0)*9</f>
        <v>396</v>
      </c>
      <c r="K3" s="3">
        <f>IF($I$3&gt;J3,$J$3,I3)</f>
        <v>396</v>
      </c>
      <c r="L3">
        <f>IF($I$3&gt;$J$3+(SUM($K$3:K3)),$J$3,$I$3-(SUM($K$3:K3)))</f>
        <v>396</v>
      </c>
      <c r="M3">
        <f>IF($I$3&gt;$J$3+(SUM($K$3:L3)),$J$3,$I$3-(SUM($K$3:L3)))</f>
        <v>396</v>
      </c>
      <c r="N3">
        <f>IF($I$3&gt;$J$3+(SUM($K$3:M3)),$J$3,$I$3-(SUM($K$3:M3)))</f>
        <v>396</v>
      </c>
      <c r="O3">
        <f>IF($I$3&gt;$J$3+(SUM($K$3:N3)),$J$3,$I$3-(SUM($K$3:N3)))</f>
        <v>396</v>
      </c>
      <c r="P3">
        <f>IF($I$3&gt;$J$3+(SUM($K$3:O3)),$J$3,$I$3-(SUM($K$3:O3)))</f>
        <v>396</v>
      </c>
      <c r="Q3">
        <f>IF($I$3&gt;$J$3+(SUM($K$3:P3)),$J$3,$I$3-(SUM($K$3:P3)))</f>
        <v>396</v>
      </c>
      <c r="R3">
        <f>IF($I$3&gt;$J$3+(SUM($K$3:Q3)),$J$3,$I$3-(SUM($K$3:Q3)))</f>
        <v>396</v>
      </c>
      <c r="S3">
        <f>IF($I$3&gt;$J$3+(SUM($K$3:R3)),$J$3,$I$3-(SUM($K$3:R3)))</f>
        <v>396</v>
      </c>
      <c r="T3">
        <f>IF($I$3&gt;$J$3+(SUM($K$3:S3)),$J$3,$I$3-(SUM($K$3:S3)))</f>
        <v>396</v>
      </c>
      <c r="U3">
        <f>IF($I$3&gt;$J$3+(SUM($K$3:T3)),$J$3,$I$3-(SUM($K$3:T3)))</f>
        <v>396</v>
      </c>
      <c r="V3">
        <f>IF($I$3&gt;$J$3+(SUM($K$3:U3)),$J$3,$I$3-(SUM($K$3:U3)))</f>
        <v>396</v>
      </c>
      <c r="W3">
        <f>IF($I$3&gt;$J$3+(SUM($K$3:V3)),$J$3,$I$3-(SUM($K$3:V3)))</f>
        <v>396</v>
      </c>
      <c r="X3">
        <f>IF($I$3&gt;$J$3+(SUM($K$3:W3)),$J$3,$I$3-(SUM($K$3:W3)))</f>
        <v>396</v>
      </c>
      <c r="Y3">
        <f>IF($I$3&gt;$J$3+(SUM($K$3:X3)),$J$3,$I$3-(SUM($K$3:X3)))</f>
        <v>396</v>
      </c>
      <c r="Z3">
        <f>IF($I$3&gt;$J$3+(SUM($K$3:Y3)),$J$3,$I$3-(SUM($K$3:Y3)))</f>
        <v>396</v>
      </c>
      <c r="AA3">
        <f>IF($I$3&gt;$J$3+(SUM($K$3:Z3)),$J$3,$I$3-(SUM($K$3:Z3)))</f>
        <v>396</v>
      </c>
      <c r="AB3">
        <f>IF($I$3&gt;$J$3+(SUM($K$3:AA3)),$J$3,$I$3-(SUM($K$3:AA3)))</f>
        <v>396</v>
      </c>
      <c r="AC3">
        <f>IF($I$3&gt;$J$3+(SUM($K$3:AB3)),$J$3,$I$3-(SUM($K$3:AB3)))</f>
        <v>396</v>
      </c>
      <c r="AD3">
        <f>IF($I$3&gt;$J$3+(SUM($K$3:AC3)),$J$3,$I$3-(SUM($K$3:AC3)))</f>
        <v>396</v>
      </c>
      <c r="AE3">
        <f>IF($I$3&gt;$J$3+(SUM($K$3:AD3)),$J$3,$I$3-(SUM($K$3:AD3)))</f>
        <v>396</v>
      </c>
      <c r="AF3">
        <f>IF($I$3&gt;$J$3+(SUM($K$3:AE3)),$J$3,$I$3-(SUM($K$3:AE3)))</f>
        <v>396</v>
      </c>
      <c r="AG3">
        <f>IF($I$3&gt;$J$3+(SUM($K$3:AF3)),$J$3,$I$3-(SUM($K$3:AF3)))</f>
        <v>396</v>
      </c>
      <c r="AH3">
        <f>IF($I$3&gt;$J$3+(SUM($K$3:AG3)),$J$3,$I$3-(SUM($K$3:AG3)))</f>
        <v>396</v>
      </c>
      <c r="AI3">
        <f>IF($I$3&gt;$J$3+(SUM($K$3:AH3)),$J$3,$I$3-(SUM($K$3:AH3)))</f>
        <v>396</v>
      </c>
      <c r="AJ3">
        <f>IF($I$3&gt;$J$3+(SUM($K$3:AI3)),$J$3,$I$3-(SUM($K$3:AI3)))</f>
        <v>396</v>
      </c>
      <c r="AK3">
        <f>IF($I$3&gt;$J$3+(SUM($K$3:AJ3)),$J$3,$I$3-(SUM($K$3:AJ3)))</f>
        <v>396</v>
      </c>
      <c r="AL3">
        <f>IF($I$3&gt;$J$3+(SUM($K$3:AK3)),$J$3,$I$3-(SUM($K$3:AK3)))</f>
        <v>396</v>
      </c>
      <c r="AM3">
        <f>IF($I$3&gt;$J$3+(SUM($K$3:AL3)),$J$3,$I$3-(SUM($K$3:AL3)))</f>
        <v>396</v>
      </c>
      <c r="AN3">
        <f>IF($I$3&gt;$J$3+(SUM($K$3:AM3)),$J$3,$I$3-(SUM($K$3:AM3)))</f>
        <v>396</v>
      </c>
      <c r="AO3">
        <f>IF($I$3&gt;$J$3+(SUM($K$3:AN3)),$J$3,$I$3-(SUM($K$3:AN3)))</f>
        <v>396</v>
      </c>
      <c r="AP3">
        <f>IF($I$3&gt;$J$3+(SUM($K$3:AO3)),$J$3,$I$3-(SUM($K$3:AO3)))</f>
        <v>396</v>
      </c>
      <c r="AQ3">
        <f>IF($I$3&gt;$J$3+(SUM($K$3:AP3)),$J$3,$I$3-(SUM($K$3:AP3)))</f>
        <v>396</v>
      </c>
      <c r="AR3">
        <f>IF($I$3&gt;$J$3+(SUM($K$3:AQ3)),$J$3,$I$3-(SUM($K$3:AQ3)))</f>
        <v>396</v>
      </c>
      <c r="AS3">
        <f>IF($I$3&gt;$J$3+(SUM($K$3:AR3)),$J$3,$I$3-(SUM($K$3:AR3)))</f>
        <v>396</v>
      </c>
      <c r="AT3">
        <f>IF($I$3&gt;$J$3+(SUM($K$3:AS3)),$J$3,$I$3-(SUM($K$3:AS3)))</f>
        <v>396</v>
      </c>
      <c r="AU3">
        <f>IF($I$3&gt;$J$3+(SUM($K$3:AT3)),$J$3,$I$3-(SUM($K$3:AT3)))</f>
        <v>396</v>
      </c>
      <c r="AV3">
        <f>IF($I$3&gt;$J$3+(SUM($K$3:AU3)),$J$3,$I$3-(SUM($K$3:AU3)))</f>
        <v>348</v>
      </c>
      <c r="AW3">
        <f>IF($I$3&gt;$J$3+(SUM($K$3:AV3)),$J$3,$I$3-(SUM($K$3:AV3)))</f>
        <v>0</v>
      </c>
      <c r="AX3">
        <f>IF($I$3&gt;$J$3+(SUM($K$3:AW3)),$J$3,$I$3-(SUM($K$3:AW3)))</f>
        <v>0</v>
      </c>
      <c r="AY3">
        <f>IF($I$3&gt;$J$3+(SUM($K$3:AX3)),$J$3,$I$3-(SUM($K$3:AX3)))</f>
        <v>0</v>
      </c>
      <c r="AZ3">
        <f>IF($I$3&gt;$J$3+(SUM($K$3:AY3)),$J$3,$I$3-(SUM($K$3:AY3)))</f>
        <v>0</v>
      </c>
      <c r="BA3">
        <f>IF($I$3&gt;$J$3+(SUM($K$3:AZ3)),$J$3,$I$3-(SUM($K$3:AZ3)))</f>
        <v>0</v>
      </c>
      <c r="BB3">
        <f>IF($I$3&gt;$J$3+(SUM($K$3:BA3)),$J$3,$I$3-(SUM($K$3:BA3)))</f>
        <v>0</v>
      </c>
      <c r="BC3">
        <f>IF($I$3&gt;$J$3+(SUM($K$3:BB3)),$J$3,$I$3-(SUM($K$3:BB3)))</f>
        <v>0</v>
      </c>
      <c r="BD3">
        <f>IF($I$3&gt;$J$3+(SUM($K$3:BC3)),$J$3,$I$3-(SUM($K$3:BC3)))</f>
        <v>0</v>
      </c>
      <c r="BE3">
        <f>IF($I$3&gt;$J$3+(SUM($K$3:BD3)),$J$3,$I$3-(SUM($K$3:BD3)))</f>
        <v>0</v>
      </c>
      <c r="BF3">
        <f>IF($I$3&gt;$J$3+(SUM($K$3:BE3)),$J$3,$I$3-(SUM($K$3:BE3)))</f>
        <v>0</v>
      </c>
      <c r="BG3">
        <f>IF($I$3&gt;$J$3+(SUM($K$3:BF3)),$J$3,$I$3-(SUM($K$3:BF3)))</f>
        <v>0</v>
      </c>
      <c r="BH3">
        <f>IF($I$3&gt;$J$3+(SUM($K$3:BG3)),$J$3,$I$3-(SUM($K$3:BG3)))</f>
        <v>0</v>
      </c>
      <c r="BI3">
        <f>IF($I$3&gt;$J$3+(SUM($K$3:BH3)),$J$3,$I$3-(SUM($K$3:BH3)))</f>
        <v>0</v>
      </c>
      <c r="BJ3">
        <f>IF($I$3&gt;$J$3+(SUM($K$3:BI3)),$J$3,$I$3-(SUM($K$3:BI3)))</f>
        <v>0</v>
      </c>
      <c r="BK3">
        <f>IF($I$3&gt;$J$3+(SUM($K$3:BJ3)),$J$3,$I$3-(SUM($K$3:BJ3)))</f>
        <v>0</v>
      </c>
      <c r="BL3">
        <f>IF($I$3&gt;$J$3+(SUM($K$3:BK3)),$J$3,$I$3-(SUM($K$3:BK3)))</f>
        <v>0</v>
      </c>
      <c r="BM3">
        <f>IF($I$3&gt;$J$3+(SUM($K$3:BL3)),$J$3,$I$3-(SUM($K$3:BL3)))</f>
        <v>0</v>
      </c>
      <c r="BN3">
        <f>IF($I$3&gt;$J$3+(SUM($K$3:BM3)),$J$3,$I$3-(SUM($K$3:BM3)))</f>
        <v>0</v>
      </c>
      <c r="BO3">
        <f>IF($I$3&gt;$J$3+(SUM($K$3:BN3)),$J$3,$I$3-(SUM($K$3:BN3)))</f>
        <v>0</v>
      </c>
      <c r="BP3">
        <f>IF($I$3&gt;$J$3+(SUM($K$3:BO3)),$J$3,$I$3-(SUM($K$3:BO3)))</f>
        <v>0</v>
      </c>
      <c r="BQ3">
        <f>IF($I$3&gt;$J$3+(SUM($K$3:BP3)),$J$3,$I$3-(SUM($K$3:BP3)))</f>
        <v>0</v>
      </c>
      <c r="BR3">
        <f>IF($I$3&gt;$J$3+(SUM($K$3:BQ3)),$J$3,$I$3-(SUM($K$3:BQ3)))</f>
        <v>0</v>
      </c>
      <c r="BS3">
        <f>IF($I$3&gt;$J$3+(SUM($K$3:BR3)),$J$3,$I$3-(SUM($K$3:BR3)))</f>
        <v>0</v>
      </c>
      <c r="BT3">
        <f>IF($I$3&gt;$J$3+(SUM($K$3:BS3)),$J$3,$I$3-(SUM($K$3:BS3)))</f>
        <v>0</v>
      </c>
      <c r="BU3">
        <f>IF($I$3&gt;$J$3+(SUM($K$3:BT3)),$J$3,$I$3-(SUM($K$3:BT3)))</f>
        <v>0</v>
      </c>
      <c r="BV3">
        <f>IF($I$3&gt;$J$3+(SUM($K$3:BU3)),$J$3,$I$3-(SUM($K$3:BU3)))</f>
        <v>0</v>
      </c>
      <c r="BW3">
        <f>IF($I$3&gt;$J$3+(SUM($K$3:BV3)),$J$3,$I$3-(SUM($K$3:BV3)))</f>
        <v>0</v>
      </c>
      <c r="BX3">
        <f>IF($I$3&gt;$J$3+(SUM($K$3:BW3)),$J$3,$I$3-(SUM($K$3:BW3)))</f>
        <v>0</v>
      </c>
      <c r="BY3">
        <f>IF($I$3&gt;$J$3+(SUM($K$3:BX3)),$J$3,$I$3-(SUM($K$3:BX3)))</f>
        <v>0</v>
      </c>
      <c r="BZ3">
        <f>IF($I$3&gt;$J$3+(SUM($K$3:BY3)),$J$3,$I$3-(SUM($K$3:BY3)))</f>
        <v>0</v>
      </c>
      <c r="CA3">
        <f>IF($I$3&gt;$J$3+(SUM($K$3:BZ3)),$J$3,$I$3-(SUM($K$3:BZ3)))</f>
        <v>0</v>
      </c>
      <c r="CB3">
        <f>IF($I$3&gt;$J$3+(SUM($K$3:CA3)),$J$3,$I$3-(SUM($K$3:CA3)))</f>
        <v>0</v>
      </c>
      <c r="CC3">
        <f>IF($I$3&gt;$J$3+(SUM($K$3:CB3)),$J$3,$I$3-(SUM($K$3:CB3)))</f>
        <v>0</v>
      </c>
      <c r="CD3">
        <f>IF($I$3&gt;$J$3+(SUM($K$3:CC3)),$J$3,$I$3-(SUM($K$3:CC3)))</f>
        <v>0</v>
      </c>
      <c r="CE3">
        <f>IF($I$3&gt;$J$3+(SUM($K$3:CD3)),$J$3,$I$3-(SUM($K$3:CD3)))</f>
        <v>0</v>
      </c>
    </row>
    <row r="4" spans="1:251" x14ac:dyDescent="0.25">
      <c r="A4" s="6">
        <v>2</v>
      </c>
      <c r="B4" t="str">
        <f t="shared" ref="B4:B67" si="3">D4&amp;F4</f>
        <v>36542PRENSA FR - 01</v>
      </c>
      <c r="C4" t="str">
        <f t="shared" ref="C4:C67" si="4">CONCATENATE(G4,E4)</f>
        <v>ESTAMPARPerno Ojo 5/8x9x5H</v>
      </c>
      <c r="D4">
        <v>36542</v>
      </c>
      <c r="E4" s="101" t="s">
        <v>1094</v>
      </c>
      <c r="F4" s="27" t="s">
        <v>74</v>
      </c>
      <c r="G4" s="2" t="str">
        <f t="shared" si="0"/>
        <v>ESTAMPAR</v>
      </c>
      <c r="H4" s="9">
        <f t="shared" si="1"/>
        <v>0.58699999999999997</v>
      </c>
      <c r="I4" s="2">
        <f t="shared" si="2"/>
        <v>5050</v>
      </c>
      <c r="J4" s="2">
        <f t="shared" ref="J4:J67" si="5">VLOOKUP(B4,FABRICAR,11,0)*9</f>
        <v>387</v>
      </c>
      <c r="K4" t="str">
        <f>IF(F3=F4,"",IF(AND($D$4=$D$3,$J$4&gt;1),"",(IF($I$4&gt;$J$4,$J$4,$I$4))))</f>
        <v/>
      </c>
      <c r="L4" s="3" t="str">
        <f>IF(AND($F$3=$F$4,$I$3&gt;SUM($K$3:K3),L3&gt;($J$3/7)),"",IF(AND(L3&lt;&gt;0,$D$3=$D$4,$J$4&gt;(SUM($K$3:K3))),"",(IF($I$4&gt;$J$4+(SUM($K$4:K4)),$J$4,$I$4-(SUM($K$4:K4))))))</f>
        <v/>
      </c>
      <c r="M4" s="3" t="str">
        <f>IF(AND($F$3=$F$4,$I$3&gt;SUM($K$3:L3),M3&gt;($J$3/7)),"",IF(AND(M3&lt;&gt;0,$D$3=$D$4,$J$4&gt;(SUM($K$3:L3))),"",(IF($I$4&gt;$J$4+(SUM($K$4:L4)),$J$4,$I$4-(SUM($K$4:L4))))))</f>
        <v/>
      </c>
      <c r="N4" s="3" t="str">
        <f>IF(AND($F$3=$F$4,$I$3&gt;SUM($K$3:M3),N3&gt;($J$3/7)),"",IF(AND(N3&lt;&gt;0,$D$3=$D$4,$J$4&gt;(SUM($K$3:M3))),"",(IF($I$4&gt;$J$4+(SUM($K$4:M4)),$J$4,$I$4-(SUM($K$4:M4))))))</f>
        <v/>
      </c>
      <c r="O4" s="3" t="str">
        <f>IF(AND($F$3=$F$4,$I$3&gt;SUM($K$3:N3),O3&gt;($J$3/7)),"",IF(AND(O3&lt;&gt;0,$D$3=$D$4,$J$4&gt;(SUM($K$3:N3))),"",(IF($I$4&gt;$J$4+(SUM($K$4:N4)),$J$4,$I$4-(SUM($K$4:N4))))))</f>
        <v/>
      </c>
      <c r="P4" s="3" t="str">
        <f>IF(AND($F$3=$F$4,$I$3&gt;SUM($K$3:O3),P3&gt;($J$3/7)),"",IF(AND(P3&lt;&gt;0,$D$3=$D$4,$J$4&gt;(SUM($K$3:O3))),"",(IF($I$4&gt;$J$4+(SUM($K$4:O4)),$J$4,$I$4-(SUM($K$4:O4))))))</f>
        <v/>
      </c>
      <c r="Q4" s="3" t="str">
        <f>IF(AND($F$3=$F$4,$I$3&gt;SUM($K$3:P3),Q3&gt;($J$3/7)),"",IF(AND(Q3&lt;&gt;0,$D$3=$D$4,$J$4&gt;(SUM($K$3:P3))),"",(IF($I$4&gt;$J$4+(SUM($K$4:P4)),$J$4,$I$4-(SUM($K$4:P4))))))</f>
        <v/>
      </c>
      <c r="R4" s="3" t="str">
        <f>IF(AND($F$3=$F$4,$I$3&gt;SUM($K$3:Q3),R3&gt;($J$3/7)),"",IF(AND(R3&lt;&gt;0,$D$3=$D$4,$J$4&gt;(SUM($K$3:Q3))),"",(IF($I$4&gt;$J$4+(SUM($K$4:Q4)),$J$4,$I$4-(SUM($K$4:Q4))))))</f>
        <v/>
      </c>
      <c r="S4" s="3" t="str">
        <f>IF(AND($F$3=$F$4,$I$3&gt;SUM($K$3:R3),S3&gt;($J$3/7)),"",IF(AND(S3&lt;&gt;0,$D$3=$D$4,$J$4&gt;(SUM($K$3:R3))),"",(IF($I$4&gt;$J$4+(SUM($K$4:R4)),$J$4,$I$4-(SUM($K$4:R4))))))</f>
        <v/>
      </c>
      <c r="T4" s="3" t="str">
        <f>IF(AND($F$3=$F$4,$I$3&gt;SUM($K$3:S3),T3&gt;($J$3/7)),"",IF(AND(T3&lt;&gt;0,$D$3=$D$4,$J$4&gt;(SUM($K$3:S3))),"",(IF($I$4&gt;$J$4+(SUM($K$4:S4)),$J$4,$I$4-(SUM($K$4:S4))))))</f>
        <v/>
      </c>
      <c r="U4" s="3" t="str">
        <f>IF(AND($F$3=$F$4,$I$3&gt;SUM($K$3:T3),U3&gt;($J$3/7)),"",IF(AND(U3&lt;&gt;0,$D$3=$D$4,$J$4&gt;(SUM($K$3:T3))),"",(IF($I$4&gt;$J$4+(SUM($K$4:T4)),$J$4,$I$4-(SUM($K$4:T4))))))</f>
        <v/>
      </c>
      <c r="V4" s="3" t="str">
        <f>IF(AND($F$3=$F$4,$I$3&gt;SUM($K$3:U3),V3&gt;($J$3/7)),"",IF(AND(V3&lt;&gt;0,$D$3=$D$4,$J$4&gt;(SUM($K$3:U3))),"",(IF($I$4&gt;$J$4+(SUM($K$4:U4)),$J$4,$I$4-(SUM($K$4:U4))))))</f>
        <v/>
      </c>
      <c r="W4" s="3" t="str">
        <f>IF(AND($F$3=$F$4,$I$3&gt;SUM($K$3:V3),W3&gt;($J$3/7)),"",IF(AND(W3&lt;&gt;0,$D$3=$D$4,$J$4&gt;(SUM($K$3:V3))),"",(IF($I$4&gt;$J$4+(SUM($K$4:V4)),$J$4,$I$4-(SUM($K$4:V4))))))</f>
        <v/>
      </c>
      <c r="X4" s="3" t="str">
        <f>IF(AND($F$3=$F$4,$I$3&gt;SUM($K$3:W3),X3&gt;($J$3/7)),"",IF(AND(X3&lt;&gt;0,$D$3=$D$4,$J$4&gt;(SUM($K$3:W3))),"",(IF($I$4&gt;$J$4+(SUM($K$4:W4)),$J$4,$I$4-(SUM($K$4:W4))))))</f>
        <v/>
      </c>
      <c r="Y4" s="3" t="str">
        <f>IF(AND($F$3=$F$4,$I$3&gt;SUM($K$3:X3),Y3&gt;($J$3/7)),"",IF(AND(Y3&lt;&gt;0,$D$3=$D$4,$J$4&gt;(SUM($K$3:X3))),"",(IF($I$4&gt;$J$4+(SUM($K$4:X4)),$J$4,$I$4-(SUM($K$4:X4))))))</f>
        <v/>
      </c>
      <c r="Z4" s="3" t="str">
        <f>IF(AND($F$3=$F$4,$I$3&gt;SUM($K$3:Y3),Z3&gt;($J$3/7)),"",IF(AND(Z3&lt;&gt;0,$D$3=$D$4,$J$4&gt;(SUM($K$3:Y3))),"",(IF($I$4&gt;$J$4+(SUM($K$4:Y4)),$J$4,$I$4-(SUM($K$4:Y4))))))</f>
        <v/>
      </c>
      <c r="AA4" s="3" t="str">
        <f>IF(AND($F$3=$F$4,$I$3&gt;SUM($K$3:Z3),AA3&gt;($J$3/7)),"",IF(AND(AA3&lt;&gt;0,$D$3=$D$4,$J$4&gt;(SUM($K$3:Z3))),"",(IF($I$4&gt;$J$4+(SUM($K$4:Z4)),$J$4,$I$4-(SUM($K$4:Z4))))))</f>
        <v/>
      </c>
      <c r="AB4" s="3" t="str">
        <f>IF(AND($F$3=$F$4,$I$3&gt;SUM($K$3:AA3),AB3&gt;($J$3/7)),"",IF(AND(AB3&lt;&gt;0,$D$3=$D$4,$J$4&gt;(SUM($K$3:AA3))),"",(IF($I$4&gt;$J$4+(SUM($K$4:AA4)),$J$4,$I$4-(SUM($K$4:AA4))))))</f>
        <v/>
      </c>
      <c r="AC4" s="3" t="str">
        <f>IF(AND($F$3=$F$4,$I$3&gt;SUM($K$3:AB3),AC3&gt;($J$3/7)),"",IF(AND(AC3&lt;&gt;0,$D$3=$D$4,$J$4&gt;(SUM($K$3:AB3))),"",(IF($I$4&gt;$J$4+(SUM($K$4:AB4)),$J$4,$I$4-(SUM($K$4:AB4))))))</f>
        <v/>
      </c>
      <c r="AD4" s="3" t="str">
        <f>IF(AND($F$3=$F$4,$I$3&gt;SUM($K$3:AC3),AD3&gt;($J$3/7)),"",IF(AND(AD3&lt;&gt;0,$D$3=$D$4,$J$4&gt;(SUM($K$3:AC3))),"",(IF($I$4&gt;$J$4+(SUM($K$4:AC4)),$J$4,$I$4-(SUM($K$4:AC4))))))</f>
        <v/>
      </c>
      <c r="AE4" s="3" t="str">
        <f>IF(AND($F$3=$F$4,$I$3&gt;SUM($K$3:AD3),AE3&gt;($J$3/7)),"",IF(AND(AE3&lt;&gt;0,$D$3=$D$4,$J$4&gt;(SUM($K$3:AD3))),"",(IF($I$4&gt;$J$4+(SUM($K$4:AD4)),$J$4,$I$4-(SUM($K$4:AD4))))))</f>
        <v/>
      </c>
      <c r="AF4" s="3" t="str">
        <f>IF(AND($F$3=$F$4,$I$3&gt;SUM($K$3:AE3),AF3&gt;($J$3/7)),"",IF(AND(AF3&lt;&gt;0,$D$3=$D$4,$J$4&gt;(SUM($K$3:AE3))),"",(IF($I$4&gt;$J$4+(SUM($K$4:AE4)),$J$4,$I$4-(SUM($K$4:AE4))))))</f>
        <v/>
      </c>
      <c r="AG4" s="3" t="str">
        <f>IF(AND($F$3=$F$4,$I$3&gt;SUM($K$3:AF3),AG3&gt;($J$3/7)),"",IF(AND(AG3&lt;&gt;0,$D$3=$D$4,$J$4&gt;(SUM($K$3:AF3))),"",(IF($I$4&gt;$J$4+(SUM($K$4:AF4)),$J$4,$I$4-(SUM($K$4:AF4))))))</f>
        <v/>
      </c>
      <c r="AH4" s="3" t="str">
        <f>IF(AND($F$3=$F$4,$I$3&gt;SUM($K$3:AG3),AH3&gt;($J$3/7)),"",IF(AND(AH3&lt;&gt;0,$D$3=$D$4,$J$4&gt;(SUM($K$3:AG3))),"",(IF($I$4&gt;$J$4+(SUM($K$4:AG4)),$J$4,$I$4-(SUM($K$4:AG4))))))</f>
        <v/>
      </c>
      <c r="AI4" s="3" t="str">
        <f>IF(AND($F$3=$F$4,$I$3&gt;SUM($K$3:AH3),AI3&gt;($J$3/7)),"",IF(AND(AI3&lt;&gt;0,$D$3=$D$4,$J$4&gt;(SUM($K$3:AH3))),"",(IF($I$4&gt;$J$4+(SUM($K$4:AH4)),$J$4,$I$4-(SUM($K$4:AH4))))))</f>
        <v/>
      </c>
      <c r="AJ4" s="3" t="str">
        <f>IF(AND($F$3=$F$4,$I$3&gt;SUM($K$3:AI3),AJ3&gt;($J$3/7)),"",IF(AND(AJ3&lt;&gt;0,$D$3=$D$4,$J$4&gt;(SUM($K$3:AI3))),"",(IF($I$4&gt;$J$4+(SUM($K$4:AI4)),$J$4,$I$4-(SUM($K$4:AI4))))))</f>
        <v/>
      </c>
      <c r="AK4" s="3" t="str">
        <f>IF(AND($F$3=$F$4,$I$3&gt;SUM($K$3:AJ3),AK3&gt;($J$3/7)),"",IF(AND(AK3&lt;&gt;0,$D$3=$D$4,$J$4&gt;(SUM($K$3:AJ3))),"",(IF($I$4&gt;$J$4+(SUM($K$4:AJ4)),$J$4,$I$4-(SUM($K$4:AJ4))))))</f>
        <v/>
      </c>
      <c r="AL4" s="3" t="str">
        <f>IF(AND($F$3=$F$4,$I$3&gt;SUM($K$3:AK3),AL3&gt;($J$3/7)),"",IF(AND(AL3&lt;&gt;0,$D$3=$D$4,$J$4&gt;(SUM($K$3:AK3))),"",(IF($I$4&gt;$J$4+(SUM($K$4:AK4)),$J$4,$I$4-(SUM($K$4:AK4))))))</f>
        <v/>
      </c>
      <c r="AM4" s="3" t="str">
        <f>IF(AND($F$3=$F$4,$I$3&gt;SUM($K$3:AL3),AM3&gt;($J$3/7)),"",IF(AND(AM3&lt;&gt;0,$D$3=$D$4,$J$4&gt;(SUM($K$3:AL3))),"",(IF($I$4&gt;$J$4+(SUM($K$4:AL4)),$J$4,$I$4-(SUM($K$4:AL4))))))</f>
        <v/>
      </c>
      <c r="AN4" s="3" t="str">
        <f>IF(AND($F$3=$F$4,$I$3&gt;SUM($K$3:AM3),AN3&gt;($J$3/7)),"",IF(AND(AN3&lt;&gt;0,$D$3=$D$4,$J$4&gt;(SUM($K$3:AM3))),"",(IF($I$4&gt;$J$4+(SUM($K$4:AM4)),$J$4,$I$4-(SUM($K$4:AM4))))))</f>
        <v/>
      </c>
      <c r="AO4" s="3" t="str">
        <f>IF(AND($F$3=$F$4,$I$3&gt;SUM($K$3:AN3),AO3&gt;($J$3/7)),"",IF(AND(AO3&lt;&gt;0,$D$3=$D$4,$J$4&gt;(SUM($K$3:AN3))),"",(IF($I$4&gt;$J$4+(SUM($K$4:AN4)),$J$4,$I$4-(SUM($K$4:AN4))))))</f>
        <v/>
      </c>
      <c r="AP4" s="3" t="str">
        <f>IF(AND($F$3=$F$4,$I$3&gt;SUM($K$3:AO3),AP3&gt;($J$3/7)),"",IF(AND(AP3&lt;&gt;0,$D$3=$D$4,$J$4&gt;(SUM($K$3:AO3))),"",(IF($I$4&gt;$J$4+(SUM($K$4:AO4)),$J$4,$I$4-(SUM($K$4:AO4))))))</f>
        <v/>
      </c>
      <c r="AQ4" s="3" t="str">
        <f>IF(AND($F$3=$F$4,$I$3&gt;SUM($K$3:AP3),AQ3&gt;($J$3/7)),"",IF(AND(AQ3&lt;&gt;0,$D$3=$D$4,$J$4&gt;(SUM($K$3:AP3))),"",(IF($I$4&gt;$J$4+(SUM($K$4:AP4)),$J$4,$I$4-(SUM($K$4:AP4))))))</f>
        <v/>
      </c>
      <c r="AR4" s="3" t="str">
        <f>IF(AND($F$3=$F$4,$I$3&gt;SUM($K$3:AQ3),AR3&gt;($J$3/7)),"",IF(AND(AR3&lt;&gt;0,$D$3=$D$4,$J$4&gt;(SUM($K$3:AQ3))),"",(IF($I$4&gt;$J$4+(SUM($K$4:AQ4)),$J$4,$I$4-(SUM($K$4:AQ4))))))</f>
        <v/>
      </c>
      <c r="AS4" s="3" t="str">
        <f>IF(AND($F$3=$F$4,$I$3&gt;SUM($K$3:AR3),AS3&gt;($J$3/7)),"",IF(AND(AS3&lt;&gt;0,$D$3=$D$4,$J$4&gt;(SUM($K$3:AR3))),"",(IF($I$4&gt;$J$4+(SUM($K$4:AR4)),$J$4,$I$4-(SUM($K$4:AR4))))))</f>
        <v/>
      </c>
      <c r="AT4" s="3" t="str">
        <f>IF(AND($F$3=$F$4,$I$3&gt;SUM($K$3:AS3),AT3&gt;($J$3/7)),"",IF(AND(AT3&lt;&gt;0,$D$3=$D$4,$J$4&gt;(SUM($K$3:AS3))),"",(IF($I$4&gt;$J$4+(SUM($K$4:AS4)),$J$4,$I$4-(SUM($K$4:AS4))))))</f>
        <v/>
      </c>
      <c r="AU4" s="3" t="str">
        <f>IF(AND($F$3=$F$4,$I$3&gt;SUM($K$3:AT3),AU3&gt;($J$3/7)),"",IF(AND(AU3&lt;&gt;0,$D$3=$D$4,$J$4&gt;(SUM($K$3:AT3))),"",(IF($I$4&gt;$J$4+(SUM($K$4:AT4)),$J$4,$I$4-(SUM($K$4:AT4))))))</f>
        <v/>
      </c>
      <c r="AV4" s="3" t="str">
        <f>IF(AND($F$3=$F$4,$I$3&gt;SUM($K$3:AU3),AV3&gt;($J$3/7)),"",IF(AND(AV3&lt;&gt;0,$D$3=$D$4,$J$4&gt;(SUM($K$3:AU3))),"",(IF($I$4&gt;$J$4+(SUM($K$4:AU4)),$J$4,$I$4-(SUM($K$4:AU4))))))</f>
        <v/>
      </c>
      <c r="AW4" s="3">
        <f>IF(AND($F$3=$F$4,$I$3&gt;SUM($K$3:AV3),AW3&gt;($J$3/7)),"",IF(AND(AW3&lt;&gt;0,$D$3=$D$4,$J$4&gt;(SUM($K$3:AV3))),"",(IF($I$4&gt;$J$4+(SUM($K$4:AV4)),$J$4,$I$4-(SUM($K$4:AV4))))))</f>
        <v>387</v>
      </c>
      <c r="AX4" s="3">
        <f>IF(AND($F$3=$F$4,$I$3&gt;SUM($K$3:AW3),AX3&gt;($J$3/7)),"",IF(AND(AX3&lt;&gt;0,$D$3=$D$4,$J$4&gt;(SUM($K$3:AW3))),"",(IF($I$4&gt;$J$4+(SUM($K$4:AW4)),$J$4,$I$4-(SUM($K$4:AW4))))))</f>
        <v>387</v>
      </c>
      <c r="AY4" s="3">
        <f>IF(AND($F$3=$F$4,$I$3&gt;SUM($K$3:AX3),AY3&gt;($J$3/7)),"",IF(AND(AY3&lt;&gt;0,$D$3=$D$4,$J$4&gt;(SUM($K$3:AX3))),"",(IF($I$4&gt;$J$4+(SUM($K$4:AX4)),$J$4,$I$4-(SUM($K$4:AX4))))))</f>
        <v>387</v>
      </c>
      <c r="AZ4" s="3">
        <f>IF(AND($F$3=$F$4,$I$3&gt;SUM($K$3:AY3),AZ3&gt;($J$3/7)),"",IF(AND(AZ3&lt;&gt;0,$D$3=$D$4,$J$4&gt;(SUM($K$3:AY3))),"",(IF($I$4&gt;$J$4+(SUM($K$4:AY4)),$J$4,$I$4-(SUM($K$4:AY4))))))</f>
        <v>387</v>
      </c>
      <c r="BA4" s="3">
        <f>IF(AND($F$3=$F$4,$I$3&gt;SUM($K$3:AZ3),BA3&gt;($J$3/7)),"",IF(AND(BA3&lt;&gt;0,$D$3=$D$4,$J$4&gt;(SUM($K$3:AZ3))),"",(IF($I$4&gt;$J$4+(SUM($K$4:AZ4)),$J$4,$I$4-(SUM($K$4:AZ4))))))</f>
        <v>387</v>
      </c>
      <c r="BB4" s="3">
        <f>IF(AND($F$3=$F$4,$I$3&gt;SUM($K$3:BA3),BB3&gt;($J$3/7)),"",IF(AND(BB3&lt;&gt;0,$D$3=$D$4,$J$4&gt;(SUM($K$3:BA3))),"",(IF($I$4&gt;$J$4+(SUM($K$4:BA4)),$J$4,$I$4-(SUM($K$4:BA4))))))</f>
        <v>387</v>
      </c>
      <c r="BC4" s="3">
        <f>IF(AND($F$3=$F$4,$I$3&gt;SUM($K$3:BB3),BC3&gt;($J$3/7)),"",IF(AND(BC3&lt;&gt;0,$D$3=$D$4,$J$4&gt;(SUM($K$3:BB3))),"",(IF($I$4&gt;$J$4+(SUM($K$4:BB4)),$J$4,$I$4-(SUM($K$4:BB4))))))</f>
        <v>387</v>
      </c>
      <c r="BD4" s="3">
        <f>IF(AND($F$3=$F$4,$I$3&gt;SUM($K$3:BC3),BD3&gt;($J$3/7)),"",IF(AND(BD3&lt;&gt;0,$D$3=$D$4,$J$4&gt;(SUM($K$3:BC3))),"",(IF($I$4&gt;$J$4+(SUM($K$4:BC4)),$J$4,$I$4-(SUM($K$4:BC4))))))</f>
        <v>387</v>
      </c>
      <c r="BE4" s="3">
        <f>IF(AND($F$3=$F$4,$I$3&gt;SUM($K$3:BD3),BE3&gt;($J$3/7)),"",IF(AND(BE3&lt;&gt;0,$D$3=$D$4,$J$4&gt;(SUM($K$3:BD3))),"",(IF($I$4&gt;$J$4+(SUM($K$4:BD4)),$J$4,$I$4-(SUM($K$4:BD4))))))</f>
        <v>387</v>
      </c>
      <c r="BF4" s="3">
        <f>IF(AND($F$3=$F$4,$I$3&gt;SUM($K$3:BE3),BF3&gt;($J$3/7)),"",IF(AND(BF3&lt;&gt;0,$D$3=$D$4,$J$4&gt;(SUM($K$3:BE3))),"",(IF($I$4&gt;$J$4+(SUM($K$4:BE4)),$J$4,$I$4-(SUM($K$4:BE4))))))</f>
        <v>387</v>
      </c>
      <c r="BG4" s="3">
        <f>IF(AND($F$3=$F$4,$I$3&gt;SUM($K$3:BF3),BG3&gt;($J$3/7)),"",IF(AND(BG3&lt;&gt;0,$D$3=$D$4,$J$4&gt;(SUM($K$3:BF3))),"",(IF($I$4&gt;$J$4+(SUM($K$4:BF4)),$J$4,$I$4-(SUM($K$4:BF4))))))</f>
        <v>387</v>
      </c>
      <c r="BH4" s="3">
        <f>IF(AND($F$3=$F$4,$I$3&gt;SUM($K$3:BG3),BH3&gt;($J$3/7)),"",IF(AND(BH3&lt;&gt;0,$D$3=$D$4,$J$4&gt;(SUM($K$3:BG3))),"",(IF($I$4&gt;$J$4+(SUM($K$4:BG4)),$J$4,$I$4-(SUM($K$4:BG4))))))</f>
        <v>387</v>
      </c>
      <c r="BI4" s="3">
        <f>IF(AND($F$3=$F$4,$I$3&gt;SUM($K$3:BH3),BI3&gt;($J$3/7)),"",IF(AND(BI3&lt;&gt;0,$D$3=$D$4,$J$4&gt;(SUM($K$3:BH3))),"",(IF($I$4&gt;$J$4+(SUM($K$4:BH4)),$J$4,$I$4-(SUM($K$4:BH4))))))</f>
        <v>387</v>
      </c>
      <c r="BJ4" s="3">
        <f>IF(AND($F$3=$F$4,$I$3&gt;SUM($K$3:BI3),BJ3&gt;($J$3/7)),"",IF(AND(BJ3&lt;&gt;0,$D$3=$D$4,$J$4&gt;(SUM($K$3:BI3))),"",(IF($I$4&gt;$J$4+(SUM($K$4:BI4)),$J$4,$I$4-(SUM($K$4:BI4))))))</f>
        <v>19</v>
      </c>
      <c r="BK4" s="3">
        <f>IF(AND($F$3=$F$4,$I$3&gt;SUM($K$3:BJ3),BK3&gt;($J$3/7)),"",IF(AND(BK3&lt;&gt;0,$D$3=$D$4,$J$4&gt;(SUM($K$3:BJ3))),"",(IF($I$4&gt;$J$4+(SUM($K$4:BJ4)),$J$4,$I$4-(SUM($K$4:BJ4))))))</f>
        <v>0</v>
      </c>
      <c r="BL4" s="3">
        <f>IF(AND($F$3=$F$4,$I$3&gt;SUM($K$3:BK3),BL3&gt;($J$3/7)),"",IF(AND(BL3&lt;&gt;0,$D$3=$D$4,$J$4&gt;(SUM($K$3:BK3))),"",(IF($I$4&gt;$J$4+(SUM($K$4:BK4)),$J$4,$I$4-(SUM($K$4:BK4))))))</f>
        <v>0</v>
      </c>
      <c r="BM4" s="3">
        <f>IF(AND($F$3=$F$4,$I$3&gt;SUM($K$3:BL3),BM3&gt;($J$3/7)),"",IF(AND(BM3&lt;&gt;0,$D$3=$D$4,$J$4&gt;(SUM($K$3:BL3))),"",(IF($I$4&gt;$J$4+(SUM($K$4:BL4)),$J$4,$I$4-(SUM($K$4:BL4))))))</f>
        <v>0</v>
      </c>
      <c r="BN4" s="3">
        <f>IF(AND($F$3=$F$4,$I$3&gt;SUM($K$3:BM3),BN3&gt;($J$3/7)),"",IF(AND(BN3&lt;&gt;0,$D$3=$D$4,$J$4&gt;(SUM($K$3:BM3))),"",(IF($I$4&gt;$J$4+(SUM($K$4:BM4)),$J$4,$I$4-(SUM($K$4:BM4))))))</f>
        <v>0</v>
      </c>
      <c r="BO4" s="3">
        <f>IF(AND($F$3=$F$4,$I$3&gt;SUM($K$3:BN3),BO3&gt;($J$3/7)),"",IF(AND(BO3&lt;&gt;0,$D$3=$D$4,$J$4&gt;(SUM($K$3:BN3))),"",(IF($I$4&gt;$J$4+(SUM($K$4:BN4)),$J$4,$I$4-(SUM($K$4:BN4))))))</f>
        <v>0</v>
      </c>
      <c r="BP4" s="3">
        <f>IF(AND($F$3=$F$4,$I$3&gt;SUM($K$3:BO3),BP3&gt;($J$3/7)),"",IF(AND(BP3&lt;&gt;0,$D$3=$D$4,$J$4&gt;(SUM($K$3:BO3))),"",(IF($I$4&gt;$J$4+(SUM($K$4:BO4)),$J$4,$I$4-(SUM($K$4:BO4))))))</f>
        <v>0</v>
      </c>
      <c r="BQ4" s="3">
        <f>IF(AND($F$3=$F$4,$I$3&gt;SUM($K$3:BP3),BQ3&gt;($J$3/7)),"",IF(AND(BQ3&lt;&gt;0,$D$3=$D$4,$J$4&gt;(SUM($K$3:BP3))),"",(IF($I$4&gt;$J$4+(SUM($K$4:BP4)),$J$4,$I$4-(SUM($K$4:BP4))))))</f>
        <v>0</v>
      </c>
      <c r="BR4" s="3">
        <f>IF(AND($F$3=$F$4,$I$3&gt;SUM($K$3:BQ3),BR3&gt;($J$3/7)),"",IF(AND(BR3&lt;&gt;0,$D$3=$D$4,$J$4&gt;(SUM($K$3:BQ3))),"",(IF($I$4&gt;$J$4+(SUM($K$4:BQ4)),$J$4,$I$4-(SUM($K$4:BQ4))))))</f>
        <v>0</v>
      </c>
      <c r="BS4" s="3">
        <f>IF(AND($F$3=$F$4,$I$3&gt;SUM($K$3:BR3),BS3&gt;($J$3/7)),"",IF(AND(BS3&lt;&gt;0,$D$3=$D$4,$J$4&gt;(SUM($K$3:BR3))),"",(IF($I$4&gt;$J$4+(SUM($K$4:BR4)),$J$4,$I$4-(SUM($K$4:BR4))))))</f>
        <v>0</v>
      </c>
      <c r="BT4" s="3">
        <f>IF(AND($F$3=$F$4,$I$3&gt;SUM($K$3:BS3),BT3&gt;($J$3/7)),"",IF(AND(BT3&lt;&gt;0,$D$3=$D$4,$J$4&gt;(SUM($K$3:BS3))),"",(IF($I$4&gt;$J$4+(SUM($K$4:BS4)),$J$4,$I$4-(SUM($K$4:BS4))))))</f>
        <v>0</v>
      </c>
      <c r="BU4" s="3">
        <f>IF(AND($F$3=$F$4,$I$3&gt;SUM($K$3:BT3),BU3&gt;($J$3/7)),"",IF(AND(BU3&lt;&gt;0,$D$3=$D$4,$J$4&gt;(SUM($K$3:BT3))),"",(IF($I$4&gt;$J$4+(SUM($K$4:BT4)),$J$4,$I$4-(SUM($K$4:BT4))))))</f>
        <v>0</v>
      </c>
      <c r="BV4" s="3">
        <f>IF(AND($F$3=$F$4,$I$3&gt;SUM($K$3:BU3),BV3&gt;($J$3/7)),"",IF(AND(BV3&lt;&gt;0,$D$3=$D$4,$J$4&gt;(SUM($K$3:BU3))),"",(IF($I$4&gt;$J$4+(SUM($K$4:BU4)),$J$4,$I$4-(SUM($K$4:BU4))))))</f>
        <v>0</v>
      </c>
      <c r="BW4" s="3">
        <f>IF(AND($F$3=$F$4,$I$3&gt;SUM($K$3:BV3),BW3&gt;($J$3/7)),"",IF(AND(BW3&lt;&gt;0,$D$3=$D$4,$J$4&gt;(SUM($K$3:BV3))),"",(IF($I$4&gt;$J$4+(SUM($K$4:BV4)),$J$4,$I$4-(SUM($K$4:BV4))))))</f>
        <v>0</v>
      </c>
      <c r="BX4" s="3">
        <f>IF(AND($F$3=$F$4,$I$3&gt;SUM($K$3:BW3),BX3&gt;($J$3/7)),"",IF(AND(BX3&lt;&gt;0,$D$3=$D$4,$J$4&gt;(SUM($K$3:BW3))),"",(IF($I$4&gt;$J$4+(SUM($K$4:BW4)),$J$4,$I$4-(SUM($K$4:BW4))))))</f>
        <v>0</v>
      </c>
      <c r="BY4" s="3">
        <f>IF(AND($F$3=$F$4,$I$3&gt;SUM($K$3:BX3),BY3&gt;($J$3/7)),"",IF(AND(BY3&lt;&gt;0,$D$3=$D$4,$J$4&gt;(SUM($K$3:BX3))),"",(IF($I$4&gt;$J$4+(SUM($K$4:BX4)),$J$4,$I$4-(SUM($K$4:BX4))))))</f>
        <v>0</v>
      </c>
      <c r="BZ4" s="3">
        <f>IF(AND($F$3=$F$4,$I$3&gt;SUM($K$3:BY3),BZ3&gt;($J$3/7)),"",IF(AND(BZ3&lt;&gt;0,$D$3=$D$4,$J$4&gt;(SUM($K$3:BY3))),"",(IF($I$4&gt;$J$4+(SUM($K$4:BY4)),$J$4,$I$4-(SUM($K$4:BY4))))))</f>
        <v>0</v>
      </c>
      <c r="CA4" s="3">
        <f>IF(AND($F$3=$F$4,$I$3&gt;SUM($K$3:BZ3),CA3&gt;($J$3/7)),"",IF(AND(CA3&lt;&gt;0,$D$3=$D$4,$J$4&gt;(SUM($K$3:BZ3))),"",(IF($I$4&gt;$J$4+(SUM($K$4:BZ4)),$J$4,$I$4-(SUM($K$4:BZ4))))))</f>
        <v>0</v>
      </c>
      <c r="CB4" s="3">
        <f>IF(AND($F$3=$F$4,$I$3&gt;SUM($K$3:CA3),CB3&gt;($J$3/7)),"",IF(AND(CB3&lt;&gt;0,$D$3=$D$4,$J$4&gt;(SUM($K$3:CA3))),"",(IF($I$4&gt;$J$4+(SUM($K$4:CA4)),$J$4,$I$4-(SUM($K$4:CA4))))))</f>
        <v>0</v>
      </c>
      <c r="CC4" s="3">
        <f>IF(AND($F$3=$F$4,$I$3&gt;SUM($K$3:CB3),CC3&gt;($J$3/7)),"",IF(AND(CC3&lt;&gt;0,$D$3=$D$4,$J$4&gt;(SUM($K$3:CB3))),"",(IF($I$4&gt;$J$4+(SUM($K$4:CB4)),$J$4,$I$4-(SUM($K$4:CB4))))))</f>
        <v>0</v>
      </c>
      <c r="CD4" s="3">
        <f>IF(AND($F$3=$F$4,$I$3&gt;SUM($K$3:CC3),CD3&gt;($J$3/7)),"",IF(AND(CD3&lt;&gt;0,$D$3=$D$4,$J$4&gt;(SUM($K$3:CC3))),"",(IF($I$4&gt;$J$4+(SUM($K$4:CC4)),$J$4,$I$4-(SUM($K$4:CC4))))))</f>
        <v>0</v>
      </c>
      <c r="CE4" s="3">
        <f>IF(AND($F$3=$F$4,$I$3&gt;SUM($K$3:CD3),CE3&gt;($J$3/7)),"",IF(AND(CE3&lt;&gt;0,$D$3=$D$4,$J$4&gt;(SUM($K$3:CD3))),"",(IF($I$4&gt;$J$4+(SUM($K$4:CD4)),$J$4,$I$4-(SUM($K$4:CD4))))))</f>
        <v>0</v>
      </c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</row>
    <row r="5" spans="1:251" x14ac:dyDescent="0.25">
      <c r="A5" s="6">
        <v>3</v>
      </c>
      <c r="B5" t="str">
        <f t="shared" si="3"/>
        <v>38562PRENSA FR - 01</v>
      </c>
      <c r="C5" t="str">
        <f t="shared" si="4"/>
        <v>ESTAMPARPerno Ojo 5/8x9x5H</v>
      </c>
      <c r="D5">
        <v>38562</v>
      </c>
      <c r="E5" s="101" t="s">
        <v>1094</v>
      </c>
      <c r="F5" s="27" t="s">
        <v>74</v>
      </c>
      <c r="G5" s="2" t="str">
        <f t="shared" si="0"/>
        <v>ESTAMPAR</v>
      </c>
      <c r="H5" s="9">
        <f t="shared" si="1"/>
        <v>0.58699999999999997</v>
      </c>
      <c r="I5" s="2">
        <f t="shared" si="2"/>
        <v>4200</v>
      </c>
      <c r="J5" s="2">
        <f t="shared" si="5"/>
        <v>387</v>
      </c>
      <c r="K5" t="str">
        <f>IF(F5=F4,"",IF(AND($D$5=$D$4,$J$5&gt;1),"",(IF($I$5&gt;$J$5,$J$5,$I$5))))</f>
        <v/>
      </c>
      <c r="L5" s="3" t="str">
        <f>IF(AND($F$4=$F$5,$I$4&gt;SUM($K$4:K4),L4&gt;($J$4/7)),"",IF(AND(L4&lt;&gt;0,$D$4=$D$5,$J$5&gt;(SUM($K$4:K4))),"",(IF($I$5&gt;$J$5+(SUM($K$5:K5)),$J$5,$I$5-(SUM($K$5:K5))))))</f>
        <v/>
      </c>
      <c r="M5" s="3" t="str">
        <f>IF(AND($F$4=$F$5,$I$4&gt;SUM($K$4:L4),M4&gt;($J$4/7)),"",IF(AND(M4&lt;&gt;0,$D$4=$D$5,$J$5&gt;(SUM($K$4:L4))),"",(IF($I$5&gt;$J$5+(SUM($K$5:L5)),$J$5,$I$5-(SUM($K$5:L5))))))</f>
        <v/>
      </c>
      <c r="N5" s="3" t="str">
        <f>IF(AND($F$4=$F$5,$I$4&gt;SUM($K$4:M4),N4&gt;($J$4/7)),"",IF(AND(N4&lt;&gt;0,$D$4=$D$5,$J$5&gt;(SUM($K$4:M4))),"",(IF($I$5&gt;$J$5+(SUM($K$5:M5)),$J$5,$I$5-(SUM($K$5:M5))))))</f>
        <v/>
      </c>
      <c r="O5" s="3" t="str">
        <f>IF(AND($F$4=$F$5,$I$4&gt;SUM($K$4:N4),O4&gt;($J$4/7)),"",IF(AND(O4&lt;&gt;0,$D$4=$D$5,$J$5&gt;(SUM($K$4:N4))),"",(IF($I$5&gt;$J$5+(SUM($K$5:N5)),$J$5,$I$5-(SUM($K$5:N5))))))</f>
        <v/>
      </c>
      <c r="P5" s="3" t="str">
        <f>IF(AND($F$4=$F$5,$I$4&gt;SUM($K$4:O4),P4&gt;($J$4/7)),"",IF(AND(P4&lt;&gt;0,$D$4=$D$5,$J$5&gt;(SUM($K$4:O4))),"",(IF($I$5&gt;$J$5+(SUM($K$5:O5)),$J$5,$I$5-(SUM($K$5:O5))))))</f>
        <v/>
      </c>
      <c r="Q5" s="3" t="str">
        <f>IF(AND($F$4=$F$5,$I$4&gt;SUM($K$4:P4),Q4&gt;($J$4/7)),"",IF(AND(Q4&lt;&gt;0,$D$4=$D$5,$J$5&gt;(SUM($K$4:P4))),"",(IF($I$5&gt;$J$5+(SUM($K$5:P5)),$J$5,$I$5-(SUM($K$5:P5))))))</f>
        <v/>
      </c>
      <c r="R5" s="3" t="str">
        <f>IF(AND($F$4=$F$5,$I$4&gt;SUM($K$4:Q4),R4&gt;($J$4/7)),"",IF(AND(R4&lt;&gt;0,$D$4=$D$5,$J$5&gt;(SUM($K$4:Q4))),"",(IF($I$5&gt;$J$5+(SUM($K$5:Q5)),$J$5,$I$5-(SUM($K$5:Q5))))))</f>
        <v/>
      </c>
      <c r="S5" s="3" t="str">
        <f>IF(AND($F$4=$F$5,$I$4&gt;SUM($K$4:R4),S4&gt;($J$4/7)),"",IF(AND(S4&lt;&gt;0,$D$4=$D$5,$J$5&gt;(SUM($K$4:R4))),"",(IF($I$5&gt;$J$5+(SUM($K$5:R5)),$J$5,$I$5-(SUM($K$5:R5))))))</f>
        <v/>
      </c>
      <c r="T5" s="3" t="str">
        <f>IF(AND($F$4=$F$5,$I$4&gt;SUM($K$4:S4),T4&gt;($J$4/7)),"",IF(AND(T4&lt;&gt;0,$D$4=$D$5,$J$5&gt;(SUM($K$4:S4))),"",(IF($I$5&gt;$J$5+(SUM($K$5:S5)),$J$5,$I$5-(SUM($K$5:S5))))))</f>
        <v/>
      </c>
      <c r="U5" s="3" t="str">
        <f>IF(AND($F$4=$F$5,$I$4&gt;SUM($K$4:T4),U4&gt;($J$4/7)),"",IF(AND(U4&lt;&gt;0,$D$4=$D$5,$J$5&gt;(SUM($K$4:T4))),"",(IF($I$5&gt;$J$5+(SUM($K$5:T5)),$J$5,$I$5-(SUM($K$5:T5))))))</f>
        <v/>
      </c>
      <c r="V5" s="3" t="str">
        <f>IF(AND($F$4=$F$5,$I$4&gt;SUM($K$4:U4),V4&gt;($J$4/7)),"",IF(AND(V4&lt;&gt;0,$D$4=$D$5,$J$5&gt;(SUM($K$4:U4))),"",(IF($I$5&gt;$J$5+(SUM($K$5:U5)),$J$5,$I$5-(SUM($K$5:U5))))))</f>
        <v/>
      </c>
      <c r="W5" s="3" t="str">
        <f>IF(AND($F$4=$F$5,$I$4&gt;SUM($K$4:V4),W4&gt;($J$4/7)),"",IF(AND(W4&lt;&gt;0,$D$4=$D$5,$J$5&gt;(SUM($K$4:V4))),"",(IF($I$5&gt;$J$5+(SUM($K$5:V5)),$J$5,$I$5-(SUM($K$5:V5))))))</f>
        <v/>
      </c>
      <c r="X5" s="3" t="str">
        <f>IF(AND($F$4=$F$5,$I$4&gt;SUM($K$4:W4),X4&gt;($J$4/7)),"",IF(AND(X4&lt;&gt;0,$D$4=$D$5,$J$5&gt;(SUM($K$4:W4))),"",(IF($I$5&gt;$J$5+(SUM($K$5:W5)),$J$5,$I$5-(SUM($K$5:W5))))))</f>
        <v/>
      </c>
      <c r="Y5" s="3" t="str">
        <f>IF(AND($F$4=$F$5,$I$4&gt;SUM($K$4:X4),Y4&gt;($J$4/7)),"",IF(AND(Y4&lt;&gt;0,$D$4=$D$5,$J$5&gt;(SUM($K$4:X4))),"",(IF($I$5&gt;$J$5+(SUM($K$5:X5)),$J$5,$I$5-(SUM($K$5:X5))))))</f>
        <v/>
      </c>
      <c r="Z5" s="3" t="str">
        <f>IF(AND($F$4=$F$5,$I$4&gt;SUM($K$4:Y4),Z4&gt;($J$4/7)),"",IF(AND(Z4&lt;&gt;0,$D$4=$D$5,$J$5&gt;(SUM($K$4:Y4))),"",(IF($I$5&gt;$J$5+(SUM($K$5:Y5)),$J$5,$I$5-(SUM($K$5:Y5))))))</f>
        <v/>
      </c>
      <c r="AA5" s="3" t="str">
        <f>IF(AND($F$4=$F$5,$I$4&gt;SUM($K$4:Z4),AA4&gt;($J$4/7)),"",IF(AND(AA4&lt;&gt;0,$D$4=$D$5,$J$5&gt;(SUM($K$4:Z4))),"",(IF($I$5&gt;$J$5+(SUM($K$5:Z5)),$J$5,$I$5-(SUM($K$5:Z5))))))</f>
        <v/>
      </c>
      <c r="AB5" s="3" t="str">
        <f>IF(AND($F$4=$F$5,$I$4&gt;SUM($K$4:AA4),AB4&gt;($J$4/7)),"",IF(AND(AB4&lt;&gt;0,$D$4=$D$5,$J$5&gt;(SUM($K$4:AA4))),"",(IF($I$5&gt;$J$5+(SUM($K$5:AA5)),$J$5,$I$5-(SUM($K$5:AA5))))))</f>
        <v/>
      </c>
      <c r="AC5" s="3" t="str">
        <f>IF(AND($F$4=$F$5,$I$4&gt;SUM($K$4:AB4),AC4&gt;($J$4/7)),"",IF(AND(AC4&lt;&gt;0,$D$4=$D$5,$J$5&gt;(SUM($K$4:AB4))),"",(IF($I$5&gt;$J$5+(SUM($K$5:AB5)),$J$5,$I$5-(SUM($K$5:AB5))))))</f>
        <v/>
      </c>
      <c r="AD5" s="3" t="str">
        <f>IF(AND($F$4=$F$5,$I$4&gt;SUM($K$4:AC4),AD4&gt;($J$4/7)),"",IF(AND(AD4&lt;&gt;0,$D$4=$D$5,$J$5&gt;(SUM($K$4:AC4))),"",(IF($I$5&gt;$J$5+(SUM($K$5:AC5)),$J$5,$I$5-(SUM($K$5:AC5))))))</f>
        <v/>
      </c>
      <c r="AE5" s="3" t="str">
        <f>IF(AND($F$4=$F$5,$I$4&gt;SUM($K$4:AD4),AE4&gt;($J$4/7)),"",IF(AND(AE4&lt;&gt;0,$D$4=$D$5,$J$5&gt;(SUM($K$4:AD4))),"",(IF($I$5&gt;$J$5+(SUM($K$5:AD5)),$J$5,$I$5-(SUM($K$5:AD5))))))</f>
        <v/>
      </c>
      <c r="AF5" s="3" t="str">
        <f>IF(AND($F$4=$F$5,$I$4&gt;SUM($K$4:AE4),AF4&gt;($J$4/7)),"",IF(AND(AF4&lt;&gt;0,$D$4=$D$5,$J$5&gt;(SUM($K$4:AE4))),"",(IF($I$5&gt;$J$5+(SUM($K$5:AE5)),$J$5,$I$5-(SUM($K$5:AE5))))))</f>
        <v/>
      </c>
      <c r="AG5" s="3" t="str">
        <f>IF(AND($F$4=$F$5,$I$4&gt;SUM($K$4:AF4),AG4&gt;($J$4/7)),"",IF(AND(AG4&lt;&gt;0,$D$4=$D$5,$J$5&gt;(SUM($K$4:AF4))),"",(IF($I$5&gt;$J$5+(SUM($K$5:AF5)),$J$5,$I$5-(SUM($K$5:AF5))))))</f>
        <v/>
      </c>
      <c r="AH5" s="3" t="str">
        <f>IF(AND($F$4=$F$5,$I$4&gt;SUM($K$4:AG4),AH4&gt;($J$4/7)),"",IF(AND(AH4&lt;&gt;0,$D$4=$D$5,$J$5&gt;(SUM($K$4:AG4))),"",(IF($I$5&gt;$J$5+(SUM($K$5:AG5)),$J$5,$I$5-(SUM($K$5:AG5))))))</f>
        <v/>
      </c>
      <c r="AI5" s="3" t="str">
        <f>IF(AND($F$4=$F$5,$I$4&gt;SUM($K$4:AH4),AI4&gt;($J$4/7)),"",IF(AND(AI4&lt;&gt;0,$D$4=$D$5,$J$5&gt;(SUM($K$4:AH4))),"",(IF($I$5&gt;$J$5+(SUM($K$5:AH5)),$J$5,$I$5-(SUM($K$5:AH5))))))</f>
        <v/>
      </c>
      <c r="AJ5" s="3" t="str">
        <f>IF(AND($F$4=$F$5,$I$4&gt;SUM($K$4:AI4),AJ4&gt;($J$4/7)),"",IF(AND(AJ4&lt;&gt;0,$D$4=$D$5,$J$5&gt;(SUM($K$4:AI4))),"",(IF($I$5&gt;$J$5+(SUM($K$5:AI5)),$J$5,$I$5-(SUM($K$5:AI5))))))</f>
        <v/>
      </c>
      <c r="AK5" s="3" t="str">
        <f>IF(AND($F$4=$F$5,$I$4&gt;SUM($K$4:AJ4),AK4&gt;($J$4/7)),"",IF(AND(AK4&lt;&gt;0,$D$4=$D$5,$J$5&gt;(SUM($K$4:AJ4))),"",(IF($I$5&gt;$J$5+(SUM($K$5:AJ5)),$J$5,$I$5-(SUM($K$5:AJ5))))))</f>
        <v/>
      </c>
      <c r="AL5" s="3" t="str">
        <f>IF(AND($F$4=$F$5,$I$4&gt;SUM($K$4:AK4),AL4&gt;($J$4/7)),"",IF(AND(AL4&lt;&gt;0,$D$4=$D$5,$J$5&gt;(SUM($K$4:AK4))),"",(IF($I$5&gt;$J$5+(SUM($K$5:AK5)),$J$5,$I$5-(SUM($K$5:AK5))))))</f>
        <v/>
      </c>
      <c r="AM5" s="3" t="str">
        <f>IF(AND($F$4=$F$5,$I$4&gt;SUM($K$4:AL4),AM4&gt;($J$4/7)),"",IF(AND(AM4&lt;&gt;0,$D$4=$D$5,$J$5&gt;(SUM($K$4:AL4))),"",(IF($I$5&gt;$J$5+(SUM($K$5:AL5)),$J$5,$I$5-(SUM($K$5:AL5))))))</f>
        <v/>
      </c>
      <c r="AN5" s="3" t="str">
        <f>IF(AND($F$4=$F$5,$I$4&gt;SUM($K$4:AM4),AN4&gt;($J$4/7)),"",IF(AND(AN4&lt;&gt;0,$D$4=$D$5,$J$5&gt;(SUM($K$4:AM4))),"",(IF($I$5&gt;$J$5+(SUM($K$5:AM5)),$J$5,$I$5-(SUM($K$5:AM5))))))</f>
        <v/>
      </c>
      <c r="AO5" s="3" t="str">
        <f>IF(AND($F$4=$F$5,$I$4&gt;SUM($K$4:AN4),AO4&gt;($J$4/7)),"",IF(AND(AO4&lt;&gt;0,$D$4=$D$5,$J$5&gt;(SUM($K$4:AN4))),"",(IF($I$5&gt;$J$5+(SUM($K$5:AN5)),$J$5,$I$5-(SUM($K$5:AN5))))))</f>
        <v/>
      </c>
      <c r="AP5" s="3" t="str">
        <f>IF(AND($F$4=$F$5,$I$4&gt;SUM($K$4:AO4),AP4&gt;($J$4/7)),"",IF(AND(AP4&lt;&gt;0,$D$4=$D$5,$J$5&gt;(SUM($K$4:AO4))),"",(IF($I$5&gt;$J$5+(SUM($K$5:AO5)),$J$5,$I$5-(SUM($K$5:AO5))))))</f>
        <v/>
      </c>
      <c r="AQ5" s="3" t="str">
        <f>IF(AND($F$4=$F$5,$I$4&gt;SUM($K$4:AP4),AQ4&gt;($J$4/7)),"",IF(AND(AQ4&lt;&gt;0,$D$4=$D$5,$J$5&gt;(SUM($K$4:AP4))),"",(IF($I$5&gt;$J$5+(SUM($K$5:AP5)),$J$5,$I$5-(SUM($K$5:AP5))))))</f>
        <v/>
      </c>
      <c r="AR5" s="3" t="str">
        <f>IF(AND($F$4=$F$5,$I$4&gt;SUM($K$4:AQ4),AR4&gt;($J$4/7)),"",IF(AND(AR4&lt;&gt;0,$D$4=$D$5,$J$5&gt;(SUM($K$4:AQ4))),"",(IF($I$5&gt;$J$5+(SUM($K$5:AQ5)),$J$5,$I$5-(SUM($K$5:AQ5))))))</f>
        <v/>
      </c>
      <c r="AS5" s="3" t="str">
        <f>IF(AND($F$4=$F$5,$I$4&gt;SUM($K$4:AR4),AS4&gt;($J$4/7)),"",IF(AND(AS4&lt;&gt;0,$D$4=$D$5,$J$5&gt;(SUM($K$4:AR4))),"",(IF($I$5&gt;$J$5+(SUM($K$5:AR5)),$J$5,$I$5-(SUM($K$5:AR5))))))</f>
        <v/>
      </c>
      <c r="AT5" s="3" t="str">
        <f>IF(AND($F$4=$F$5,$I$4&gt;SUM($K$4:AS4),AT4&gt;($J$4/7)),"",IF(AND(AT4&lt;&gt;0,$D$4=$D$5,$J$5&gt;(SUM($K$4:AS4))),"",(IF($I$5&gt;$J$5+(SUM($K$5:AS5)),$J$5,$I$5-(SUM($K$5:AS5))))))</f>
        <v/>
      </c>
      <c r="AU5" s="3" t="str">
        <f>IF(AND($F$4=$F$5,$I$4&gt;SUM($K$4:AT4),AU4&gt;($J$4/7)),"",IF(AND(AU4&lt;&gt;0,$D$4=$D$5,$J$5&gt;(SUM($K$4:AT4))),"",(IF($I$5&gt;$J$5+(SUM($K$5:AT5)),$J$5,$I$5-(SUM($K$5:AT5))))))</f>
        <v/>
      </c>
      <c r="AV5" s="3" t="str">
        <f>IF(AND($F$4=$F$5,$I$4&gt;SUM($K$4:AU4),AV4&gt;($J$4/7)),"",IF(AND(AV4&lt;&gt;0,$D$4=$D$5,$J$5&gt;(SUM($K$4:AU4))),"",(IF($I$5&gt;$J$5+(SUM($K$5:AU5)),$J$5,$I$5-(SUM($K$5:AU5))))))</f>
        <v/>
      </c>
      <c r="AW5" s="3" t="str">
        <f>IF(AND($F$4=$F$5,$I$4&gt;SUM($K$4:AV4),AW4&gt;($J$4/7)),"",IF(AND(AW4&lt;&gt;0,$D$4=$D$5,$J$5&gt;(SUM($K$4:AV4))),"",(IF($I$5&gt;$J$5+(SUM($K$5:AV5)),$J$5,$I$5-(SUM($K$5:AV5))))))</f>
        <v/>
      </c>
      <c r="AX5" s="3" t="str">
        <f>IF(AND($F$4=$F$5,$I$4&gt;SUM($K$4:AW4),AX4&gt;($J$4/7)),"",IF(AND(AX4&lt;&gt;0,$D$4=$D$5,$J$5&gt;(SUM($K$4:AW4))),"",(IF($I$5&gt;$J$5+(SUM($K$5:AW5)),$J$5,$I$5-(SUM($K$5:AW5))))))</f>
        <v/>
      </c>
      <c r="AY5" s="3" t="str">
        <f>IF(AND($F$4=$F$5,$I$4&gt;SUM($K$4:AX4),AY4&gt;($J$4/7)),"",IF(AND(AY4&lt;&gt;0,$D$4=$D$5,$J$5&gt;(SUM($K$4:AX4))),"",(IF($I$5&gt;$J$5+(SUM($K$5:AX5)),$J$5,$I$5-(SUM($K$5:AX5))))))</f>
        <v/>
      </c>
      <c r="AZ5" s="3" t="str">
        <f>IF(AND($F$4=$F$5,$I$4&gt;SUM($K$4:AY4),AZ4&gt;($J$4/7)),"",IF(AND(AZ4&lt;&gt;0,$D$4=$D$5,$J$5&gt;(SUM($K$4:AY4))),"",(IF($I$5&gt;$J$5+(SUM($K$5:AY5)),$J$5,$I$5-(SUM($K$5:AY5))))))</f>
        <v/>
      </c>
      <c r="BA5" s="3" t="str">
        <f>IF(AND($F$4=$F$5,$I$4&gt;SUM($K$4:AZ4),BA4&gt;($J$4/7)),"",IF(AND(BA4&lt;&gt;0,$D$4=$D$5,$J$5&gt;(SUM($K$4:AZ4))),"",(IF($I$5&gt;$J$5+(SUM($K$5:AZ5)),$J$5,$I$5-(SUM($K$5:AZ5))))))</f>
        <v/>
      </c>
      <c r="BB5" s="3" t="str">
        <f>IF(AND($F$4=$F$5,$I$4&gt;SUM($K$4:BA4),BB4&gt;($J$4/7)),"",IF(AND(BB4&lt;&gt;0,$D$4=$D$5,$J$5&gt;(SUM($K$4:BA4))),"",(IF($I$5&gt;$J$5+(SUM($K$5:BA5)),$J$5,$I$5-(SUM($K$5:BA5))))))</f>
        <v/>
      </c>
      <c r="BC5" s="3" t="str">
        <f>IF(AND($F$4=$F$5,$I$4&gt;SUM($K$4:BB4),BC4&gt;($J$4/7)),"",IF(AND(BC4&lt;&gt;0,$D$4=$D$5,$J$5&gt;(SUM($K$4:BB4))),"",(IF($I$5&gt;$J$5+(SUM($K$5:BB5)),$J$5,$I$5-(SUM($K$5:BB5))))))</f>
        <v/>
      </c>
      <c r="BD5" s="3" t="str">
        <f>IF(AND($F$4=$F$5,$I$4&gt;SUM($K$4:BC4),BD4&gt;($J$4/7)),"",IF(AND(BD4&lt;&gt;0,$D$4=$D$5,$J$5&gt;(SUM($K$4:BC4))),"",(IF($I$5&gt;$J$5+(SUM($K$5:BC5)),$J$5,$I$5-(SUM($K$5:BC5))))))</f>
        <v/>
      </c>
      <c r="BE5" s="3" t="str">
        <f>IF(AND($F$4=$F$5,$I$4&gt;SUM($K$4:BD4),BE4&gt;($J$4/7)),"",IF(AND(BE4&lt;&gt;0,$D$4=$D$5,$J$5&gt;(SUM($K$4:BD4))),"",(IF($I$5&gt;$J$5+(SUM($K$5:BD5)),$J$5,$I$5-(SUM($K$5:BD5))))))</f>
        <v/>
      </c>
      <c r="BF5" s="3" t="str">
        <f>IF(AND($F$4=$F$5,$I$4&gt;SUM($K$4:BE4),BF4&gt;($J$4/7)),"",IF(AND(BF4&lt;&gt;0,$D$4=$D$5,$J$5&gt;(SUM($K$4:BE4))),"",(IF($I$5&gt;$J$5+(SUM($K$5:BE5)),$J$5,$I$5-(SUM($K$5:BE5))))))</f>
        <v/>
      </c>
      <c r="BG5" s="3" t="str">
        <f>IF(AND($F$4=$F$5,$I$4&gt;SUM($K$4:BF4),BG4&gt;($J$4/7)),"",IF(AND(BG4&lt;&gt;0,$D$4=$D$5,$J$5&gt;(SUM($K$4:BF4))),"",(IF($I$5&gt;$J$5+(SUM($K$5:BF5)),$J$5,$I$5-(SUM($K$5:BF5))))))</f>
        <v/>
      </c>
      <c r="BH5" s="3" t="str">
        <f>IF(AND($F$4=$F$5,$I$4&gt;SUM($K$4:BG4),BH4&gt;($J$4/7)),"",IF(AND(BH4&lt;&gt;0,$D$4=$D$5,$J$5&gt;(SUM($K$4:BG4))),"",(IF($I$5&gt;$J$5+(SUM($K$5:BG5)),$J$5,$I$5-(SUM($K$5:BG5))))))</f>
        <v/>
      </c>
      <c r="BI5" s="3" t="str">
        <f>IF(AND($F$4=$F$5,$I$4&gt;SUM($K$4:BH4),BI4&gt;($J$4/7)),"",IF(AND(BI4&lt;&gt;0,$D$4=$D$5,$J$5&gt;(SUM($K$4:BH4))),"",(IF($I$5&gt;$J$5+(SUM($K$5:BH5)),$J$5,$I$5-(SUM($K$5:BH5))))))</f>
        <v/>
      </c>
      <c r="BJ5" s="3">
        <f>IF(AND($F$4=$F$5,$I$4&gt;SUM($K$4:BI4),BJ4&gt;($J$4/7)),"",IF(AND(BJ4&lt;&gt;0,$D$4=$D$5,$J$5&gt;(SUM($K$4:BI4))),"",(IF($I$5&gt;$J$5+(SUM($K$5:BI5)),$J$5,$I$5-(SUM($K$5:BI5))))))</f>
        <v>387</v>
      </c>
      <c r="BK5" s="3">
        <f>IF(AND($F$4=$F$5,$I$4&gt;SUM($K$4:BJ4),BK4&gt;($J$4/7)),"",IF(AND(BK4&lt;&gt;0,$D$4=$D$5,$J$5&gt;(SUM($K$4:BJ4))),"",(IF($I$5&gt;$J$5+(SUM($K$5:BJ5)),$J$5,$I$5-(SUM($K$5:BJ5))))))</f>
        <v>387</v>
      </c>
      <c r="BL5" s="3">
        <f>IF(AND($F$4=$F$5,$I$4&gt;SUM($K$4:BK4),BL4&gt;($J$4/7)),"",IF(AND(BL4&lt;&gt;0,$D$4=$D$5,$J$5&gt;(SUM($K$4:BK4))),"",(IF($I$5&gt;$J$5+(SUM($K$5:BK5)),$J$5,$I$5-(SUM($K$5:BK5))))))</f>
        <v>387</v>
      </c>
      <c r="BM5" s="3">
        <f>IF(AND($F$4=$F$5,$I$4&gt;SUM($K$4:BL4),BM4&gt;($J$4/7)),"",IF(AND(BM4&lt;&gt;0,$D$4=$D$5,$J$5&gt;(SUM($K$4:BL4))),"",(IF($I$5&gt;$J$5+(SUM($K$5:BL5)),$J$5,$I$5-(SUM($K$5:BL5))))))</f>
        <v>387</v>
      </c>
      <c r="BN5" s="3">
        <f>IF(AND($F$4=$F$5,$I$4&gt;SUM($K$4:BM4),BN4&gt;($J$4/7)),"",IF(AND(BN4&lt;&gt;0,$D$4=$D$5,$J$5&gt;(SUM($K$4:BM4))),"",(IF($I$5&gt;$J$5+(SUM($K$5:BM5)),$J$5,$I$5-(SUM($K$5:BM5))))))</f>
        <v>387</v>
      </c>
      <c r="BO5" s="3">
        <f>IF(AND($F$4=$F$5,$I$4&gt;SUM($K$4:BN4),BO4&gt;($J$4/7)),"",IF(AND(BO4&lt;&gt;0,$D$4=$D$5,$J$5&gt;(SUM($K$4:BN4))),"",(IF($I$5&gt;$J$5+(SUM($K$5:BN5)),$J$5,$I$5-(SUM($K$5:BN5))))))</f>
        <v>387</v>
      </c>
      <c r="BP5" s="3">
        <f>IF(AND($F$4=$F$5,$I$4&gt;SUM($K$4:BO4),BP4&gt;($J$4/7)),"",IF(AND(BP4&lt;&gt;0,$D$4=$D$5,$J$5&gt;(SUM($K$4:BO4))),"",(IF($I$5&gt;$J$5+(SUM($K$5:BO5)),$J$5,$I$5-(SUM($K$5:BO5))))))</f>
        <v>387</v>
      </c>
      <c r="BQ5" s="3">
        <f>IF(AND($F$4=$F$5,$I$4&gt;SUM($K$4:BP4),BQ4&gt;($J$4/7)),"",IF(AND(BQ4&lt;&gt;0,$D$4=$D$5,$J$5&gt;(SUM($K$4:BP4))),"",(IF($I$5&gt;$J$5+(SUM($K$5:BP5)),$J$5,$I$5-(SUM($K$5:BP5))))))</f>
        <v>387</v>
      </c>
      <c r="BR5" s="3">
        <f>IF(AND($F$4=$F$5,$I$4&gt;SUM($K$4:BQ4),BR4&gt;($J$4/7)),"",IF(AND(BR4&lt;&gt;0,$D$4=$D$5,$J$5&gt;(SUM($K$4:BQ4))),"",(IF($I$5&gt;$J$5+(SUM($K$5:BQ5)),$J$5,$I$5-(SUM($K$5:BQ5))))))</f>
        <v>387</v>
      </c>
      <c r="BS5" s="3">
        <f>IF(AND($F$4=$F$5,$I$4&gt;SUM($K$4:BR4),BS4&gt;($J$4/7)),"",IF(AND(BS4&lt;&gt;0,$D$4=$D$5,$J$5&gt;(SUM($K$4:BR4))),"",(IF($I$5&gt;$J$5+(SUM($K$5:BR5)),$J$5,$I$5-(SUM($K$5:BR5))))))</f>
        <v>387</v>
      </c>
      <c r="BT5" s="3">
        <f>IF(AND($F$4=$F$5,$I$4&gt;SUM($K$4:BS4),BT4&gt;($J$4/7)),"",IF(AND(BT4&lt;&gt;0,$D$4=$D$5,$J$5&gt;(SUM($K$4:BS4))),"",(IF($I$5&gt;$J$5+(SUM($K$5:BS5)),$J$5,$I$5-(SUM($K$5:BS5))))))</f>
        <v>330</v>
      </c>
      <c r="BU5" s="3">
        <f>IF(AND($F$4=$F$5,$I$4&gt;SUM($K$4:BT4),BU4&gt;($J$4/7)),"",IF(AND(BU4&lt;&gt;0,$D$4=$D$5,$J$5&gt;(SUM($K$4:BT4))),"",(IF($I$5&gt;$J$5+(SUM($K$5:BT5)),$J$5,$I$5-(SUM($K$5:BT5))))))</f>
        <v>0</v>
      </c>
      <c r="BV5" s="3">
        <f>IF(AND($F$4=$F$5,$I$4&gt;SUM($K$4:BU4),BV4&gt;($J$4/7)),"",IF(AND(BV4&lt;&gt;0,$D$4=$D$5,$J$5&gt;(SUM($K$4:BU4))),"",(IF($I$5&gt;$J$5+(SUM($K$5:BU5)),$J$5,$I$5-(SUM($K$5:BU5))))))</f>
        <v>0</v>
      </c>
      <c r="BW5" s="3">
        <f>IF(AND($F$4=$F$5,$I$4&gt;SUM($K$4:BV4),BW4&gt;($J$4/7)),"",IF(AND(BW4&lt;&gt;0,$D$4=$D$5,$J$5&gt;(SUM($K$4:BV4))),"",(IF($I$5&gt;$J$5+(SUM($K$5:BV5)),$J$5,$I$5-(SUM($K$5:BV5))))))</f>
        <v>0</v>
      </c>
      <c r="BX5" s="3">
        <f>IF(AND($F$4=$F$5,$I$4&gt;SUM($K$4:BW4),BX4&gt;($J$4/7)),"",IF(AND(BX4&lt;&gt;0,$D$4=$D$5,$J$5&gt;(SUM($K$4:BW4))),"",(IF($I$5&gt;$J$5+(SUM($K$5:BW5)),$J$5,$I$5-(SUM($K$5:BW5))))))</f>
        <v>0</v>
      </c>
      <c r="BY5" s="3">
        <f>IF(AND($F$4=$F$5,$I$4&gt;SUM($K$4:BX4),BY4&gt;($J$4/7)),"",IF(AND(BY4&lt;&gt;0,$D$4=$D$5,$J$5&gt;(SUM($K$4:BX4))),"",(IF($I$5&gt;$J$5+(SUM($K$5:BX5)),$J$5,$I$5-(SUM($K$5:BX5))))))</f>
        <v>0</v>
      </c>
      <c r="BZ5" s="3">
        <f>IF(AND($F$4=$F$5,$I$4&gt;SUM($K$4:BY4),BZ4&gt;($J$4/7)),"",IF(AND(BZ4&lt;&gt;0,$D$4=$D$5,$J$5&gt;(SUM($K$4:BY4))),"",(IF($I$5&gt;$J$5+(SUM($K$5:BY5)),$J$5,$I$5-(SUM($K$5:BY5))))))</f>
        <v>0</v>
      </c>
      <c r="CA5" s="3">
        <f>IF(AND($F$4=$F$5,$I$4&gt;SUM($K$4:BZ4),CA4&gt;($J$4/7)),"",IF(AND(CA4&lt;&gt;0,$D$4=$D$5,$J$5&gt;(SUM($K$4:BZ4))),"",(IF($I$5&gt;$J$5+(SUM($K$5:BZ5)),$J$5,$I$5-(SUM($K$5:BZ5))))))</f>
        <v>0</v>
      </c>
      <c r="CB5" s="3">
        <f>IF(AND($F$4=$F$5,$I$4&gt;SUM($K$4:CA4),CB4&gt;($J$4/7)),"",IF(AND(CB4&lt;&gt;0,$D$4=$D$5,$J$5&gt;(SUM($K$4:CA4))),"",(IF($I$5&gt;$J$5+(SUM($K$5:CA5)),$J$5,$I$5-(SUM($K$5:CA5))))))</f>
        <v>0</v>
      </c>
      <c r="CC5" s="3">
        <f>IF(AND($F$4=$F$5,$I$4&gt;SUM($K$4:CB4),CC4&gt;($J$4/7)),"",IF(AND(CC4&lt;&gt;0,$D$4=$D$5,$J$5&gt;(SUM($K$4:CB4))),"",(IF($I$5&gt;$J$5+(SUM($K$5:CB5)),$J$5,$I$5-(SUM($K$5:CB5))))))</f>
        <v>0</v>
      </c>
      <c r="CD5" s="3">
        <f>IF(AND($F$4=$F$5,$I$4&gt;SUM($K$4:CC4),CD4&gt;($J$4/7)),"",IF(AND(CD4&lt;&gt;0,$D$4=$D$5,$J$5&gt;(SUM($K$4:CC4))),"",(IF($I$5&gt;$J$5+(SUM($K$5:CC5)),$J$5,$I$5-(SUM($K$5:CC5))))))</f>
        <v>0</v>
      </c>
      <c r="CE5" s="3">
        <f>IF(AND($F$4=$F$5,$I$4&gt;SUM($K$4:CD4),CE4&gt;($J$4/7)),"",IF(AND(CE4&lt;&gt;0,$D$4=$D$5,$J$5&gt;(SUM($K$4:CD4))),"",(IF($I$5&gt;$J$5+(SUM($K$5:CD5)),$J$5,$I$5-(SUM($K$5:CD5))))))</f>
        <v>0</v>
      </c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</row>
    <row r="6" spans="1:251" x14ac:dyDescent="0.25">
      <c r="A6" s="6">
        <v>4</v>
      </c>
      <c r="B6" t="str">
        <f t="shared" si="3"/>
        <v>39148PRENSA FR - 04</v>
      </c>
      <c r="C6" t="str">
        <f t="shared" si="4"/>
        <v>1° GOLPEGrillete 12mm, ojo chico</v>
      </c>
      <c r="D6">
        <v>39148</v>
      </c>
      <c r="E6" s="101" t="s">
        <v>666</v>
      </c>
      <c r="F6" s="27" t="s">
        <v>77</v>
      </c>
      <c r="G6" s="2" t="str">
        <f t="shared" si="0"/>
        <v>1° GOLPE</v>
      </c>
      <c r="H6" s="9">
        <f t="shared" si="1"/>
        <v>0.223</v>
      </c>
      <c r="I6" s="2">
        <f t="shared" si="2"/>
        <v>8000</v>
      </c>
      <c r="J6" s="2">
        <f t="shared" si="5"/>
        <v>1539</v>
      </c>
      <c r="K6">
        <f>IF(F6=F5,"",IF(AND($D$6=$D$5,$J$6&gt;1),"",(IF($I$6&gt;$J$6,$J$6,$I$6))))</f>
        <v>1539</v>
      </c>
      <c r="L6" s="3">
        <f>IF(AND($F$5=$F$6,$I$5&gt;SUM($K$5:K5),L5&gt;($J$5/7)),"",IF(AND(L5&lt;&gt;0,$D$5=$D$6,$J$6&gt;(SUM($K$5:K5))),"",(IF($I$6&gt;$J$6+(SUM($K$6:K6)),$J$6,$I$6-(SUM($K$6:K6))))))</f>
        <v>1539</v>
      </c>
      <c r="M6" s="3">
        <f>IF(AND($F$5=$F$6,$I$5&gt;SUM($K$5:L5),M5&gt;($J$4/7)),"",IF(AND(M5&lt;&gt;0,$D$5=$D$6,$J$6&gt;(SUM($K$5:L5))),"",(IF($I$6&gt;$J$6+(SUM($K$6:L6)),$J$6,$I$6-(SUM($K$6:L6))))))</f>
        <v>1539</v>
      </c>
      <c r="N6" s="3">
        <f>IF(AND($F$5=$F$6,$I$5&gt;SUM($K$5:M5),N5&gt;($J$4/7)),"",IF(AND(N5&lt;&gt;0,$D$5=$D$6,$J$6&gt;(SUM($K$5:M5))),"",(IF($I$6&gt;$J$6+(SUM($K$6:M6)),$J$6,$I$6-(SUM($K$6:M6))))))</f>
        <v>1539</v>
      </c>
      <c r="O6" s="3">
        <f>IF(AND($F$5=$F$6,$I$5&gt;SUM($K$5:N5),O5&gt;($J$4/7)),"",IF(AND(O5&lt;&gt;0,$D$5=$D$6,$J$6&gt;(SUM($K$5:N5))),"",(IF($I$6&gt;$J$6+(SUM($K$6:N6)),$J$6,$I$6-(SUM($K$6:N6))))))</f>
        <v>1539</v>
      </c>
      <c r="P6" s="3">
        <f>IF(AND($F$5=$F$6,$I$5&gt;SUM($K$5:O5),P5&gt;($J$4/7)),"",IF(AND(P5&lt;&gt;0,$D$5=$D$6,$J$6&gt;(SUM($K$5:O5))),"",(IF($I$6&gt;$J$6+(SUM($K$6:O6)),$J$6,$I$6-(SUM($K$6:O6))))))</f>
        <v>305</v>
      </c>
      <c r="Q6" s="3">
        <f>IF(AND($F$5=$F$6,$I$5&gt;SUM($K$5:P5),Q5&gt;($J$4/7)),"",IF(AND(Q5&lt;&gt;0,$D$5=$D$6,$J$6&gt;(SUM($K$5:P5))),"",(IF($I$6&gt;$J$6+(SUM($K$6:P6)),$J$6,$I$6-(SUM($K$6:P6))))))</f>
        <v>0</v>
      </c>
      <c r="R6" s="3">
        <f>IF(AND($F$5=$F$6,$I$5&gt;SUM($K$5:Q5),R5&gt;($J$4/7)),"",IF(AND(R5&lt;&gt;0,$D$5=$D$6,$J$6&gt;(SUM($K$5:Q5))),"",(IF($I$6&gt;$J$6+(SUM($K$6:Q6)),$J$6,$I$6-(SUM($K$6:Q6))))))</f>
        <v>0</v>
      </c>
      <c r="S6" s="3">
        <f>IF(AND($F$5=$F$6,$I$5&gt;SUM($K$5:R5),S5&gt;($J$4/7)),"",IF(AND(S5&lt;&gt;0,$D$5=$D$6,$J$6&gt;(SUM($K$5:R5))),"",(IF($I$6&gt;$J$6+(SUM($K$6:R6)),$J$6,$I$6-(SUM($K$6:R6))))))</f>
        <v>0</v>
      </c>
      <c r="T6" s="3">
        <f>IF(AND($F$5=$F$6,$I$5&gt;SUM($K$5:S5),T5&gt;($J$4/7)),"",IF(AND(T5&lt;&gt;0,$D$5=$D$6,$J$6&gt;(SUM($K$5:S5))),"",(IF($I$6&gt;$J$6+(SUM($K$6:S6)),$J$6,$I$6-(SUM($K$6:S6))))))</f>
        <v>0</v>
      </c>
      <c r="U6" s="3">
        <f>IF(AND($F$5=$F$6,$I$5&gt;SUM($K$5:T5),U5&gt;($J$4/7)),"",IF(AND(U5&lt;&gt;0,$D$5=$D$6,$J$6&gt;(SUM($K$5:T5))),"",(IF($I$6&gt;$J$6+(SUM($K$6:T6)),$J$6,$I$6-(SUM($K$6:T6))))))</f>
        <v>0</v>
      </c>
      <c r="V6" s="3">
        <f>IF(AND($F$5=$F$6,$I$5&gt;SUM($K$5:U5),V5&gt;($J$4/7)),"",IF(AND(V5&lt;&gt;0,$D$5=$D$6,$J$6&gt;(SUM($K$5:U5))),"",(IF($I$6&gt;$J$6+(SUM($K$6:U6)),$J$6,$I$6-(SUM($K$6:U6))))))</f>
        <v>0</v>
      </c>
      <c r="W6" s="3">
        <f>IF(AND($F$5=$F$6,$I$5&gt;SUM($K$5:V5),W5&gt;($J$4/7)),"",IF(AND(W5&lt;&gt;0,$D$5=$D$6,$J$6&gt;(SUM($K$5:V5))),"",(IF($I$6&gt;$J$6+(SUM($K$6:V6)),$J$6,$I$6-(SUM($K$6:V6))))))</f>
        <v>0</v>
      </c>
      <c r="X6" s="3">
        <f>IF(AND($F$5=$F$6,$I$5&gt;SUM($K$5:W5),X5&gt;($J$4/7)),"",IF(AND(X5&lt;&gt;0,$D$5=$D$6,$J$6&gt;(SUM($K$5:W5))),"",(IF($I$6&gt;$J$6+(SUM($K$6:W6)),$J$6,$I$6-(SUM($K$6:W6))))))</f>
        <v>0</v>
      </c>
      <c r="Y6" s="3">
        <f>IF(AND($F$5=$F$6,$I$5&gt;SUM($K$5:X5),Y5&gt;($J$4/7)),"",IF(AND(Y5&lt;&gt;0,$D$5=$D$6,$J$6&gt;(SUM($K$5:X5))),"",(IF($I$6&gt;$J$6+(SUM($K$6:X6)),$J$6,$I$6-(SUM($K$6:X6))))))</f>
        <v>0</v>
      </c>
      <c r="Z6" s="3">
        <f>IF(AND($F$5=$F$6,$I$5&gt;SUM($K$5:Y5),Z5&gt;($J$4/7)),"",IF(AND(Z5&lt;&gt;0,$D$5=$D$6,$J$6&gt;(SUM($K$5:Y5))),"",(IF($I$6&gt;$J$6+(SUM($K$6:Y6)),$J$6,$I$6-(SUM($K$6:Y6))))))</f>
        <v>0</v>
      </c>
      <c r="AA6" s="3">
        <f>IF(AND($F$5=$F$6,$I$5&gt;SUM($K$5:Z5),AA5&gt;($J$4/7)),"",IF(AND(AA5&lt;&gt;0,$D$5=$D$6,$J$6&gt;(SUM($K$5:Z5))),"",(IF($I$6&gt;$J$6+(SUM($K$6:Z6)),$J$6,$I$6-(SUM($K$6:Z6))))))</f>
        <v>0</v>
      </c>
      <c r="AB6" s="3">
        <f>IF(AND($F$5=$F$6,$I$5&gt;SUM($K$5:AA5),AB5&gt;($J$4/7)),"",IF(AND(AB5&lt;&gt;0,$D$5=$D$6,$J$6&gt;(SUM($K$5:AA5))),"",(IF($I$6&gt;$J$6+(SUM($K$6:AA6)),$J$6,$I$6-(SUM($K$6:AA6))))))</f>
        <v>0</v>
      </c>
      <c r="AC6" s="3">
        <f>IF(AND($F$5=$F$6,$I$5&gt;SUM($K$5:AB5),AC5&gt;($J$4/7)),"",IF(AND(AC5&lt;&gt;0,$D$5=$D$6,$J$6&gt;(SUM($K$5:AB5))),"",(IF($I$6&gt;$J$6+(SUM($K$6:AB6)),$J$6,$I$6-(SUM($K$6:AB6))))))</f>
        <v>0</v>
      </c>
      <c r="AD6" s="3">
        <f>IF(AND($F$5=$F$6,$I$5&gt;SUM($K$5:AC5),AD5&gt;($J$4/7)),"",IF(AND(AD5&lt;&gt;0,$D$5=$D$6,$J$6&gt;(SUM($K$5:AC5))),"",(IF($I$6&gt;$J$6+(SUM($K$6:AC6)),$J$6,$I$6-(SUM($K$6:AC6))))))</f>
        <v>0</v>
      </c>
      <c r="AE6" s="3">
        <f>IF(AND($F$5=$F$6,$I$5&gt;SUM($K$5:AD5),AE5&gt;($J$4/7)),"",IF(AND(AE5&lt;&gt;0,$D$5=$D$6,$J$6&gt;(SUM($K$5:AD5))),"",(IF($I$6&gt;$J$6+(SUM($K$6:AD6)),$J$6,$I$6-(SUM($K$6:AD6))))))</f>
        <v>0</v>
      </c>
      <c r="AF6" s="3">
        <f>IF(AND($F$5=$F$6,$I$5&gt;SUM($K$5:AE5),AF5&gt;($J$4/7)),"",IF(AND(AF5&lt;&gt;0,$D$5=$D$6,$J$6&gt;(SUM($K$5:AE5))),"",(IF($I$6&gt;$J$6+(SUM($K$6:AE6)),$J$6,$I$6-(SUM($K$6:AE6))))))</f>
        <v>0</v>
      </c>
      <c r="AG6" s="3">
        <f>IF(AND($F$5=$F$6,$I$5&gt;SUM($K$5:AF5),AG5&gt;($J$4/7)),"",IF(AND(AG5&lt;&gt;0,$D$5=$D$6,$J$6&gt;(SUM($K$5:AF5))),"",(IF($I$6&gt;$J$6+(SUM($K$6:AF6)),$J$6,$I$6-(SUM($K$6:AF6))))))</f>
        <v>0</v>
      </c>
      <c r="AH6" s="3">
        <f>IF(AND($F$5=$F$6,$I$5&gt;SUM($K$5:AG5),AH5&gt;($J$4/7)),"",IF(AND(AH5&lt;&gt;0,$D$5=$D$6,$J$6&gt;(SUM($K$5:AG5))),"",(IF($I$6&gt;$J$6+(SUM($K$6:AG6)),$J$6,$I$6-(SUM($K$6:AG6))))))</f>
        <v>0</v>
      </c>
      <c r="AI6" s="3">
        <f>IF(AND($F$5=$F$6,$I$5&gt;SUM($K$5:AH5),AI5&gt;($J$4/7)),"",IF(AND(AI5&lt;&gt;0,$D$5=$D$6,$J$6&gt;(SUM($K$5:AH5))),"",(IF($I$6&gt;$J$6+(SUM($K$6:AH6)),$J$6,$I$6-(SUM($K$6:AH6))))))</f>
        <v>0</v>
      </c>
      <c r="AJ6" s="3">
        <f>IF(AND($F$5=$F$6,$I$5&gt;SUM($K$5:AI5),AJ5&gt;($J$4/7)),"",IF(AND(AJ5&lt;&gt;0,$D$5=$D$6,$J$6&gt;(SUM($K$5:AI5))),"",(IF($I$6&gt;$J$6+(SUM($K$6:AI6)),$J$6,$I$6-(SUM($K$6:AI6))))))</f>
        <v>0</v>
      </c>
      <c r="AK6" s="3">
        <f>IF(AND($F$5=$F$6,$I$5&gt;SUM($K$5:AJ5),AK5&gt;($J$4/7)),"",IF(AND(AK5&lt;&gt;0,$D$5=$D$6,$J$6&gt;(SUM($K$5:AJ5))),"",(IF($I$6&gt;$J$6+(SUM($K$6:AJ6)),$J$6,$I$6-(SUM($K$6:AJ6))))))</f>
        <v>0</v>
      </c>
      <c r="AL6" s="3">
        <f>IF(AND($F$5=$F$6,$I$5&gt;SUM($K$5:AK5),AL5&gt;($J$4/7)),"",IF(AND(AL5&lt;&gt;0,$D$5=$D$6,$J$6&gt;(SUM($K$5:AK5))),"",(IF($I$6&gt;$J$6+(SUM($K$6:AK6)),$J$6,$I$6-(SUM($K$6:AK6))))))</f>
        <v>0</v>
      </c>
      <c r="AM6" s="3">
        <f>IF(AND($F$5=$F$6,$I$5&gt;SUM($K$5:AL5),AM5&gt;($J$4/7)),"",IF(AND(AM5&lt;&gt;0,$D$5=$D$6,$J$6&gt;(SUM($K$5:AL5))),"",(IF($I$6&gt;$J$6+(SUM($K$6:AL6)),$J$6,$I$6-(SUM($K$6:AL6))))))</f>
        <v>0</v>
      </c>
      <c r="AN6" s="3">
        <f>IF(AND($F$5=$F$6,$I$5&gt;SUM($K$5:AM5),AN5&gt;($J$4/7)),"",IF(AND(AN5&lt;&gt;0,$D$5=$D$6,$J$6&gt;(SUM($K$5:AM5))),"",(IF($I$6&gt;$J$6+(SUM($K$6:AM6)),$J$6,$I$6-(SUM($K$6:AM6))))))</f>
        <v>0</v>
      </c>
      <c r="AO6" s="3">
        <f>IF(AND($F$5=$F$6,$I$5&gt;SUM($K$5:AN5),AO5&gt;($J$4/7)),"",IF(AND(AO5&lt;&gt;0,$D$5=$D$6,$J$6&gt;(SUM($K$5:AN5))),"",(IF($I$6&gt;$J$6+(SUM($K$6:AN6)),$J$6,$I$6-(SUM($K$6:AN6))))))</f>
        <v>0</v>
      </c>
      <c r="AP6" s="3">
        <f>IF(AND($F$5=$F$6,$I$5&gt;SUM($K$5:AO5),AP5&gt;($J$4/7)),"",IF(AND(AP5&lt;&gt;0,$D$5=$D$6,$J$6&gt;(SUM($K$5:AO5))),"",(IF($I$6&gt;$J$6+(SUM($K$6:AO6)),$J$6,$I$6-(SUM($K$6:AO6))))))</f>
        <v>0</v>
      </c>
      <c r="AQ6" s="3">
        <f>IF(AND($F$5=$F$6,$I$5&gt;SUM($K$5:AP5),AQ5&gt;($J$4/7)),"",IF(AND(AQ5&lt;&gt;0,$D$5=$D$6,$J$6&gt;(SUM($K$5:AP5))),"",(IF($I$6&gt;$J$6+(SUM($K$6:AP6)),$J$6,$I$6-(SUM($K$6:AP6))))))</f>
        <v>0</v>
      </c>
      <c r="AR6" s="3">
        <f>IF(AND($F$5=$F$6,$I$5&gt;SUM($K$5:AQ5),AR5&gt;($J$4/7)),"",IF(AND(AR5&lt;&gt;0,$D$5=$D$6,$J$6&gt;(SUM($K$5:AQ5))),"",(IF($I$6&gt;$J$6+(SUM($K$6:AQ6)),$J$6,$I$6-(SUM($K$6:AQ6))))))</f>
        <v>0</v>
      </c>
      <c r="AS6" s="3">
        <f>IF(AND($F$5=$F$6,$I$5&gt;SUM($K$5:AR5),AS5&gt;($J$4/7)),"",IF(AND(AS5&lt;&gt;0,$D$5=$D$6,$J$6&gt;(SUM($K$5:AR5))),"",(IF($I$6&gt;$J$6+(SUM($K$6:AR6)),$J$6,$I$6-(SUM($K$6:AR6))))))</f>
        <v>0</v>
      </c>
      <c r="AT6" s="3">
        <f>IF(AND($F$5=$F$6,$I$5&gt;SUM($K$5:AS5),AT5&gt;($J$4/7)),"",IF(AND(AT5&lt;&gt;0,$D$5=$D$6,$J$6&gt;(SUM($K$5:AS5))),"",(IF($I$6&gt;$J$6+(SUM($K$6:AS6)),$J$6,$I$6-(SUM($K$6:AS6))))))</f>
        <v>0</v>
      </c>
      <c r="AU6" s="3">
        <f>IF(AND($F$5=$F$6,$I$5&gt;SUM($K$5:AT5),AU5&gt;($J$4/7)),"",IF(AND(AU5&lt;&gt;0,$D$5=$D$6,$J$6&gt;(SUM($K$5:AT5))),"",(IF($I$6&gt;$J$6+(SUM($K$6:AT6)),$J$6,$I$6-(SUM($K$6:AT6))))))</f>
        <v>0</v>
      </c>
      <c r="AV6" s="3">
        <f>IF(AND($F$5=$F$6,$I$5&gt;SUM($K$5:AU5),AV5&gt;($J$4/7)),"",IF(AND(AV5&lt;&gt;0,$D$5=$D$6,$J$6&gt;(SUM($K$5:AU5))),"",(IF($I$6&gt;$J$6+(SUM($K$6:AU6)),$J$6,$I$6-(SUM($K$6:AU6))))))</f>
        <v>0</v>
      </c>
      <c r="AW6" s="3">
        <f>IF(AND($F$5=$F$6,$I$5&gt;SUM($K$5:AV5),AW5&gt;($J$4/7)),"",IF(AND(AW5&lt;&gt;0,$D$5=$D$6,$J$6&gt;(SUM($K$5:AV5))),"",(IF($I$6&gt;$J$6+(SUM($K$6:AV6)),$J$6,$I$6-(SUM($K$6:AV6))))))</f>
        <v>0</v>
      </c>
      <c r="AX6" s="3">
        <f>IF(AND($F$5=$F$6,$I$5&gt;SUM($K$5:AW5),AX5&gt;($J$4/7)),"",IF(AND(AX5&lt;&gt;0,$D$5=$D$6,$J$6&gt;(SUM($K$5:AW5))),"",(IF($I$6&gt;$J$6+(SUM($K$6:AW6)),$J$6,$I$6-(SUM($K$6:AW6))))))</f>
        <v>0</v>
      </c>
      <c r="AY6" s="3">
        <f>IF(AND($F$5=$F$6,$I$5&gt;SUM($K$5:AX5),AY5&gt;($J$4/7)),"",IF(AND(AY5&lt;&gt;0,$D$5=$D$6,$J$6&gt;(SUM($K$5:AX5))),"",(IF($I$6&gt;$J$6+(SUM($K$6:AX6)),$J$6,$I$6-(SUM($K$6:AX6))))))</f>
        <v>0</v>
      </c>
      <c r="AZ6" s="3">
        <f>IF(AND($F$5=$F$6,$I$5&gt;SUM($K$5:AY5),AZ5&gt;($J$4/7)),"",IF(AND(AZ5&lt;&gt;0,$D$5=$D$6,$J$6&gt;(SUM($K$5:AY5))),"",(IF($I$6&gt;$J$6+(SUM($K$6:AY6)),$J$6,$I$6-(SUM($K$6:AY6))))))</f>
        <v>0</v>
      </c>
      <c r="BA6" s="3">
        <f>IF(AND($F$5=$F$6,$I$5&gt;SUM($K$5:AZ5),BA5&gt;($J$4/7)),"",IF(AND(BA5&lt;&gt;0,$D$5=$D$6,$J$6&gt;(SUM($K$5:AZ5))),"",(IF($I$6&gt;$J$6+(SUM($K$6:AZ6)),$J$6,$I$6-(SUM($K$6:AZ6))))))</f>
        <v>0</v>
      </c>
      <c r="BB6" s="3">
        <f>IF(AND($F$5=$F$6,$I$5&gt;SUM($K$5:BA5),BB5&gt;($J$4/7)),"",IF(AND(BB5&lt;&gt;0,$D$5=$D$6,$J$6&gt;(SUM($K$5:BA5))),"",(IF($I$6&gt;$J$6+(SUM($K$6:BA6)),$J$6,$I$6-(SUM($K$6:BA6))))))</f>
        <v>0</v>
      </c>
      <c r="BC6" s="3">
        <f>IF(AND($F$5=$F$6,$I$5&gt;SUM($K$5:BB5),BC5&gt;($J$4/7)),"",IF(AND(BC5&lt;&gt;0,$D$5=$D$6,$J$6&gt;(SUM($K$5:BB5))),"",(IF($I$6&gt;$J$6+(SUM($K$6:BB6)),$J$6,$I$6-(SUM($K$6:BB6))))))</f>
        <v>0</v>
      </c>
      <c r="BD6" s="3">
        <f>IF(AND($F$5=$F$6,$I$5&gt;SUM($K$5:BC5),BD5&gt;($J$4/7)),"",IF(AND(BD5&lt;&gt;0,$D$5=$D$6,$J$6&gt;(SUM($K$5:BC5))),"",(IF($I$6&gt;$J$6+(SUM($K$6:BC6)),$J$6,$I$6-(SUM($K$6:BC6))))))</f>
        <v>0</v>
      </c>
      <c r="BE6" s="3">
        <f>IF(AND($F$5=$F$6,$I$5&gt;SUM($K$5:BD5),BE5&gt;($J$4/7)),"",IF(AND(BE5&lt;&gt;0,$D$5=$D$6,$J$6&gt;(SUM($K$5:BD5))),"",(IF($I$6&gt;$J$6+(SUM($K$6:BD6)),$J$6,$I$6-(SUM($K$6:BD6))))))</f>
        <v>0</v>
      </c>
      <c r="BF6" s="3">
        <f>IF(AND($F$5=$F$6,$I$5&gt;SUM($K$5:BE5),BF5&gt;($J$4/7)),"",IF(AND(BF5&lt;&gt;0,$D$5=$D$6,$J$6&gt;(SUM($K$5:BE5))),"",(IF($I$6&gt;$J$6+(SUM($K$6:BE6)),$J$6,$I$6-(SUM($K$6:BE6))))))</f>
        <v>0</v>
      </c>
      <c r="BG6" s="3">
        <f>IF(AND($F$5=$F$6,$I$5&gt;SUM($K$5:BF5),BG5&gt;($J$4/7)),"",IF(AND(BG5&lt;&gt;0,$D$5=$D$6,$J$6&gt;(SUM($K$5:BF5))),"",(IF($I$6&gt;$J$6+(SUM($K$6:BF6)),$J$6,$I$6-(SUM($K$6:BF6))))))</f>
        <v>0</v>
      </c>
      <c r="BH6" s="3">
        <f>IF(AND($F$5=$F$6,$I$5&gt;SUM($K$5:BG5),BH5&gt;($J$4/7)),"",IF(AND(BH5&lt;&gt;0,$D$5=$D$6,$J$6&gt;(SUM($K$5:BG5))),"",(IF($I$6&gt;$J$6+(SUM($K$6:BG6)),$J$6,$I$6-(SUM($K$6:BG6))))))</f>
        <v>0</v>
      </c>
      <c r="BI6" s="3">
        <f>IF(AND($F$5=$F$6,$I$5&gt;SUM($K$5:BH5),BI5&gt;($J$4/7)),"",IF(AND(BI5&lt;&gt;0,$D$5=$D$6,$J$6&gt;(SUM($K$5:BH5))),"",(IF($I$6&gt;$J$6+(SUM($K$6:BH6)),$J$6,$I$6-(SUM($K$6:BH6))))))</f>
        <v>0</v>
      </c>
      <c r="BJ6" s="3">
        <f>IF(AND($F$5=$F$6,$I$5&gt;SUM($K$5:BI5),BJ5&gt;($J$4/7)),"",IF(AND(BJ5&lt;&gt;0,$D$5=$D$6,$J$6&gt;(SUM($K$5:BI5))),"",(IF($I$6&gt;$J$6+(SUM($K$6:BI6)),$J$6,$I$6-(SUM($K$6:BI6))))))</f>
        <v>0</v>
      </c>
      <c r="BK6" s="3">
        <f>IF(AND($F$5=$F$6,$I$5&gt;SUM($K$5:BJ5),BK5&gt;($J$4/7)),"",IF(AND(BK5&lt;&gt;0,$D$5=$D$6,$J$6&gt;(SUM($K$5:BJ5))),"",(IF($I$6&gt;$J$6+(SUM($K$6:BJ6)),$J$6,$I$6-(SUM($K$6:BJ6))))))</f>
        <v>0</v>
      </c>
      <c r="BL6" s="3">
        <f>IF(AND($F$5=$F$6,$I$5&gt;SUM($K$5:BK5),BL5&gt;($J$4/7)),"",IF(AND(BL5&lt;&gt;0,$D$5=$D$6,$J$6&gt;(SUM($K$5:BK5))),"",(IF($I$6&gt;$J$6+(SUM($K$6:BK6)),$J$6,$I$6-(SUM($K$6:BK6))))))</f>
        <v>0</v>
      </c>
      <c r="BM6" s="3">
        <f>IF(AND($F$5=$F$6,$I$5&gt;SUM($K$5:BL5),BM5&gt;($J$4/7)),"",IF(AND(BM5&lt;&gt;0,$D$5=$D$6,$J$6&gt;(SUM($K$5:BL5))),"",(IF($I$6&gt;$J$6+(SUM($K$6:BL6)),$J$6,$I$6-(SUM($K$6:BL6))))))</f>
        <v>0</v>
      </c>
      <c r="BN6" s="3">
        <f>IF(AND($F$5=$F$6,$I$5&gt;SUM($K$5:BM5),BN5&gt;($J$4/7)),"",IF(AND(BN5&lt;&gt;0,$D$5=$D$6,$J$6&gt;(SUM($K$5:BM5))),"",(IF($I$6&gt;$J$6+(SUM($K$6:BM6)),$J$6,$I$6-(SUM($K$6:BM6))))))</f>
        <v>0</v>
      </c>
      <c r="BO6" s="3">
        <f>IF(AND($F$5=$F$6,$I$5&gt;SUM($K$5:BN5),BO5&gt;($J$4/7)),"",IF(AND(BO5&lt;&gt;0,$D$5=$D$6,$J$6&gt;(SUM($K$5:BN5))),"",(IF($I$6&gt;$J$6+(SUM($K$6:BN6)),$J$6,$I$6-(SUM($K$6:BN6))))))</f>
        <v>0</v>
      </c>
      <c r="BP6" s="3">
        <f>IF(AND($F$5=$F$6,$I$5&gt;SUM($K$5:BO5),BP5&gt;($J$4/7)),"",IF(AND(BP5&lt;&gt;0,$D$5=$D$6,$J$6&gt;(SUM($K$5:BO5))),"",(IF($I$6&gt;$J$6+(SUM($K$6:BO6)),$J$6,$I$6-(SUM($K$6:BO6))))))</f>
        <v>0</v>
      </c>
      <c r="BQ6" s="3">
        <f>IF(AND($F$5=$F$6,$I$5&gt;SUM($K$5:BP5),BQ5&gt;($J$4/7)),"",IF(AND(BQ5&lt;&gt;0,$D$5=$D$6,$J$6&gt;(SUM($K$5:BP5))),"",(IF($I$6&gt;$J$6+(SUM($K$6:BP6)),$J$6,$I$6-(SUM($K$6:BP6))))))</f>
        <v>0</v>
      </c>
      <c r="BR6" s="3">
        <f>IF(AND($F$5=$F$6,$I$5&gt;SUM($K$5:BQ5),BR5&gt;($J$4/7)),"",IF(AND(BR5&lt;&gt;0,$D$5=$D$6,$J$6&gt;(SUM($K$5:BQ5))),"",(IF($I$6&gt;$J$6+(SUM($K$6:BQ6)),$J$6,$I$6-(SUM($K$6:BQ6))))))</f>
        <v>0</v>
      </c>
      <c r="BS6" s="3">
        <f>IF(AND($F$5=$F$6,$I$5&gt;SUM($K$5:BR5),BS5&gt;($J$4/7)),"",IF(AND(BS5&lt;&gt;0,$D$5=$D$6,$J$6&gt;(SUM($K$5:BR5))),"",(IF($I$6&gt;$J$6+(SUM($K$6:BR6)),$J$6,$I$6-(SUM($K$6:BR6))))))</f>
        <v>0</v>
      </c>
      <c r="BT6" s="3">
        <f>IF(AND($F$5=$F$6,$I$5&gt;SUM($K$5:BS5),BT5&gt;($J$4/7)),"",IF(AND(BT5&lt;&gt;0,$D$5=$D$6,$J$6&gt;(SUM($K$5:BS5))),"",(IF($I$6&gt;$J$6+(SUM($K$6:BS6)),$J$6,$I$6-(SUM($K$6:BS6))))))</f>
        <v>0</v>
      </c>
      <c r="BU6" s="3">
        <f>IF(AND($F$5=$F$6,$I$5&gt;SUM($K$5:BT5),BU5&gt;($J$4/7)),"",IF(AND(BU5&lt;&gt;0,$D$5=$D$6,$J$6&gt;(SUM($K$5:BT5))),"",(IF($I$6&gt;$J$6+(SUM($K$6:BT6)),$J$6,$I$6-(SUM($K$6:BT6))))))</f>
        <v>0</v>
      </c>
      <c r="BV6" s="3">
        <f>IF(AND($F$5=$F$6,$I$5&gt;SUM($K$5:BU5),BV5&gt;($J$4/7)),"",IF(AND(BV5&lt;&gt;0,$D$5=$D$6,$J$6&gt;(SUM($K$5:BU5))),"",(IF($I$6&gt;$J$6+(SUM($K$6:BU6)),$J$6,$I$6-(SUM($K$6:BU6))))))</f>
        <v>0</v>
      </c>
      <c r="BW6" s="3">
        <f>IF(AND($F$5=$F$6,$I$5&gt;SUM($K$5:BV5),BW5&gt;($J$4/7)),"",IF(AND(BW5&lt;&gt;0,$D$5=$D$6,$J$6&gt;(SUM($K$5:BV5))),"",(IF($I$6&gt;$J$6+(SUM($K$6:BV6)),$J$6,$I$6-(SUM($K$6:BV6))))))</f>
        <v>0</v>
      </c>
      <c r="BX6" s="3">
        <f>IF(AND($F$5=$F$6,$I$5&gt;SUM($K$5:BW5),BX5&gt;($J$4/7)),"",IF(AND(BX5&lt;&gt;0,$D$5=$D$6,$J$6&gt;(SUM($K$5:BW5))),"",(IF($I$6&gt;$J$6+(SUM($K$6:BW6)),$J$6,$I$6-(SUM($K$6:BW6))))))</f>
        <v>0</v>
      </c>
      <c r="BY6" s="3">
        <f>IF(AND($F$5=$F$6,$I$5&gt;SUM($K$5:BX5),BY5&gt;($J$4/7)),"",IF(AND(BY5&lt;&gt;0,$D$5=$D$6,$J$6&gt;(SUM($K$5:BX5))),"",(IF($I$6&gt;$J$6+(SUM($K$6:BX6)),$J$6,$I$6-(SUM($K$6:BX6))))))</f>
        <v>0</v>
      </c>
      <c r="BZ6" s="3">
        <f>IF(AND($F$5=$F$6,$I$5&gt;SUM($K$5:BY5),BZ5&gt;($J$4/7)),"",IF(AND(BZ5&lt;&gt;0,$D$5=$D$6,$J$6&gt;(SUM($K$5:BY5))),"",(IF($I$6&gt;$J$6+(SUM($K$6:BY6)),$J$6,$I$6-(SUM($K$6:BY6))))))</f>
        <v>0</v>
      </c>
      <c r="CA6" s="3">
        <f>IF(AND($F$5=$F$6,$I$5&gt;SUM($K$5:BZ5),CA5&gt;($J$4/7)),"",IF(AND(CA5&lt;&gt;0,$D$5=$D$6,$J$6&gt;(SUM($K$5:BZ5))),"",(IF($I$6&gt;$J$6+(SUM($K$6:BZ6)),$J$6,$I$6-(SUM($K$6:BZ6))))))</f>
        <v>0</v>
      </c>
      <c r="CB6" s="3">
        <f>IF(AND($F$5=$F$6,$I$5&gt;SUM($K$5:CA5),CB5&gt;($J$4/7)),"",IF(AND(CB5&lt;&gt;0,$D$5=$D$6,$J$6&gt;(SUM($K$5:CA5))),"",(IF($I$6&gt;$J$6+(SUM($K$6:CA6)),$J$6,$I$6-(SUM($K$6:CA6))))))</f>
        <v>0</v>
      </c>
      <c r="CC6" s="3">
        <f>IF(AND($F$5=$F$6,$I$5&gt;SUM($K$5:CB5),CC5&gt;($J$4/7)),"",IF(AND(CC5&lt;&gt;0,$D$5=$D$6,$J$6&gt;(SUM($K$5:CB5))),"",(IF($I$6&gt;$J$6+(SUM($K$6:CB6)),$J$6,$I$6-(SUM($K$6:CB6))))))</f>
        <v>0</v>
      </c>
      <c r="CD6" s="3">
        <f>IF(AND($F$5=$F$6,$I$5&gt;SUM($K$5:CC5),CD5&gt;($J$4/7)),"",IF(AND(CD5&lt;&gt;0,$D$5=$D$6,$J$6&gt;(SUM($K$5:CC5))),"",(IF($I$6&gt;$J$6+(SUM($K$6:CC6)),$J$6,$I$6-(SUM($K$6:CC6))))))</f>
        <v>0</v>
      </c>
      <c r="CE6" s="3">
        <f>IF(AND($F$5=$F$6,$I$5&gt;SUM($K$5:CD5),CE5&gt;($J$4/7)),"",IF(AND(CE5&lt;&gt;0,$D$5=$D$6,$J$6&gt;(SUM($K$5:CD5))),"",(IF($I$6&gt;$J$6+(SUM($K$6:CD6)),$J$6,$I$6-(SUM($K$6:CD6))))))</f>
        <v>0</v>
      </c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</row>
    <row r="7" spans="1:251" x14ac:dyDescent="0.25">
      <c r="A7" s="6">
        <v>5</v>
      </c>
      <c r="B7" t="str">
        <f t="shared" si="3"/>
        <v>39250PRENSA FR - 06</v>
      </c>
      <c r="C7" t="str">
        <f t="shared" si="4"/>
        <v>ESTAMPAREspiga 3/4x126x274 caps.1" Poliamida</v>
      </c>
      <c r="D7">
        <v>39250</v>
      </c>
      <c r="E7" s="101" t="s">
        <v>472</v>
      </c>
      <c r="F7" s="27" t="s">
        <v>79</v>
      </c>
      <c r="G7" s="2" t="str">
        <f t="shared" si="0"/>
        <v>ESTAMPAR</v>
      </c>
      <c r="H7" s="9">
        <f t="shared" si="1"/>
        <v>0.64100000000000001</v>
      </c>
      <c r="I7" s="2">
        <f t="shared" si="2"/>
        <v>7500</v>
      </c>
      <c r="J7" s="2">
        <f t="shared" si="5"/>
        <v>864</v>
      </c>
      <c r="K7">
        <f>IF(F7=F6,"",IF(AND($D$7=$D$6,$J$7&gt;1),"",(IF($I$7&gt;$J$7,$J$7,$I$7))))</f>
        <v>864</v>
      </c>
      <c r="L7" s="3">
        <f>IF(AND($F$6=$F$7,$I$6&gt;SUM($K$6:K6),L6&gt;($J$6/7)),"",IF(AND(L6&lt;&gt;0,$D$6=$D$7,$J$7&gt;(SUM($K$6:K6))),"",(IF($I$7&gt;$J$7+(SUM($K$7:K7)),$J$7,$I$7-(SUM($K$7:K7))))))</f>
        <v>864</v>
      </c>
      <c r="M7" s="3">
        <f>IF(AND($F$6=$F$7,$I$6&gt;SUM($K$6:L6),M6&gt;($J$6/7)),"",IF(AND(M6&lt;&gt;0,$D$6=$D$7,$J$7&gt;(SUM($K$6:L6))),"",(IF($I$7&gt;$J$7+(SUM($K$7:L7)),$J$7,$I$7-(SUM($K$7:L7))))))</f>
        <v>864</v>
      </c>
      <c r="N7" s="3">
        <f>IF(AND($F$6=$F$7,$I$6&gt;SUM($K$6:M6),N6&gt;($J$6/7)),"",IF(AND(N6&lt;&gt;0,$D$6=$D$7,$J$7&gt;(SUM($K$6:M6))),"",(IF($I$7&gt;$J$7+(SUM($K$7:M7)),$J$7,$I$7-(SUM($K$7:M7))))))</f>
        <v>864</v>
      </c>
      <c r="O7" s="3">
        <f>IF(AND($F$6=$F$7,$I$6&gt;SUM($K$6:N6),O6&gt;($J$6/7)),"",IF(AND(O6&lt;&gt;0,$D$6=$D$7,$J$7&gt;(SUM($K$6:N6))),"",(IF($I$7&gt;$J$7+(SUM($K$7:N7)),$J$7,$I$7-(SUM($K$7:N7))))))</f>
        <v>864</v>
      </c>
      <c r="P7" s="3">
        <f>IF(AND($F$6=$F$7,$I$6&gt;SUM($K$6:O6),P6&gt;($J$6/7)),"",IF(AND(P6&lt;&gt;0,$D$6=$D$7,$J$7&gt;(SUM($K$6:O6))),"",(IF($I$7&gt;$J$7+(SUM($K$7:O7)),$J$7,$I$7-(SUM($K$7:O7))))))</f>
        <v>864</v>
      </c>
      <c r="Q7" s="3">
        <f>IF(AND($F$6=$F$7,$I$6&gt;SUM($K$6:P6),Q6&gt;($J$6/7)),"",IF(AND(Q6&lt;&gt;0,$D$6=$D$7,$J$7&gt;(SUM($K$6:P6))),"",(IF($I$7&gt;$J$7+(SUM($K$7:P7)),$J$7,$I$7-(SUM($K$7:P7))))))</f>
        <v>864</v>
      </c>
      <c r="R7" s="3">
        <f>IF(AND($F$6=$F$7,$I$6&gt;SUM($K$6:Q6),R6&gt;($J$6/7)),"",IF(AND(R6&lt;&gt;0,$D$6=$D$7,$J$7&gt;(SUM($K$6:Q6))),"",(IF($I$7&gt;$J$7+(SUM($K$7:Q7)),$J$7,$I$7-(SUM($K$7:Q7))))))</f>
        <v>864</v>
      </c>
      <c r="S7" s="3">
        <f>IF(AND($F$6=$F$7,$I$6&gt;SUM($K$6:R6),S6&gt;($J$6/7)),"",IF(AND(S6&lt;&gt;0,$D$6=$D$7,$J$7&gt;(SUM($K$6:R6))),"",(IF($I$7&gt;$J$7+(SUM($K$7:R7)),$J$7,$I$7-(SUM($K$7:R7))))))</f>
        <v>588</v>
      </c>
      <c r="T7" s="3">
        <f>IF(AND($F$6=$F$7,$I$6&gt;SUM($K$6:S6),T6&gt;($J$6/7)),"",IF(AND(T6&lt;&gt;0,$D$6=$D$7,$J$7&gt;(SUM($K$6:S6))),"",(IF($I$7&gt;$J$7+(SUM($K$7:S7)),$J$7,$I$7-(SUM($K$7:S7))))))</f>
        <v>0</v>
      </c>
      <c r="U7" s="3">
        <f>IF(AND($F$6=$F$7,$I$6&gt;SUM($K$6:T6),U6&gt;($J$6/7)),"",IF(AND(U6&lt;&gt;0,$D$6=$D$7,$J$7&gt;(SUM($K$6:T6))),"",(IF($I$7&gt;$J$7+(SUM($K$7:T7)),$J$7,$I$7-(SUM($K$7:T7))))))</f>
        <v>0</v>
      </c>
      <c r="V7" s="3">
        <f>IF(AND($F$6=$F$7,$I$6&gt;SUM($K$6:U6),V6&gt;($J$6/7)),"",IF(AND(V6&lt;&gt;0,$D$6=$D$7,$J$7&gt;(SUM($K$6:U6))),"",(IF($I$7&gt;$J$7+(SUM($K$7:U7)),$J$7,$I$7-(SUM($K$7:U7))))))</f>
        <v>0</v>
      </c>
      <c r="W7" s="3">
        <f>IF(AND($F$6=$F$7,$I$6&gt;SUM($K$6:V6),W6&gt;($J$6/7)),"",IF(AND(W6&lt;&gt;0,$D$6=$D$7,$J$7&gt;(SUM($K$6:V6))),"",(IF($I$7&gt;$J$7+(SUM($K$7:V7)),$J$7,$I$7-(SUM($K$7:V7))))))</f>
        <v>0</v>
      </c>
      <c r="X7" s="3">
        <f>IF(AND($F$6=$F$7,$I$6&gt;SUM($K$6:W6),X6&gt;($J$6/7)),"",IF(AND(X6&lt;&gt;0,$D$6=$D$7,$J$7&gt;(SUM($K$6:W6))),"",(IF($I$7&gt;$J$7+(SUM($K$7:W7)),$J$7,$I$7-(SUM($K$7:W7))))))</f>
        <v>0</v>
      </c>
      <c r="Y7" s="3">
        <f>IF(AND($F$6=$F$7,$I$6&gt;SUM($K$6:X6),Y6&gt;($J$6/7)),"",IF(AND(Y6&lt;&gt;0,$D$6=$D$7,$J$7&gt;(SUM($K$6:X6))),"",(IF($I$7&gt;$J$7+(SUM($K$7:X7)),$J$7,$I$7-(SUM($K$7:X7))))))</f>
        <v>0</v>
      </c>
      <c r="Z7" s="3">
        <f>IF(AND($F$6=$F$7,$I$6&gt;SUM($K$6:Y6),Z6&gt;($J$6/7)),"",IF(AND(Z6&lt;&gt;0,$D$6=$D$7,$J$7&gt;(SUM($K$6:Y6))),"",(IF($I$7&gt;$J$7+(SUM($K$7:Y7)),$J$7,$I$7-(SUM($K$7:Y7))))))</f>
        <v>0</v>
      </c>
      <c r="AA7" s="3">
        <f>IF(AND($F$6=$F$7,$I$6&gt;SUM($K$6:Z6),AA6&gt;($J$6/7)),"",IF(AND(AA6&lt;&gt;0,$D$6=$D$7,$J$7&gt;(SUM($K$6:Z6))),"",(IF($I$7&gt;$J$7+(SUM($K$7:Z7)),$J$7,$I$7-(SUM($K$7:Z7))))))</f>
        <v>0</v>
      </c>
      <c r="AB7" s="3">
        <f>IF(AND($F$6=$F$7,$I$6&gt;SUM($K$6:AA6),AB6&gt;($J$6/7)),"",IF(AND(AB6&lt;&gt;0,$D$6=$D$7,$J$7&gt;(SUM($K$6:AA6))),"",(IF($I$7&gt;$J$7+(SUM($K$7:AA7)),$J$7,$I$7-(SUM($K$7:AA7))))))</f>
        <v>0</v>
      </c>
      <c r="AC7" s="3">
        <f>IF(AND($F$6=$F$7,$I$6&gt;SUM($K$6:AB6),AC6&gt;($J$6/7)),"",IF(AND(AC6&lt;&gt;0,$D$6=$D$7,$J$7&gt;(SUM($K$6:AB6))),"",(IF($I$7&gt;$J$7+(SUM($K$7:AB7)),$J$7,$I$7-(SUM($K$7:AB7))))))</f>
        <v>0</v>
      </c>
      <c r="AD7" s="3">
        <f>IF(AND($F$6=$F$7,$I$6&gt;SUM($K$6:AC6),AD6&gt;($J$6/7)),"",IF(AND(AD6&lt;&gt;0,$D$6=$D$7,$J$7&gt;(SUM($K$6:AC6))),"",(IF($I$7&gt;$J$7+(SUM($K$7:AC7)),$J$7,$I$7-(SUM($K$7:AC7))))))</f>
        <v>0</v>
      </c>
      <c r="AE7" s="3">
        <f>IF(AND($F$6=$F$7,$I$6&gt;SUM($K$6:AD6),AE6&gt;($J$6/7)),"",IF(AND(AE6&lt;&gt;0,$D$6=$D$7,$J$7&gt;(SUM($K$6:AD6))),"",(IF($I$7&gt;$J$7+(SUM($K$7:AD7)),$J$7,$I$7-(SUM($K$7:AD7))))))</f>
        <v>0</v>
      </c>
      <c r="AF7" s="3">
        <f>IF(AND($F$6=$F$7,$I$6&gt;SUM($K$6:AE6),AF6&gt;($J$6/7)),"",IF(AND(AF6&lt;&gt;0,$D$6=$D$7,$J$7&gt;(SUM($K$6:AE6))),"",(IF($I$7&gt;$J$7+(SUM($K$7:AE7)),$J$7,$I$7-(SUM($K$7:AE7))))))</f>
        <v>0</v>
      </c>
      <c r="AG7" s="3">
        <f>IF(AND($F$6=$F$7,$I$6&gt;SUM($K$6:AF6),AG6&gt;($J$6/7)),"",IF(AND(AG6&lt;&gt;0,$D$6=$D$7,$J$7&gt;(SUM($K$6:AF6))),"",(IF($I$7&gt;$J$7+(SUM($K$7:AF7)),$J$7,$I$7-(SUM($K$7:AF7))))))</f>
        <v>0</v>
      </c>
      <c r="AH7" s="3">
        <f>IF(AND($F$6=$F$7,$I$6&gt;SUM($K$6:AG6),AH6&gt;($J$6/7)),"",IF(AND(AH6&lt;&gt;0,$D$6=$D$7,$J$7&gt;(SUM($K$6:AG6))),"",(IF($I$7&gt;$J$7+(SUM($K$7:AG7)),$J$7,$I$7-(SUM($K$7:AG7))))))</f>
        <v>0</v>
      </c>
      <c r="AI7" s="3">
        <f>IF(AND($F$6=$F$7,$I$6&gt;SUM($K$6:AH6),AI6&gt;($J$6/7)),"",IF(AND(AI6&lt;&gt;0,$D$6=$D$7,$J$7&gt;(SUM($K$6:AH6))),"",(IF($I$7&gt;$J$7+(SUM($K$7:AH7)),$J$7,$I$7-(SUM($K$7:AH7))))))</f>
        <v>0</v>
      </c>
      <c r="AJ7" s="3">
        <f>IF(AND($F$6=$F$7,$I$6&gt;SUM($K$6:AI6),AJ6&gt;($J$6/7)),"",IF(AND(AJ6&lt;&gt;0,$D$6=$D$7,$J$7&gt;(SUM($K$6:AI6))),"",(IF($I$7&gt;$J$7+(SUM($K$7:AI7)),$J$7,$I$7-(SUM($K$7:AI7))))))</f>
        <v>0</v>
      </c>
      <c r="AK7" s="3">
        <f>IF(AND($F$6=$F$7,$I$6&gt;SUM($K$6:AJ6),AK6&gt;($J$6/7)),"",IF(AND(AK6&lt;&gt;0,$D$6=$D$7,$J$7&gt;(SUM($K$6:AJ6))),"",(IF($I$7&gt;$J$7+(SUM($K$7:AJ7)),$J$7,$I$7-(SUM($K$7:AJ7))))))</f>
        <v>0</v>
      </c>
      <c r="AL7" s="3">
        <f>IF(AND($F$6=$F$7,$I$6&gt;SUM($K$6:AK6),AL6&gt;($J$6/7)),"",IF(AND(AL6&lt;&gt;0,$D$6=$D$7,$J$7&gt;(SUM($K$6:AK6))),"",(IF($I$7&gt;$J$7+(SUM($K$7:AK7)),$J$7,$I$7-(SUM($K$7:AK7))))))</f>
        <v>0</v>
      </c>
      <c r="AM7" s="3">
        <f>IF(AND($F$6=$F$7,$I$6&gt;SUM($K$6:AL6),AM6&gt;($J$6/7)),"",IF(AND(AM6&lt;&gt;0,$D$6=$D$7,$J$7&gt;(SUM($K$6:AL6))),"",(IF($I$7&gt;$J$7+(SUM($K$7:AL7)),$J$7,$I$7-(SUM($K$7:AL7))))))</f>
        <v>0</v>
      </c>
      <c r="AN7" s="3">
        <f>IF(AND($F$6=$F$7,$I$6&gt;SUM($K$6:AM6),AN6&gt;($J$6/7)),"",IF(AND(AN6&lt;&gt;0,$D$6=$D$7,$J$7&gt;(SUM($K$6:AM6))),"",(IF($I$7&gt;$J$7+(SUM($K$7:AM7)),$J$7,$I$7-(SUM($K$7:AM7))))))</f>
        <v>0</v>
      </c>
      <c r="AO7" s="3">
        <f>IF(AND($F$6=$F$7,$I$6&gt;SUM($K$6:AN6),AO6&gt;($J$6/7)),"",IF(AND(AO6&lt;&gt;0,$D$6=$D$7,$J$7&gt;(SUM($K$6:AN6))),"",(IF($I$7&gt;$J$7+(SUM($K$7:AN7)),$J$7,$I$7-(SUM($K$7:AN7))))))</f>
        <v>0</v>
      </c>
      <c r="AP7" s="3">
        <f>IF(AND($F$6=$F$7,$I$6&gt;SUM($K$6:AO6),AP6&gt;($J$6/7)),"",IF(AND(AP6&lt;&gt;0,$D$6=$D$7,$J$7&gt;(SUM($K$6:AO6))),"",(IF($I$7&gt;$J$7+(SUM($K$7:AO7)),$J$7,$I$7-(SUM($K$7:AO7))))))</f>
        <v>0</v>
      </c>
      <c r="AQ7" s="3">
        <f>IF(AND($F$6=$F$7,$I$6&gt;SUM($K$6:AP6),AQ6&gt;($J$6/7)),"",IF(AND(AQ6&lt;&gt;0,$D$6=$D$7,$J$7&gt;(SUM($K$6:AP6))),"",(IF($I$7&gt;$J$7+(SUM($K$7:AP7)),$J$7,$I$7-(SUM($K$7:AP7))))))</f>
        <v>0</v>
      </c>
      <c r="AR7" s="3">
        <f>IF(AND($F$6=$F$7,$I$6&gt;SUM($K$6:AQ6),AR6&gt;($J$6/7)),"",IF(AND(AR6&lt;&gt;0,$D$6=$D$7,$J$7&gt;(SUM($K$6:AQ6))),"",(IF($I$7&gt;$J$7+(SUM($K$7:AQ7)),$J$7,$I$7-(SUM($K$7:AQ7))))))</f>
        <v>0</v>
      </c>
      <c r="AS7" s="3">
        <f>IF(AND($F$6=$F$7,$I$6&gt;SUM($K$6:AR6),AS6&gt;($J$6/7)),"",IF(AND(AS6&lt;&gt;0,$D$6=$D$7,$J$7&gt;(SUM($K$6:AR6))),"",(IF($I$7&gt;$J$7+(SUM($K$7:AR7)),$J$7,$I$7-(SUM($K$7:AR7))))))</f>
        <v>0</v>
      </c>
      <c r="AT7" s="3">
        <f>IF(AND($F$6=$F$7,$I$6&gt;SUM($K$6:AS6),AT6&gt;($J$6/7)),"",IF(AND(AT6&lt;&gt;0,$D$6=$D$7,$J$7&gt;(SUM($K$6:AS6))),"",(IF($I$7&gt;$J$7+(SUM($K$7:AS7)),$J$7,$I$7-(SUM($K$7:AS7))))))</f>
        <v>0</v>
      </c>
      <c r="AU7" s="3">
        <f>IF(AND($F$6=$F$7,$I$6&gt;SUM($K$6:AT6),AU6&gt;($J$6/7)),"",IF(AND(AU6&lt;&gt;0,$D$6=$D$7,$J$7&gt;(SUM($K$6:AT6))),"",(IF($I$7&gt;$J$7+(SUM($K$7:AT7)),$J$7,$I$7-(SUM($K$7:AT7))))))</f>
        <v>0</v>
      </c>
      <c r="AV7" s="3">
        <f>IF(AND($F$6=$F$7,$I$6&gt;SUM($K$6:AU6),AV6&gt;($J$6/7)),"",IF(AND(AV6&lt;&gt;0,$D$6=$D$7,$J$7&gt;(SUM($K$6:AU6))),"",(IF($I$7&gt;$J$7+(SUM($K$7:AU7)),$J$7,$I$7-(SUM($K$7:AU7))))))</f>
        <v>0</v>
      </c>
      <c r="AW7" s="3">
        <f>IF(AND($F$6=$F$7,$I$6&gt;SUM($K$6:AV6),AW6&gt;($J$6/7)),"",IF(AND(AW6&lt;&gt;0,$D$6=$D$7,$J$7&gt;(SUM($K$6:AV6))),"",(IF($I$7&gt;$J$7+(SUM($K$7:AV7)),$J$7,$I$7-(SUM($K$7:AV7))))))</f>
        <v>0</v>
      </c>
      <c r="AX7" s="3">
        <f>IF(AND($F$6=$F$7,$I$6&gt;SUM($K$6:AW6),AX6&gt;($J$6/7)),"",IF(AND(AX6&lt;&gt;0,$D$6=$D$7,$J$7&gt;(SUM($K$6:AW6))),"",(IF($I$7&gt;$J$7+(SUM($K$7:AW7)),$J$7,$I$7-(SUM($K$7:AW7))))))</f>
        <v>0</v>
      </c>
      <c r="AY7" s="3">
        <f>IF(AND($F$6=$F$7,$I$6&gt;SUM($K$6:AX6),AY6&gt;($J$6/7)),"",IF(AND(AY6&lt;&gt;0,$D$6=$D$7,$J$7&gt;(SUM($K$6:AX6))),"",(IF($I$7&gt;$J$7+(SUM($K$7:AX7)),$J$7,$I$7-(SUM($K$7:AX7))))))</f>
        <v>0</v>
      </c>
      <c r="AZ7" s="3">
        <f>IF(AND($F$6=$F$7,$I$6&gt;SUM($K$6:AY6),AZ6&gt;($J$6/7)),"",IF(AND(AZ6&lt;&gt;0,$D$6=$D$7,$J$7&gt;(SUM($K$6:AY6))),"",(IF($I$7&gt;$J$7+(SUM($K$7:AY7)),$J$7,$I$7-(SUM($K$7:AY7))))))</f>
        <v>0</v>
      </c>
      <c r="BA7" s="3">
        <f>IF(AND($F$6=$F$7,$I$6&gt;SUM($K$6:AZ6),BA6&gt;($J$6/7)),"",IF(AND(BA6&lt;&gt;0,$D$6=$D$7,$J$7&gt;(SUM($K$6:AZ6))),"",(IF($I$7&gt;$J$7+(SUM($K$7:AZ7)),$J$7,$I$7-(SUM($K$7:AZ7))))))</f>
        <v>0</v>
      </c>
      <c r="BB7" s="3">
        <f>IF(AND($F$6=$F$7,$I$6&gt;SUM($K$6:BA6),BB6&gt;($J$6/7)),"",IF(AND(BB6&lt;&gt;0,$D$6=$D$7,$J$7&gt;(SUM($K$6:BA6))),"",(IF($I$7&gt;$J$7+(SUM($K$7:BA7)),$J$7,$I$7-(SUM($K$7:BA7))))))</f>
        <v>0</v>
      </c>
      <c r="BC7" s="3">
        <f>IF(AND($F$6=$F$7,$I$6&gt;SUM($K$6:BB6),BC6&gt;($J$6/7)),"",IF(AND(BC6&lt;&gt;0,$D$6=$D$7,$J$7&gt;(SUM($K$6:BB6))),"",(IF($I$7&gt;$J$7+(SUM($K$7:BB7)),$J$7,$I$7-(SUM($K$7:BB7))))))</f>
        <v>0</v>
      </c>
      <c r="BD7" s="3">
        <f>IF(AND($F$6=$F$7,$I$6&gt;SUM($K$6:BC6),BD6&gt;($J$6/7)),"",IF(AND(BD6&lt;&gt;0,$D$6=$D$7,$J$7&gt;(SUM($K$6:BC6))),"",(IF($I$7&gt;$J$7+(SUM($K$7:BC7)),$J$7,$I$7-(SUM($K$7:BC7))))))</f>
        <v>0</v>
      </c>
      <c r="BE7" s="3">
        <f>IF(AND($F$6=$F$7,$I$6&gt;SUM($K$6:BD6),BE6&gt;($J$6/7)),"",IF(AND(BE6&lt;&gt;0,$D$6=$D$7,$J$7&gt;(SUM($K$6:BD6))),"",(IF($I$7&gt;$J$7+(SUM($K$7:BD7)),$J$7,$I$7-(SUM($K$7:BD7))))))</f>
        <v>0</v>
      </c>
      <c r="BF7" s="3">
        <f>IF(AND($F$6=$F$7,$I$6&gt;SUM($K$6:BE6),BF6&gt;($J$6/7)),"",IF(AND(BF6&lt;&gt;0,$D$6=$D$7,$J$7&gt;(SUM($K$6:BE6))),"",(IF($I$7&gt;$J$7+(SUM($K$7:BE7)),$J$7,$I$7-(SUM($K$7:BE7))))))</f>
        <v>0</v>
      </c>
      <c r="BG7" s="3">
        <f>IF(AND($F$6=$F$7,$I$6&gt;SUM($K$6:BF6),BG6&gt;($J$6/7)),"",IF(AND(BG6&lt;&gt;0,$D$6=$D$7,$J$7&gt;(SUM($K$6:BF6))),"",(IF($I$7&gt;$J$7+(SUM($K$7:BF7)),$J$7,$I$7-(SUM($K$7:BF7))))))</f>
        <v>0</v>
      </c>
      <c r="BH7" s="3">
        <f>IF(AND($F$6=$F$7,$I$6&gt;SUM($K$6:BG6),BH6&gt;($J$6/7)),"",IF(AND(BH6&lt;&gt;0,$D$6=$D$7,$J$7&gt;(SUM($K$6:BG6))),"",(IF($I$7&gt;$J$7+(SUM($K$7:BG7)),$J$7,$I$7-(SUM($K$7:BG7))))))</f>
        <v>0</v>
      </c>
      <c r="BI7" s="3">
        <f>IF(AND($F$6=$F$7,$I$6&gt;SUM($K$6:BH6),BI6&gt;($J$6/7)),"",IF(AND(BI6&lt;&gt;0,$D$6=$D$7,$J$7&gt;(SUM($K$6:BH6))),"",(IF($I$7&gt;$J$7+(SUM($K$7:BH7)),$J$7,$I$7-(SUM($K$7:BH7))))))</f>
        <v>0</v>
      </c>
      <c r="BJ7" s="3">
        <f>IF(AND($F$6=$F$7,$I$6&gt;SUM($K$6:BI6),BJ6&gt;($J$6/7)),"",IF(AND(BJ6&lt;&gt;0,$D$6=$D$7,$J$7&gt;(SUM($K$6:BI6))),"",(IF($I$7&gt;$J$7+(SUM($K$7:BI7)),$J$7,$I$7-(SUM($K$7:BI7))))))</f>
        <v>0</v>
      </c>
      <c r="BK7" s="3">
        <f>IF(AND($F$6=$F$7,$I$6&gt;SUM($K$6:BJ6),BK6&gt;($J$6/7)),"",IF(AND(BK6&lt;&gt;0,$D$6=$D$7,$J$7&gt;(SUM($K$6:BJ6))),"",(IF($I$7&gt;$J$7+(SUM($K$7:BJ7)),$J$7,$I$7-(SUM($K$7:BJ7))))))</f>
        <v>0</v>
      </c>
      <c r="BL7" s="3">
        <f>IF(AND($F$6=$F$7,$I$6&gt;SUM($K$6:BK6),BL6&gt;($J$6/7)),"",IF(AND(BL6&lt;&gt;0,$D$6=$D$7,$J$7&gt;(SUM($K$6:BK6))),"",(IF($I$7&gt;$J$7+(SUM($K$7:BK7)),$J$7,$I$7-(SUM($K$7:BK7))))))</f>
        <v>0</v>
      </c>
      <c r="BM7" s="3">
        <f>IF(AND($F$6=$F$7,$I$6&gt;SUM($K$6:BL6),BM6&gt;($J$6/7)),"",IF(AND(BM6&lt;&gt;0,$D$6=$D$7,$J$7&gt;(SUM($K$6:BL6))),"",(IF($I$7&gt;$J$7+(SUM($K$7:BL7)),$J$7,$I$7-(SUM($K$7:BL7))))))</f>
        <v>0</v>
      </c>
      <c r="BN7" s="3">
        <f>IF(AND($F$6=$F$7,$I$6&gt;SUM($K$6:BM6),BN6&gt;($J$6/7)),"",IF(AND(BN6&lt;&gt;0,$D$6=$D$7,$J$7&gt;(SUM($K$6:BM6))),"",(IF($I$7&gt;$J$7+(SUM($K$7:BM7)),$J$7,$I$7-(SUM($K$7:BM7))))))</f>
        <v>0</v>
      </c>
      <c r="BO7" s="3">
        <f>IF(AND($F$6=$F$7,$I$6&gt;SUM($K$6:BN6),BO6&gt;($J$6/7)),"",IF(AND(BO6&lt;&gt;0,$D$6=$D$7,$J$7&gt;(SUM($K$6:BN6))),"",(IF($I$7&gt;$J$7+(SUM($K$7:BN7)),$J$7,$I$7-(SUM($K$7:BN7))))))</f>
        <v>0</v>
      </c>
      <c r="BP7" s="3">
        <f>IF(AND($F$6=$F$7,$I$6&gt;SUM($K$6:BO6),BP6&gt;($J$6/7)),"",IF(AND(BP6&lt;&gt;0,$D$6=$D$7,$J$7&gt;(SUM($K$6:BO6))),"",(IF($I$7&gt;$J$7+(SUM($K$7:BO7)),$J$7,$I$7-(SUM($K$7:BO7))))))</f>
        <v>0</v>
      </c>
      <c r="BQ7" s="3">
        <f>IF(AND($F$6=$F$7,$I$6&gt;SUM($K$6:BP6),BQ6&gt;($J$6/7)),"",IF(AND(BQ6&lt;&gt;0,$D$6=$D$7,$J$7&gt;(SUM($K$6:BP6))),"",(IF($I$7&gt;$J$7+(SUM($K$7:BP7)),$J$7,$I$7-(SUM($K$7:BP7))))))</f>
        <v>0</v>
      </c>
      <c r="BR7" s="3">
        <f>IF(AND($F$6=$F$7,$I$6&gt;SUM($K$6:BQ6),BR6&gt;($J$6/7)),"",IF(AND(BR6&lt;&gt;0,$D$6=$D$7,$J$7&gt;(SUM($K$6:BQ6))),"",(IF($I$7&gt;$J$7+(SUM($K$7:BQ7)),$J$7,$I$7-(SUM($K$7:BQ7))))))</f>
        <v>0</v>
      </c>
      <c r="BS7" s="3">
        <f>IF(AND($F$6=$F$7,$I$6&gt;SUM($K$6:BR6),BS6&gt;($J$6/7)),"",IF(AND(BS6&lt;&gt;0,$D$6=$D$7,$J$7&gt;(SUM($K$6:BR6))),"",(IF($I$7&gt;$J$7+(SUM($K$7:BR7)),$J$7,$I$7-(SUM($K$7:BR7))))))</f>
        <v>0</v>
      </c>
      <c r="BT7" s="3">
        <f>IF(AND($F$6=$F$7,$I$6&gt;SUM($K$6:BS6),BT6&gt;($J$6/7)),"",IF(AND(BT6&lt;&gt;0,$D$6=$D$7,$J$7&gt;(SUM($K$6:BS6))),"",(IF($I$7&gt;$J$7+(SUM($K$7:BS7)),$J$7,$I$7-(SUM($K$7:BS7))))))</f>
        <v>0</v>
      </c>
      <c r="BU7" s="3">
        <f>IF(AND($F$6=$F$7,$I$6&gt;SUM($K$6:BT6),BU6&gt;($J$6/7)),"",IF(AND(BU6&lt;&gt;0,$D$6=$D$7,$J$7&gt;(SUM($K$6:BT6))),"",(IF($I$7&gt;$J$7+(SUM($K$7:BT7)),$J$7,$I$7-(SUM($K$7:BT7))))))</f>
        <v>0</v>
      </c>
      <c r="BV7" s="3">
        <f>IF(AND($F$6=$F$7,$I$6&gt;SUM($K$6:BU6),BV6&gt;($J$6/7)),"",IF(AND(BV6&lt;&gt;0,$D$6=$D$7,$J$7&gt;(SUM($K$6:BU6))),"",(IF($I$7&gt;$J$7+(SUM($K$7:BU7)),$J$7,$I$7-(SUM($K$7:BU7))))))</f>
        <v>0</v>
      </c>
      <c r="BW7" s="3">
        <f>IF(AND($F$6=$F$7,$I$6&gt;SUM($K$6:BV6),BW6&gt;($J$6/7)),"",IF(AND(BW6&lt;&gt;0,$D$6=$D$7,$J$7&gt;(SUM($K$6:BV6))),"",(IF($I$7&gt;$J$7+(SUM($K$7:BV7)),$J$7,$I$7-(SUM($K$7:BV7))))))</f>
        <v>0</v>
      </c>
      <c r="BX7" s="3">
        <f>IF(AND($F$6=$F$7,$I$6&gt;SUM($K$6:BW6),BX6&gt;($J$6/7)),"",IF(AND(BX6&lt;&gt;0,$D$6=$D$7,$J$7&gt;(SUM($K$6:BW6))),"",(IF($I$7&gt;$J$7+(SUM($K$7:BW7)),$J$7,$I$7-(SUM($K$7:BW7))))))</f>
        <v>0</v>
      </c>
      <c r="BY7" s="3">
        <f>IF(AND($F$6=$F$7,$I$6&gt;SUM($K$6:BX6),BY6&gt;($J$6/7)),"",IF(AND(BY6&lt;&gt;0,$D$6=$D$7,$J$7&gt;(SUM($K$6:BX6))),"",(IF($I$7&gt;$J$7+(SUM($K$7:BX7)),$J$7,$I$7-(SUM($K$7:BX7))))))</f>
        <v>0</v>
      </c>
      <c r="BZ7" s="3">
        <f>IF(AND($F$6=$F$7,$I$6&gt;SUM($K$6:BY6),BZ6&gt;($J$4/7)),"",IF(AND(BZ6&lt;&gt;0,$D$6=$D$7,$J$7&gt;(SUM($K$6:BY6))),"",(IF($I$7&gt;$J$7+(SUM($K$7:BY7)),$J$7,$I$7-(SUM($K$7:BY7))))))</f>
        <v>0</v>
      </c>
      <c r="CA7" s="3">
        <f>IF(AND($F$6=$F$7,$I$6&gt;SUM($K$6:BZ6),CA6&gt;($J$4/7)),"",IF(AND(CA6&lt;&gt;0,$D$6=$D$7,$J$7&gt;(SUM($K$6:BZ6))),"",(IF($I$7&gt;$J$7+(SUM($K$7:BZ7)),$J$7,$I$7-(SUM($K$7:BZ7))))))</f>
        <v>0</v>
      </c>
      <c r="CB7" s="3">
        <f>IF(AND($F$6=$F$7,$I$6&gt;SUM($K$6:CA6),CB6&gt;($J$4/7)),"",IF(AND(CB6&lt;&gt;0,$D$6=$D$7,$J$7&gt;(SUM($K$6:CA6))),"",(IF($I$7&gt;$J$7+(SUM($K$7:CA7)),$J$7,$I$7-(SUM($K$7:CA7))))))</f>
        <v>0</v>
      </c>
      <c r="CC7" s="3">
        <f>IF(AND($F$6=$F$7,$I$6&gt;SUM($K$6:CB6),CC6&gt;($J$4/7)),"",IF(AND(CC6&lt;&gt;0,$D$6=$D$7,$J$7&gt;(SUM($K$6:CB6))),"",(IF($I$7&gt;$J$7+(SUM($K$7:CB7)),$J$7,$I$7-(SUM($K$7:CB7))))))</f>
        <v>0</v>
      </c>
      <c r="CD7" s="3">
        <f>IF(AND($F$6=$F$7,$I$6&gt;SUM($K$6:CC6),CD6&gt;($J$4/7)),"",IF(AND(CD6&lt;&gt;0,$D$6=$D$7,$J$7&gt;(SUM($K$6:CC6))),"",(IF($I$7&gt;$J$7+(SUM($K$7:CC7)),$J$7,$I$7-(SUM($K$7:CC7))))))</f>
        <v>0</v>
      </c>
      <c r="CE7" s="3">
        <f>IF(AND($F$6=$F$7,$I$6&gt;SUM($K$6:CD6),CE6&gt;($J$4/7)),"",IF(AND(CE6&lt;&gt;0,$D$6=$D$7,$J$7&gt;(SUM($K$6:CD6))),"",(IF($I$7&gt;$J$7+(SUM($K$7:CD7)),$J$7,$I$7-(SUM($K$7:CD7))))))</f>
        <v>0</v>
      </c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</row>
    <row r="8" spans="1:251" x14ac:dyDescent="0.25">
      <c r="A8" s="6">
        <v>6</v>
      </c>
      <c r="B8" t="str">
        <f t="shared" si="3"/>
        <v>38998PRENSA FR - 10</v>
      </c>
      <c r="C8" t="str">
        <f t="shared" si="4"/>
        <v>ESTAMPAREslabón Angular Estampado perf.18</v>
      </c>
      <c r="D8">
        <v>38998</v>
      </c>
      <c r="E8" s="101" t="s">
        <v>436</v>
      </c>
      <c r="F8" s="27" t="s">
        <v>83</v>
      </c>
      <c r="G8" s="2" t="str">
        <f t="shared" si="0"/>
        <v>ESTAMPAR</v>
      </c>
      <c r="H8" s="9">
        <f t="shared" si="1"/>
        <v>0.45300000000000001</v>
      </c>
      <c r="I8" s="2">
        <f t="shared" si="2"/>
        <v>3050</v>
      </c>
      <c r="J8" s="2">
        <f t="shared" si="5"/>
        <v>342</v>
      </c>
      <c r="K8">
        <f>IF(F8=F7,"",IF(AND($D$8=$D$7,$J$8&gt;1),"",(IF($I$8&gt;$J$8,$J$8,$I$8))))</f>
        <v>342</v>
      </c>
      <c r="L8" s="3">
        <f>IF(AND($F$7=$F$8,$I$7&gt;SUM($K$7:K7),L7&gt;($J$7/7)),"",IF(AND(L7&lt;&gt;0,$D$7=$D$8,$J$8&gt;(SUM($K$7:K7))),"",(IF($I$8&gt;$J$8+(SUM($K$8:K8)),$J$8,$I$8-(SUM($K$8:K8))))))</f>
        <v>342</v>
      </c>
      <c r="M8" s="3">
        <f>IF(AND($F$7=$F$8,$I$7&gt;SUM($K$7:L7),M7&gt;($J$4/7)),"",IF(AND(M7&lt;&gt;0,$D$7=$D$8,$J$8&gt;(SUM($K$7:L7))),"",(IF($I$8&gt;$J$8+(SUM($K$8:L8)),$J$8,$I$8-(SUM($K$8:L8))))))</f>
        <v>342</v>
      </c>
      <c r="N8" s="3">
        <f>IF(AND($F$7=$F$8,$I$7&gt;SUM($K$7:M7),N7&gt;($J$4/7)),"",IF(AND(N7&lt;&gt;0,$D$7=$D$8,$J$8&gt;(SUM($K$7:M7))),"",(IF($I$8&gt;$J$8+(SUM($K$8:M8)),$J$8,$I$8-(SUM($K$8:M8))))))</f>
        <v>342</v>
      </c>
      <c r="O8" s="3">
        <f>IF(AND($F$7=$F$8,$I$7&gt;SUM($K$7:N7),O7&gt;($J$4/7)),"",IF(AND(O7&lt;&gt;0,$D$7=$D$8,$J$8&gt;(SUM($K$7:N7))),"",(IF($I$8&gt;$J$8+(SUM($K$8:N8)),$J$8,$I$8-(SUM($K$8:N8))))))</f>
        <v>342</v>
      </c>
      <c r="P8" s="3">
        <f>IF(AND($F$7=$F$8,$I$7&gt;SUM($K$7:O7),P7&gt;($J$4/7)),"",IF(AND(P7&lt;&gt;0,$D$7=$D$8,$J$8&gt;(SUM($K$7:O7))),"",(IF($I$8&gt;$J$8+(SUM($K$8:O8)),$J$8,$I$8-(SUM($K$8:O8))))))</f>
        <v>342</v>
      </c>
      <c r="Q8" s="3">
        <f>IF(AND($F$7=$F$8,$I$7&gt;SUM($K$7:P7),Q7&gt;($J$4/7)),"",IF(AND(Q7&lt;&gt;0,$D$7=$D$8,$J$8&gt;(SUM($K$7:P7))),"",(IF($I$8&gt;$J$8+(SUM($K$8:P8)),$J$8,$I$8-(SUM($K$8:P8))))))</f>
        <v>342</v>
      </c>
      <c r="R8" s="3">
        <f>IF(AND($F$7=$F$8,$I$7&gt;SUM($K$7:Q7),R7&gt;($J$4/7)),"",IF(AND(R7&lt;&gt;0,$D$7=$D$8,$J$8&gt;(SUM($K$7:Q7))),"",(IF($I$8&gt;$J$8+(SUM($K$8:Q8)),$J$8,$I$8-(SUM($K$8:Q8))))))</f>
        <v>342</v>
      </c>
      <c r="S8" s="3">
        <f>IF(AND($F$7=$F$8,$I$7&gt;SUM($K$7:R7),S7&gt;($J$4/7)),"",IF(AND(S7&lt;&gt;0,$D$7=$D$8,$J$8&gt;(SUM($K$7:R7))),"",(IF($I$8&gt;$J$8+(SUM($K$8:R8)),$J$8,$I$8-(SUM($K$8:R8))))))</f>
        <v>314</v>
      </c>
      <c r="T8" s="3">
        <f>IF(AND($F$7=$F$8,$I$7&gt;SUM($K$7:S7),T7&gt;($J$4/7)),"",IF(AND(T7&lt;&gt;0,$D$7=$D$8,$J$8&gt;(SUM($K$7:S7))),"",(IF($I$8&gt;$J$8+(SUM($K$8:S8)),$J$8,$I$8-(SUM($K$8:S8))))))</f>
        <v>0</v>
      </c>
      <c r="U8" s="3">
        <f>IF(AND($F$7=$F$8,$I$7&gt;SUM($K$7:T7),U7&gt;($J$4/7)),"",IF(AND(U7&lt;&gt;0,$D$7=$D$8,$J$8&gt;(SUM($K$7:T7))),"",(IF($I$8&gt;$J$8+(SUM($K$8:T8)),$J$8,$I$8-(SUM($K$8:T8))))))</f>
        <v>0</v>
      </c>
      <c r="V8" s="3">
        <f>IF(AND($F$7=$F$8,$I$7&gt;SUM($K$7:U7),V7&gt;($J$4/7)),"",IF(AND(V7&lt;&gt;0,$D$7=$D$8,$J$8&gt;(SUM($K$7:U7))),"",(IF($I$8&gt;$J$8+(SUM($K$8:U8)),$J$8,$I$8-(SUM($K$8:U8))))))</f>
        <v>0</v>
      </c>
      <c r="W8" s="3">
        <f>IF(AND($F$7=$F$8,$I$7&gt;SUM($K$7:V7),W7&gt;($J$4/7)),"",IF(AND(W7&lt;&gt;0,$D$7=$D$8,$J$8&gt;(SUM($K$7:V7))),"",(IF($I$8&gt;$J$8+(SUM($K$8:V8)),$J$8,$I$8-(SUM($K$8:V8))))))</f>
        <v>0</v>
      </c>
      <c r="X8" s="3">
        <f>IF(AND($F$7=$F$8,$I$7&gt;SUM($K$7:W7),X7&gt;($J$4/7)),"",IF(AND(X7&lt;&gt;0,$D$7=$D$8,$J$8&gt;(SUM($K$7:W7))),"",(IF($I$8&gt;$J$8+(SUM($K$8:W8)),$J$8,$I$8-(SUM($K$8:W8))))))</f>
        <v>0</v>
      </c>
      <c r="Y8" s="3">
        <f>IF(AND($F$7=$F$8,$I$7&gt;SUM($K$7:X7),Y7&gt;($J$4/7)),"",IF(AND(Y7&lt;&gt;0,$D$7=$D$8,$J$8&gt;(SUM($K$7:X7))),"",(IF($I$8&gt;$J$8+(SUM($K$8:X8)),$J$8,$I$8-(SUM($K$8:X8))))))</f>
        <v>0</v>
      </c>
      <c r="Z8" s="3">
        <f>IF(AND($F$7=$F$8,$I$7&gt;SUM($K$7:Y7),Z7&gt;($J$4/7)),"",IF(AND(Z7&lt;&gt;0,$D$7=$D$8,$J$8&gt;(SUM($K$7:Y7))),"",(IF($I$8&gt;$J$8+(SUM($K$8:Y8)),$J$8,$I$8-(SUM($K$8:Y8))))))</f>
        <v>0</v>
      </c>
      <c r="AA8" s="3">
        <f>IF(AND($F$7=$F$8,$I$7&gt;SUM($K$7:Z7),AA7&gt;($J$4/7)),"",IF(AND(AA7&lt;&gt;0,$D$7=$D$8,$J$8&gt;(SUM($K$7:Z7))),"",(IF($I$8&gt;$J$8+(SUM($K$8:Z8)),$J$8,$I$8-(SUM($K$8:Z8))))))</f>
        <v>0</v>
      </c>
      <c r="AB8" s="3">
        <f>IF(AND($F$7=$F$8,$I$7&gt;SUM($K$7:AA7),AB7&gt;($J$4/7)),"",IF(AND(AB7&lt;&gt;0,$D$7=$D$8,$J$8&gt;(SUM($K$7:AA7))),"",(IF($I$8&gt;$J$8+(SUM($K$8:AA8)),$J$8,$I$8-(SUM($K$8:AA8))))))</f>
        <v>0</v>
      </c>
      <c r="AC8" s="3">
        <f>IF(AND($F$7=$F$8,$I$7&gt;SUM($K$7:AB7),AC7&gt;($J$4/7)),"",IF(AND(AC7&lt;&gt;0,$D$7=$D$8,$J$8&gt;(SUM($K$7:AB7))),"",(IF($I$8&gt;$J$8+(SUM($K$8:AB8)),$J$8,$I$8-(SUM($K$8:AB8))))))</f>
        <v>0</v>
      </c>
      <c r="AD8" s="3">
        <f>IF(AND($F$7=$F$8,$I$7&gt;SUM($K$7:AC7),AD7&gt;($J$4/7)),"",IF(AND(AD7&lt;&gt;0,$D$7=$D$8,$J$8&gt;(SUM($K$7:AC7))),"",(IF($I$8&gt;$J$8+(SUM($K$8:AC8)),$J$8,$I$8-(SUM($K$8:AC8))))))</f>
        <v>0</v>
      </c>
      <c r="AE8" s="3">
        <f>IF(AND($F$7=$F$8,$I$7&gt;SUM($K$7:AD7),AE7&gt;($J$4/7)),"",IF(AND(AE7&lt;&gt;0,$D$7=$D$8,$J$8&gt;(SUM($K$7:AD7))),"",(IF($I$8&gt;$J$8+(SUM($K$8:AD8)),$J$8,$I$8-(SUM($K$8:AD8))))))</f>
        <v>0</v>
      </c>
      <c r="AF8" s="3">
        <f>IF(AND($F$7=$F$8,$I$7&gt;SUM($K$7:AE7),AF7&gt;($J$4/7)),"",IF(AND(AF7&lt;&gt;0,$D$7=$D$8,$J$8&gt;(SUM($K$7:AE7))),"",(IF($I$8&gt;$J$8+(SUM($K$8:AE8)),$J$8,$I$8-(SUM($K$8:AE8))))))</f>
        <v>0</v>
      </c>
      <c r="AG8" s="3">
        <f>IF(AND($F$7=$F$8,$I$7&gt;SUM($K$7:AF7),AG7&gt;($J$4/7)),"",IF(AND(AG7&lt;&gt;0,$D$7=$D$8,$J$8&gt;(SUM($K$7:AF7))),"",(IF($I$8&gt;$J$8+(SUM($K$8:AF8)),$J$8,$I$8-(SUM($K$8:AF8))))))</f>
        <v>0</v>
      </c>
      <c r="AH8" s="3">
        <f>IF(AND($F$7=$F$8,$I$7&gt;SUM($K$7:AG7),AH7&gt;($J$4/7)),"",IF(AND(AH7&lt;&gt;0,$D$7=$D$8,$J$8&gt;(SUM($K$7:AG7))),"",(IF($I$8&gt;$J$8+(SUM($K$8:AG8)),$J$8,$I$8-(SUM($K$8:AG8))))))</f>
        <v>0</v>
      </c>
      <c r="AI8" s="3">
        <f>IF(AND($F$7=$F$8,$I$7&gt;SUM($K$7:AH7),AI7&gt;($J$4/7)),"",IF(AND(AI7&lt;&gt;0,$D$7=$D$8,$J$8&gt;(SUM($K$7:AH7))),"",(IF($I$8&gt;$J$8+(SUM($K$8:AH8)),$J$8,$I$8-(SUM($K$8:AH8))))))</f>
        <v>0</v>
      </c>
      <c r="AJ8" s="3">
        <f>IF(AND($F$7=$F$8,$I$7&gt;SUM($K$7:AI7),AJ7&gt;($J$4/7)),"",IF(AND(AJ7&lt;&gt;0,$D$7=$D$8,$J$8&gt;(SUM($K$7:AI7))),"",(IF($I$8&gt;$J$8+(SUM($K$8:AI8)),$J$8,$I$8-(SUM($K$8:AI8))))))</f>
        <v>0</v>
      </c>
      <c r="AK8" s="3">
        <f>IF(AND($F$7=$F$8,$I$7&gt;SUM($K$7:AJ7),AK7&gt;($J$4/7)),"",IF(AND(AK7&lt;&gt;0,$D$7=$D$8,$J$8&gt;(SUM($K$7:AJ7))),"",(IF($I$8&gt;$J$8+(SUM($K$8:AJ8)),$J$8,$I$8-(SUM($K$8:AJ8))))))</f>
        <v>0</v>
      </c>
      <c r="AL8" s="3">
        <f>IF(AND($F$7=$F$8,$I$7&gt;SUM($K$7:AK7),AL7&gt;($J$4/7)),"",IF(AND(AL7&lt;&gt;0,$D$7=$D$8,$J$8&gt;(SUM($K$7:AK7))),"",(IF($I$8&gt;$J$8+(SUM($K$8:AK8)),$J$8,$I$8-(SUM($K$8:AK8))))))</f>
        <v>0</v>
      </c>
      <c r="AM8" s="3">
        <f>IF(AND($F$7=$F$8,$I$7&gt;SUM($K$7:AL7),AM7&gt;($J$4/7)),"",IF(AND(AM7&lt;&gt;0,$D$7=$D$8,$J$8&gt;(SUM($K$7:AL7))),"",(IF($I$8&gt;$J$8+(SUM($K$8:AL8)),$J$8,$I$8-(SUM($K$8:AL8))))))</f>
        <v>0</v>
      </c>
      <c r="AN8" s="3">
        <f>IF(AND($F$7=$F$8,$I$7&gt;SUM($K$7:AM7),AN7&gt;($J$4/7)),"",IF(AND(AN7&lt;&gt;0,$D$7=$D$8,$J$8&gt;(SUM($K$7:AM7))),"",(IF($I$8&gt;$J$8+(SUM($K$8:AM8)),$J$8,$I$8-(SUM($K$8:AM8))))))</f>
        <v>0</v>
      </c>
      <c r="AO8" s="3">
        <f>IF(AND($F$7=$F$8,$I$7&gt;SUM($K$7:AN7),AO7&gt;($J$4/7)),"",IF(AND(AO7&lt;&gt;0,$D$7=$D$8,$J$8&gt;(SUM($K$7:AN7))),"",(IF($I$8&gt;$J$8+(SUM($K$8:AN8)),$J$8,$I$8-(SUM($K$8:AN8))))))</f>
        <v>0</v>
      </c>
      <c r="AP8" s="3">
        <f>IF(AND($F$7=$F$8,$I$7&gt;SUM($K$7:AO7),AP7&gt;($J$4/7)),"",IF(AND(AP7&lt;&gt;0,$D$7=$D$8,$J$8&gt;(SUM($K$7:AO7))),"",(IF($I$8&gt;$J$8+(SUM($K$8:AO8)),$J$8,$I$8-(SUM($K$8:AO8))))))</f>
        <v>0</v>
      </c>
      <c r="AQ8" s="3">
        <f>IF(AND($F$7=$F$8,$I$7&gt;SUM($K$7:AP7),AQ7&gt;($J$4/7)),"",IF(AND(AQ7&lt;&gt;0,$D$7=$D$8,$J$8&gt;(SUM($K$7:AP7))),"",(IF($I$8&gt;$J$8+(SUM($K$8:AP8)),$J$8,$I$8-(SUM($K$8:AP8))))))</f>
        <v>0</v>
      </c>
      <c r="AR8" s="3">
        <f>IF(AND($F$7=$F$8,$I$7&gt;SUM($K$7:AQ7),AR7&gt;($J$4/7)),"",IF(AND(AR7&lt;&gt;0,$D$7=$D$8,$J$8&gt;(SUM($K$7:AQ7))),"",(IF($I$8&gt;$J$8+(SUM($K$8:AQ8)),$J$8,$I$8-(SUM($K$8:AQ8))))))</f>
        <v>0</v>
      </c>
      <c r="AS8" s="3">
        <f>IF(AND($F$7=$F$8,$I$7&gt;SUM($K$7:AR7),AS7&gt;($J$4/7)),"",IF(AND(AS7&lt;&gt;0,$D$7=$D$8,$J$8&gt;(SUM($K$7:AR7))),"",(IF($I$8&gt;$J$8+(SUM($K$8:AR8)),$J$8,$I$8-(SUM($K$8:AR8))))))</f>
        <v>0</v>
      </c>
      <c r="AT8" s="3">
        <f>IF(AND($F$7=$F$8,$I$7&gt;SUM($K$7:AS7),AT7&gt;($J$4/7)),"",IF(AND(AT7&lt;&gt;0,$D$7=$D$8,$J$8&gt;(SUM($K$7:AS7))),"",(IF($I$8&gt;$J$8+(SUM($K$8:AS8)),$J$8,$I$8-(SUM($K$8:AS8))))))</f>
        <v>0</v>
      </c>
      <c r="AU8" s="3">
        <f>IF(AND($F$7=$F$8,$I$7&gt;SUM($K$7:AT7),AU7&gt;($J$4/7)),"",IF(AND(AU7&lt;&gt;0,$D$7=$D$8,$J$8&gt;(SUM($K$7:AT7))),"",(IF($I$8&gt;$J$8+(SUM($K$8:AT8)),$J$8,$I$8-(SUM($K$8:AT8))))))</f>
        <v>0</v>
      </c>
      <c r="AV8" s="3">
        <f>IF(AND($F$7=$F$8,$I$7&gt;SUM($K$7:AU7),AV7&gt;($J$4/7)),"",IF(AND(AV7&lt;&gt;0,$D$7=$D$8,$J$8&gt;(SUM($K$7:AU7))),"",(IF($I$8&gt;$J$8+(SUM($K$8:AU8)),$J$8,$I$8-(SUM($K$8:AU8))))))</f>
        <v>0</v>
      </c>
      <c r="AW8" s="3">
        <f>IF(AND($F$7=$F$8,$I$7&gt;SUM($K$7:AV7),AW7&gt;($J$4/7)),"",IF(AND(AW7&lt;&gt;0,$D$7=$D$8,$J$8&gt;(SUM($K$7:AV7))),"",(IF($I$8&gt;$J$8+(SUM($K$8:AV8)),$J$8,$I$8-(SUM($K$8:AV8))))))</f>
        <v>0</v>
      </c>
      <c r="AX8" s="3">
        <f>IF(AND($F$7=$F$8,$I$7&gt;SUM($K$7:AW7),AX7&gt;($J$4/7)),"",IF(AND(AX7&lt;&gt;0,$D$7=$D$8,$J$8&gt;(SUM($K$7:AW7))),"",(IF($I$8&gt;$J$8+(SUM($K$8:AW8)),$J$8,$I$8-(SUM($K$8:AW8))))))</f>
        <v>0</v>
      </c>
      <c r="AY8" s="3">
        <f>IF(AND($F$7=$F$8,$I$7&gt;SUM($K$7:AX7),AY7&gt;($J$4/7)),"",IF(AND(AY7&lt;&gt;0,$D$7=$D$8,$J$8&gt;(SUM($K$7:AX7))),"",(IF($I$8&gt;$J$8+(SUM($K$8:AX8)),$J$8,$I$8-(SUM($K$8:AX8))))))</f>
        <v>0</v>
      </c>
      <c r="AZ8" s="3">
        <f>IF(AND($F$7=$F$8,$I$7&gt;SUM($K$7:AY7),AZ7&gt;($J$4/7)),"",IF(AND(AZ7&lt;&gt;0,$D$7=$D$8,$J$8&gt;(SUM($K$7:AY7))),"",(IF($I$8&gt;$J$8+(SUM($K$8:AY8)),$J$8,$I$8-(SUM($K$8:AY8))))))</f>
        <v>0</v>
      </c>
      <c r="BA8" s="3">
        <f>IF(AND($F$7=$F$8,$I$7&gt;SUM($K$7:AZ7),BA7&gt;($J$4/7)),"",IF(AND(BA7&lt;&gt;0,$D$7=$D$8,$J$8&gt;(SUM($K$7:AZ7))),"",(IF($I$8&gt;$J$8+(SUM($K$8:AZ8)),$J$8,$I$8-(SUM($K$8:AZ8))))))</f>
        <v>0</v>
      </c>
      <c r="BB8" s="3">
        <f>IF(AND($F$7=$F$8,$I$7&gt;SUM($K$7:BA7),BB7&gt;($J$4/7)),"",IF(AND(BB7&lt;&gt;0,$D$7=$D$8,$J$8&gt;(SUM($K$7:BA7))),"",(IF($I$8&gt;$J$8+(SUM($K$8:BA8)),$J$8,$I$8-(SUM($K$8:BA8))))))</f>
        <v>0</v>
      </c>
      <c r="BC8" s="3">
        <f>IF(AND($F$7=$F$8,$I$7&gt;SUM($K$7:BB7),BC7&gt;($J$4/7)),"",IF(AND(BC7&lt;&gt;0,$D$7=$D$8,$J$8&gt;(SUM($K$7:BB7))),"",(IF($I$8&gt;$J$8+(SUM($K$8:BB8)),$J$8,$I$8-(SUM($K$8:BB8))))))</f>
        <v>0</v>
      </c>
      <c r="BD8" s="3">
        <f>IF(AND($F$7=$F$8,$I$7&gt;SUM($K$7:BC7),BD7&gt;($J$4/7)),"",IF(AND(BD7&lt;&gt;0,$D$7=$D$8,$J$8&gt;(SUM($K$7:BC7))),"",(IF($I$8&gt;$J$8+(SUM($K$8:BC8)),$J$8,$I$8-(SUM($K$8:BC8))))))</f>
        <v>0</v>
      </c>
      <c r="BE8" s="3">
        <f>IF(AND($F$7=$F$8,$I$7&gt;SUM($K$7:BD7),BE7&gt;($J$4/7)),"",IF(AND(BE7&lt;&gt;0,$D$7=$D$8,$J$8&gt;(SUM($K$7:BD7))),"",(IF($I$8&gt;$J$8+(SUM($K$8:BD8)),$J$8,$I$8-(SUM($K$8:BD8))))))</f>
        <v>0</v>
      </c>
      <c r="BF8" s="3">
        <f>IF(AND($F$7=$F$8,$I$7&gt;SUM($K$7:BE7),BF7&gt;($J$4/7)),"",IF(AND(BF7&lt;&gt;0,$D$7=$D$8,$J$8&gt;(SUM($K$7:BE7))),"",(IF($I$8&gt;$J$8+(SUM($K$8:BE8)),$J$8,$I$8-(SUM($K$8:BE8))))))</f>
        <v>0</v>
      </c>
      <c r="BG8" s="3">
        <f>IF(AND($F$7=$F$8,$I$7&gt;SUM($K$7:BF7),BG7&gt;($J$4/7)),"",IF(AND(BG7&lt;&gt;0,$D$7=$D$8,$J$8&gt;(SUM($K$7:BF7))),"",(IF($I$8&gt;$J$8+(SUM($K$8:BF8)),$J$8,$I$8-(SUM($K$8:BF8))))))</f>
        <v>0</v>
      </c>
      <c r="BH8" s="3">
        <f>IF(AND($F$7=$F$8,$I$7&gt;SUM($K$7:BG7),BH7&gt;($J$4/7)),"",IF(AND(BH7&lt;&gt;0,$D$7=$D$8,$J$8&gt;(SUM($K$7:BG7))),"",(IF($I$8&gt;$J$8+(SUM($K$8:BG8)),$J$8,$I$8-(SUM($K$8:BG8))))))</f>
        <v>0</v>
      </c>
      <c r="BI8" s="3">
        <f>IF(AND($F$7=$F$8,$I$7&gt;SUM($K$7:BH7),BI7&gt;($J$4/7)),"",IF(AND(BI7&lt;&gt;0,$D$7=$D$8,$J$8&gt;(SUM($K$7:BH7))),"",(IF($I$8&gt;$J$8+(SUM($K$8:BH8)),$J$8,$I$8-(SUM($K$8:BH8))))))</f>
        <v>0</v>
      </c>
      <c r="BJ8" s="3">
        <f>IF(AND($F$7=$F$8,$I$7&gt;SUM($K$7:BI7),BJ7&gt;($J$4/7)),"",IF(AND(BJ7&lt;&gt;0,$D$7=$D$8,$J$8&gt;(SUM($K$7:BI7))),"",(IF($I$8&gt;$J$8+(SUM($K$8:BI8)),$J$8,$I$8-(SUM($K$8:BI8))))))</f>
        <v>0</v>
      </c>
      <c r="BK8" s="3">
        <f>IF(AND($F$7=$F$8,$I$7&gt;SUM($K$7:BJ7),BK7&gt;($J$4/7)),"",IF(AND(BK7&lt;&gt;0,$D$7=$D$8,$J$8&gt;(SUM($K$7:BJ7))),"",(IF($I$8&gt;$J$8+(SUM($K$8:BJ8)),$J$8,$I$8-(SUM($K$8:BJ8))))))</f>
        <v>0</v>
      </c>
      <c r="BL8" s="3">
        <f>IF(AND($F$7=$F$8,$I$7&gt;SUM($K$7:BK7),BL7&gt;($J$4/7)),"",IF(AND(BL7&lt;&gt;0,$D$7=$D$8,$J$8&gt;(SUM($K$7:BK7))),"",(IF($I$8&gt;$J$8+(SUM($K$8:BK8)),$J$8,$I$8-(SUM($K$8:BK8))))))</f>
        <v>0</v>
      </c>
      <c r="BM8" s="3">
        <f>IF(AND($F$7=$F$8,$I$7&gt;SUM($K$7:BL7),BM7&gt;($J$4/7)),"",IF(AND(BM7&lt;&gt;0,$D$7=$D$8,$J$8&gt;(SUM($K$7:BL7))),"",(IF($I$8&gt;$J$8+(SUM($K$8:BL8)),$J$8,$I$8-(SUM($K$8:BL8))))))</f>
        <v>0</v>
      </c>
      <c r="BN8" s="3">
        <f>IF(AND($F$7=$F$8,$I$7&gt;SUM($K$7:BM7),BN7&gt;($J$4/7)),"",IF(AND(BN7&lt;&gt;0,$D$7=$D$8,$J$8&gt;(SUM($K$7:BM7))),"",(IF($I$8&gt;$J$8+(SUM($K$8:BM8)),$J$8,$I$8-(SUM($K$8:BM8))))))</f>
        <v>0</v>
      </c>
      <c r="BO8" s="3">
        <f>IF(AND($F$7=$F$8,$I$7&gt;SUM($K$7:BN7),BO7&gt;($J$4/7)),"",IF(AND(BO7&lt;&gt;0,$D$7=$D$8,$J$8&gt;(SUM($K$7:BN7))),"",(IF($I$8&gt;$J$8+(SUM($K$8:BN8)),$J$8,$I$8-(SUM($K$8:BN8))))))</f>
        <v>0</v>
      </c>
      <c r="BP8" s="3">
        <f>IF(AND($F$7=$F$8,$I$7&gt;SUM($K$7:BO7),BP7&gt;($J$4/7)),"",IF(AND(BP7&lt;&gt;0,$D$7=$D$8,$J$8&gt;(SUM($K$7:BO7))),"",(IF($I$8&gt;$J$8+(SUM($K$8:BO8)),$J$8,$I$8-(SUM($K$8:BO8))))))</f>
        <v>0</v>
      </c>
      <c r="BQ8" s="3">
        <f>IF(AND($F$7=$F$8,$I$7&gt;SUM($K$7:BP7),BQ7&gt;($J$4/7)),"",IF(AND(BQ7&lt;&gt;0,$D$7=$D$8,$J$8&gt;(SUM($K$7:BP7))),"",(IF($I$8&gt;$J$8+(SUM($K$8:BP8)),$J$8,$I$8-(SUM($K$8:BP8))))))</f>
        <v>0</v>
      </c>
      <c r="BR8" s="3">
        <f>IF(AND($F$7=$F$8,$I$7&gt;SUM($K$7:BQ7),BR7&gt;($J$4/7)),"",IF(AND(BR7&lt;&gt;0,$D$7=$D$8,$J$8&gt;(SUM($K$7:BQ7))),"",(IF($I$8&gt;$J$8+(SUM($K$8:BQ8)),$J$8,$I$8-(SUM($K$8:BQ8))))))</f>
        <v>0</v>
      </c>
      <c r="BS8" s="3">
        <f>IF(AND($F$7=$F$8,$I$7&gt;SUM($K$7:BR7),BS7&gt;($J$4/7)),"",IF(AND(BS7&lt;&gt;0,$D$7=$D$8,$J$8&gt;(SUM($K$7:BR7))),"",(IF($I$8&gt;$J$8+(SUM($K$8:BR8)),$J$8,$I$8-(SUM($K$8:BR8))))))</f>
        <v>0</v>
      </c>
      <c r="BT8" s="3">
        <f>IF(AND($F$7=$F$8,$I$7&gt;SUM($K$7:BS7),BT7&gt;($J$4/7)),"",IF(AND(BT7&lt;&gt;0,$D$7=$D$8,$J$8&gt;(SUM($K$7:BS7))),"",(IF($I$8&gt;$J$8+(SUM($K$8:BS8)),$J$8,$I$8-(SUM($K$8:BS8))))))</f>
        <v>0</v>
      </c>
      <c r="BU8" s="3">
        <f>IF(AND($F$7=$F$8,$I$7&gt;SUM($K$7:BT7),BU7&gt;($J$4/7)),"",IF(AND(BU7&lt;&gt;0,$D$7=$D$8,$J$8&gt;(SUM($K$7:BT7))),"",(IF($I$8&gt;$J$8+(SUM($K$8:BT8)),$J$8,$I$8-(SUM($K$8:BT8))))))</f>
        <v>0</v>
      </c>
      <c r="BV8" s="3">
        <f>IF(AND($F$7=$F$8,$I$7&gt;SUM($K$7:BU7),BV7&gt;($J$4/7)),"",IF(AND(BV7&lt;&gt;0,$D$7=$D$8,$J$8&gt;(SUM($K$7:BU7))),"",(IF($I$8&gt;$J$8+(SUM($K$8:BU8)),$J$8,$I$8-(SUM($K$8:BU8))))))</f>
        <v>0</v>
      </c>
      <c r="BW8" s="3">
        <f>IF(AND($F$7=$F$8,$I$7&gt;SUM($K$7:BV7),BW7&gt;($J$4/7)),"",IF(AND(BW7&lt;&gt;0,$D$7=$D$8,$J$8&gt;(SUM($K$7:BV7))),"",(IF($I$8&gt;$J$8+(SUM($K$8:BV8)),$J$8,$I$8-(SUM($K$8:BV8))))))</f>
        <v>0</v>
      </c>
      <c r="BX8" s="3">
        <f>IF(AND($F$7=$F$8,$I$7&gt;SUM($K$7:BW7),BX7&gt;($J$4/7)),"",IF(AND(BX7&lt;&gt;0,$D$7=$D$8,$J$8&gt;(SUM($K$7:BW7))),"",(IF($I$8&gt;$J$8+(SUM($K$8:BW8)),$J$8,$I$8-(SUM($K$8:BW8))))))</f>
        <v>0</v>
      </c>
      <c r="BY8" s="3">
        <f>IF(AND($F$7=$F$8,$I$7&gt;SUM($K$7:BX7),BY7&gt;($J$4/7)),"",IF(AND(BY7&lt;&gt;0,$D$7=$D$8,$J$8&gt;(SUM($K$7:BX7))),"",(IF($I$8&gt;$J$8+(SUM($K$8:BX8)),$J$8,$I$8-(SUM($K$8:BX8))))))</f>
        <v>0</v>
      </c>
      <c r="BZ8" s="3">
        <f>IF(AND($F$7=$F$8,$I$7&gt;SUM($K$7:BY7),BZ7&gt;($J$4/7)),"",IF(AND(BZ7&lt;&gt;0,$D$7=$D$8,$J$8&gt;(SUM($K$7:BY7))),"",(IF($I$8&gt;$J$8+(SUM($K$8:BY8)),$J$8,$I$8-(SUM($K$8:BY8))))))</f>
        <v>0</v>
      </c>
      <c r="CA8" s="3">
        <f>IF(AND($F$7=$F$8,$I$7&gt;SUM($K$7:BZ7),CA7&gt;($J$4/7)),"",IF(AND(CA7&lt;&gt;0,$D$7=$D$8,$J$8&gt;(SUM($K$7:BZ7))),"",(IF($I$8&gt;$J$8+(SUM($K$8:BZ8)),$J$8,$I$8-(SUM($K$8:BZ8))))))</f>
        <v>0</v>
      </c>
      <c r="CB8" s="3">
        <f>IF(AND($F$7=$F$8,$I$7&gt;SUM($K$7:CA7),CB7&gt;($J$4/7)),"",IF(AND(CB7&lt;&gt;0,$D$7=$D$8,$J$8&gt;(SUM($K$7:CA7))),"",(IF($I$8&gt;$J$8+(SUM($K$8:CA8)),$J$8,$I$8-(SUM($K$8:CA8))))))</f>
        <v>0</v>
      </c>
      <c r="CC8" s="3">
        <f>IF(AND($F$7=$F$8,$I$7&gt;SUM($K$7:CB7),CC7&gt;($J$4/7)),"",IF(AND(CC7&lt;&gt;0,$D$7=$D$8,$J$8&gt;(SUM($K$7:CB7))),"",(IF($I$8&gt;$J$8+(SUM($K$8:CB8)),$J$8,$I$8-(SUM($K$8:CB8))))))</f>
        <v>0</v>
      </c>
      <c r="CD8" s="3">
        <f>IF(AND($F$7=$F$8,$I$7&gt;SUM($K$7:CC7),CD7&gt;($J$4/7)),"",IF(AND(CD7&lt;&gt;0,$D$7=$D$8,$J$8&gt;(SUM($K$7:CC7))),"",(IF($I$8&gt;$J$8+(SUM($K$8:CC8)),$J$8,$I$8-(SUM($K$8:CC8))))))</f>
        <v>0</v>
      </c>
      <c r="CE8" s="3">
        <f>IF(AND($F$7=$F$8,$I$7&gt;SUM($K$7:CD7),CE7&gt;($J$4/7)),"",IF(AND(CE7&lt;&gt;0,$D$7=$D$8,$J$8&gt;(SUM($K$7:CD7))),"",(IF($I$8&gt;$J$8+(SUM($K$8:CD8)),$J$8,$I$8-(SUM($K$8:CD8))))))</f>
        <v>0</v>
      </c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</row>
    <row r="9" spans="1:251" x14ac:dyDescent="0.25">
      <c r="A9" s="6">
        <v>7</v>
      </c>
      <c r="B9" t="str">
        <f t="shared" si="3"/>
        <v>37877PRENSA FR - 12</v>
      </c>
      <c r="C9" t="str">
        <f t="shared" si="4"/>
        <v>ESTAMPARPerno Cuello Ret 5/8x45</v>
      </c>
      <c r="D9">
        <v>37877</v>
      </c>
      <c r="E9" s="101" t="s">
        <v>852</v>
      </c>
      <c r="F9" s="27" t="s">
        <v>85</v>
      </c>
      <c r="G9" s="2" t="str">
        <f t="shared" si="0"/>
        <v>ESTAMPAR</v>
      </c>
      <c r="H9" s="9">
        <f t="shared" si="1"/>
        <v>0.105</v>
      </c>
      <c r="I9" s="2">
        <f t="shared" si="2"/>
        <v>12900</v>
      </c>
      <c r="J9" s="2">
        <f t="shared" si="5"/>
        <v>3006</v>
      </c>
      <c r="K9">
        <f>IF(F9=F8,"",IF(AND($D$9=$D$8,$J$9&gt;1),"",(IF($I$9&gt;$J$9,$J$9,$I$9))))</f>
        <v>3006</v>
      </c>
      <c r="L9" s="3">
        <f>IF(AND($F$8=$F$9,$I$8&gt;SUM($K$8:K8),L8&gt;($J$8/7)),"",IF(AND(L8&lt;&gt;0,$D$8=$D$9,$J$9&gt;(SUM($K$8:K8))),"",(IF($I$9&gt;$J$9+(SUM($K$9:K9)),$J$9,$I$9-(SUM($K$9:K9))))))</f>
        <v>3006</v>
      </c>
      <c r="M9" s="3">
        <f>IF(AND($F$8=$F$9,$I$8&gt;SUM($K$8:L8),M8&gt;($J$4/7)),"",IF(AND(M8&lt;&gt;0,$D$8=$D$9,$J$9&gt;(SUM($K$8:L8))),"",(IF($I$9&gt;$J$9+(SUM($K$9:L9)),$J$9,$I$9-(SUM($K$9:L9))))))</f>
        <v>3006</v>
      </c>
      <c r="N9" s="3">
        <f>IF(AND($F$8=$F$9,$I$8&gt;SUM($K$8:M8),N8&gt;($J$4/7)),"",IF(AND(N8&lt;&gt;0,$D$8=$D$9,$J$9&gt;(SUM($K$8:M8))),"",(IF($I$9&gt;$J$9+(SUM($K$9:M9)),$J$9,$I$9-(SUM($K$9:M9))))))</f>
        <v>3006</v>
      </c>
      <c r="O9" s="3">
        <f>IF(AND($F$8=$F$9,$I$8&gt;SUM($K$8:N8),O8&gt;($J$4/7)),"",IF(AND(O8&lt;&gt;0,$D$8=$D$9,$J$9&gt;(SUM($K$8:N8))),"",(IF($I$9&gt;$J$9+(SUM($K$9:N9)),$J$9,$I$9-(SUM($K$9:N9))))))</f>
        <v>876</v>
      </c>
      <c r="P9" s="3">
        <f>IF(AND($F$8=$F$9,$I$8&gt;SUM($K$8:O8),P8&gt;($J$4/7)),"",IF(AND(P8&lt;&gt;0,$D$8=$D$9,$J$9&gt;(SUM($K$8:O8))),"",(IF($I$9&gt;$J$9+(SUM($K$9:O9)),$J$9,$I$9-(SUM($K$9:O9))))))</f>
        <v>0</v>
      </c>
      <c r="Q9" s="3">
        <f>IF(AND($F$8=$F$9,$I$8&gt;SUM($K$8:P8),Q8&gt;($J$4/7)),"",IF(AND(Q8&lt;&gt;0,$D$8=$D$9,$J$9&gt;(SUM($K$8:P8))),"",(IF($I$9&gt;$J$9+(SUM($K$9:P9)),$J$9,$I$9-(SUM($K$9:P9))))))</f>
        <v>0</v>
      </c>
      <c r="R9" s="3">
        <f>IF(AND($F$8=$F$9,$I$8&gt;SUM($K$8:Q8),R8&gt;($J$4/7)),"",IF(AND(R8&lt;&gt;0,$D$8=$D$9,$J$9&gt;(SUM($K$8:Q8))),"",(IF($I$9&gt;$J$9+(SUM($K$9:Q9)),$J$9,$I$9-(SUM($K$9:Q9))))))</f>
        <v>0</v>
      </c>
      <c r="S9" s="3">
        <f>IF(AND($F$8=$F$9,$I$8&gt;SUM($K$8:R8),S8&gt;($J$4/7)),"",IF(AND(S8&lt;&gt;0,$D$8=$D$9,$J$9&gt;(SUM($K$8:R8))),"",(IF($I$9&gt;$J$9+(SUM($K$9:R9)),$J$9,$I$9-(SUM($K$9:R9))))))</f>
        <v>0</v>
      </c>
      <c r="T9" s="3">
        <f>IF(AND($F$8=$F$9,$I$8&gt;SUM($K$8:S8),T8&gt;($J$4/7)),"",IF(AND(T8&lt;&gt;0,$D$8=$D$9,$J$9&gt;(SUM($K$8:S8))),"",(IF($I$9&gt;$J$9+(SUM($K$9:S9)),$J$9,$I$9-(SUM($K$9:S9))))))</f>
        <v>0</v>
      </c>
      <c r="U9" s="3">
        <f>IF(AND($F$8=$F$9,$I$8&gt;SUM($K$8:T8),U8&gt;($J$4/7)),"",IF(AND(U8&lt;&gt;0,$D$8=$D$9,$J$9&gt;(SUM($K$8:T8))),"",(IF($I$9&gt;$J$9+(SUM($K$9:T9)),$J$9,$I$9-(SUM($K$9:T9))))))</f>
        <v>0</v>
      </c>
      <c r="V9" s="3">
        <f>IF(AND($F$8=$F$9,$I$8&gt;SUM($K$8:U8),V8&gt;($J$4/7)),"",IF(AND(V8&lt;&gt;0,$D$8=$D$9,$J$9&gt;(SUM($K$8:U8))),"",(IF($I$9&gt;$J$9+(SUM($K$9:U9)),$J$9,$I$9-(SUM($K$9:U9))))))</f>
        <v>0</v>
      </c>
      <c r="W9" s="3">
        <f>IF(AND($F$8=$F$9,$I$8&gt;SUM($K$8:V8),W8&gt;($J$4/7)),"",IF(AND(W8&lt;&gt;0,$D$8=$D$9,$J$9&gt;(SUM($K$8:V8))),"",(IF($I$9&gt;$J$9+(SUM($K$9:V9)),$J$9,$I$9-(SUM($K$9:V9))))))</f>
        <v>0</v>
      </c>
      <c r="X9" s="3">
        <f>IF(AND($F$8=$F$9,$I$8&gt;SUM($K$8:W8),X8&gt;($J$4/7)),"",IF(AND(X8&lt;&gt;0,$D$8=$D$9,$J$9&gt;(SUM($K$8:W8))),"",(IF($I$9&gt;$J$9+(SUM($K$9:W9)),$J$9,$I$9-(SUM($K$9:W9))))))</f>
        <v>0</v>
      </c>
      <c r="Y9" s="3">
        <f>IF(AND($F$8=$F$9,$I$8&gt;SUM($K$8:X8),Y8&gt;($J$4/7)),"",IF(AND(Y8&lt;&gt;0,$D$8=$D$9,$J$9&gt;(SUM($K$8:X8))),"",(IF($I$9&gt;$J$9+(SUM($K$9:X9)),$J$9,$I$9-(SUM($K$9:X9))))))</f>
        <v>0</v>
      </c>
      <c r="Z9" s="3">
        <f>IF(AND($F$8=$F$9,$I$8&gt;SUM($K$8:Y8),Z8&gt;($J$4/7)),"",IF(AND(Z8&lt;&gt;0,$D$8=$D$9,$J$9&gt;(SUM($K$8:Y8))),"",(IF($I$9&gt;$J$9+(SUM($K$9:Y9)),$J$9,$I$9-(SUM($K$9:Y9))))))</f>
        <v>0</v>
      </c>
      <c r="AA9" s="3">
        <f>IF(AND($F$8=$F$9,$I$8&gt;SUM($K$8:Z8),AA8&gt;($J$4/7)),"",IF(AND(AA8&lt;&gt;0,$D$8=$D$9,$J$9&gt;(SUM($K$8:Z8))),"",(IF($I$9&gt;$J$9+(SUM($K$9:Z9)),$J$9,$I$9-(SUM($K$9:Z9))))))</f>
        <v>0</v>
      </c>
      <c r="AB9" s="3">
        <f>IF(AND($F$8=$F$9,$I$8&gt;SUM($K$8:AA8),AB8&gt;($J$4/7)),"",IF(AND(AB8&lt;&gt;0,$D$8=$D$9,$J$9&gt;(SUM($K$8:AA8))),"",(IF($I$9&gt;$J$9+(SUM($K$9:AA9)),$J$9,$I$9-(SUM($K$9:AA9))))))</f>
        <v>0</v>
      </c>
      <c r="AC9" s="3">
        <f>IF(AND($F$8=$F$9,$I$8&gt;SUM($K$8:AB8),AC8&gt;($J$4/7)),"",IF(AND(AC8&lt;&gt;0,$D$8=$D$9,$J$9&gt;(SUM($K$8:AB8))),"",(IF($I$9&gt;$J$9+(SUM($K$9:AB9)),$J$9,$I$9-(SUM($K$9:AB9))))))</f>
        <v>0</v>
      </c>
      <c r="AD9" s="3">
        <f>IF(AND($F$8=$F$9,$I$8&gt;SUM($K$8:AC8),AD8&gt;($J$4/7)),"",IF(AND(AD8&lt;&gt;0,$D$8=$D$9,$J$9&gt;(SUM($K$8:AC8))),"",(IF($I$9&gt;$J$9+(SUM($K$9:AC9)),$J$9,$I$9-(SUM($K$9:AC9))))))</f>
        <v>0</v>
      </c>
      <c r="AE9" s="3">
        <f>IF(AND($F$8=$F$9,$I$8&gt;SUM($K$8:AD8),AE8&gt;($J$4/7)),"",IF(AND(AE8&lt;&gt;0,$D$8=$D$9,$J$9&gt;(SUM($K$8:AD8))),"",(IF($I$9&gt;$J$9+(SUM($K$9:AD9)),$J$9,$I$9-(SUM($K$9:AD9))))))</f>
        <v>0</v>
      </c>
      <c r="AF9" s="3">
        <f>IF(AND($F$8=$F$9,$I$8&gt;SUM($K$8:AE8),AF8&gt;($J$4/7)),"",IF(AND(AF8&lt;&gt;0,$D$8=$D$9,$J$9&gt;(SUM($K$8:AE8))),"",(IF($I$9&gt;$J$9+(SUM($K$9:AE9)),$J$9,$I$9-(SUM($K$9:AE9))))))</f>
        <v>0</v>
      </c>
      <c r="AG9" s="3">
        <f>IF(AND($F$8=$F$9,$I$8&gt;SUM($K$8:AF8),AG8&gt;($J$4/7)),"",IF(AND(AG8&lt;&gt;0,$D$8=$D$9,$J$9&gt;(SUM($K$8:AF8))),"",(IF($I$9&gt;$J$9+(SUM($K$9:AF9)),$J$9,$I$9-(SUM($K$9:AF9))))))</f>
        <v>0</v>
      </c>
      <c r="AH9" s="3">
        <f>IF(AND($F$8=$F$9,$I$8&gt;SUM($K$8:AG8),AH8&gt;($J$4/7)),"",IF(AND(AH8&lt;&gt;0,$D$8=$D$9,$J$9&gt;(SUM($K$8:AG8))),"",(IF($I$9&gt;$J$9+(SUM($K$9:AG9)),$J$9,$I$9-(SUM($K$9:AG9))))))</f>
        <v>0</v>
      </c>
      <c r="AI9" s="3">
        <f>IF(AND($F$8=$F$9,$I$8&gt;SUM($K$8:AH8),AI8&gt;($J$4/7)),"",IF(AND(AI8&lt;&gt;0,$D$8=$D$9,$J$9&gt;(SUM($K$8:AH8))),"",(IF($I$9&gt;$J$9+(SUM($K$9:AH9)),$J$9,$I$9-(SUM($K$9:AH9))))))</f>
        <v>0</v>
      </c>
      <c r="AJ9" s="3">
        <f>IF(AND($F$8=$F$9,$I$8&gt;SUM($K$8:AI8),AJ8&gt;($J$4/7)),"",IF(AND(AJ8&lt;&gt;0,$D$8=$D$9,$J$9&gt;(SUM($K$8:AI8))),"",(IF($I$9&gt;$J$9+(SUM($K$9:AI9)),$J$9,$I$9-(SUM($K$9:AI9))))))</f>
        <v>0</v>
      </c>
      <c r="AK9" s="3">
        <f>IF(AND($F$8=$F$9,$I$8&gt;SUM($K$8:AJ8),AK8&gt;($J$4/7)),"",IF(AND(AK8&lt;&gt;0,$D$8=$D$9,$J$9&gt;(SUM($K$8:AJ8))),"",(IF($I$9&gt;$J$9+(SUM($K$9:AJ9)),$J$9,$I$9-(SUM($K$9:AJ9))))))</f>
        <v>0</v>
      </c>
      <c r="AL9" s="3">
        <f>IF(AND($F$8=$F$9,$I$8&gt;SUM($K$8:AK8),AL8&gt;($J$4/7)),"",IF(AND(AL8&lt;&gt;0,$D$8=$D$9,$J$9&gt;(SUM($K$8:AK8))),"",(IF($I$9&gt;$J$9+(SUM($K$9:AK9)),$J$9,$I$9-(SUM($K$9:AK9))))))</f>
        <v>0</v>
      </c>
      <c r="AM9" s="3">
        <f>IF(AND($F$8=$F$9,$I$8&gt;SUM($K$8:AL8),AM8&gt;($J$4/7)),"",IF(AND(AM8&lt;&gt;0,$D$8=$D$9,$J$9&gt;(SUM($K$8:AL8))),"",(IF($I$9&gt;$J$9+(SUM($K$9:AL9)),$J$9,$I$9-(SUM($K$9:AL9))))))</f>
        <v>0</v>
      </c>
      <c r="AN9" s="3">
        <f>IF(AND($F$8=$F$9,$I$8&gt;SUM($K$8:AM8),AN8&gt;($J$4/7)),"",IF(AND(AN8&lt;&gt;0,$D$8=$D$9,$J$9&gt;(SUM($K$8:AM8))),"",(IF($I$9&gt;$J$9+(SUM($K$9:AM9)),$J$9,$I$9-(SUM($K$9:AM9))))))</f>
        <v>0</v>
      </c>
      <c r="AO9" s="3">
        <f>IF(AND($F$8=$F$9,$I$8&gt;SUM($K$8:AN8),AO8&gt;($J$4/7)),"",IF(AND(AO8&lt;&gt;0,$D$8=$D$9,$J$9&gt;(SUM($K$8:AN8))),"",(IF($I$9&gt;$J$9+(SUM($K$9:AN9)),$J$9,$I$9-(SUM($K$9:AN9))))))</f>
        <v>0</v>
      </c>
      <c r="AP9" s="3">
        <f>IF(AND($F$8=$F$9,$I$8&gt;SUM($K$8:AO8),AP8&gt;($J$4/7)),"",IF(AND(AP8&lt;&gt;0,$D$8=$D$9,$J$9&gt;(SUM($K$8:AO8))),"",(IF($I$9&gt;$J$9+(SUM($K$9:AO9)),$J$9,$I$9-(SUM($K$9:AO9))))))</f>
        <v>0</v>
      </c>
      <c r="AQ9" s="3">
        <f>IF(AND($F$8=$F$9,$I$8&gt;SUM($K$8:AP8),AQ8&gt;($J$4/7)),"",IF(AND(AQ8&lt;&gt;0,$D$8=$D$9,$J$9&gt;(SUM($K$8:AP8))),"",(IF($I$9&gt;$J$9+(SUM($K$9:AP9)),$J$9,$I$9-(SUM($K$9:AP9))))))</f>
        <v>0</v>
      </c>
      <c r="AR9" s="3">
        <f>IF(AND($F$8=$F$9,$I$8&gt;SUM($K$8:AQ8),AR8&gt;($J$4/7)),"",IF(AND(AR8&lt;&gt;0,$D$8=$D$9,$J$9&gt;(SUM($K$8:AQ8))),"",(IF($I$9&gt;$J$9+(SUM($K$9:AQ9)),$J$9,$I$9-(SUM($K$9:AQ9))))))</f>
        <v>0</v>
      </c>
      <c r="AS9" s="3">
        <f>IF(AND($F$8=$F$9,$I$8&gt;SUM($K$8:AR8),AS8&gt;($J$4/7)),"",IF(AND(AS8&lt;&gt;0,$D$8=$D$9,$J$9&gt;(SUM($K$8:AR8))),"",(IF($I$9&gt;$J$9+(SUM($K$9:AR9)),$J$9,$I$9-(SUM($K$9:AR9))))))</f>
        <v>0</v>
      </c>
      <c r="AT9" s="3">
        <f>IF(AND($F$8=$F$9,$I$8&gt;SUM($K$8:AS8),AT8&gt;($J$4/7)),"",IF(AND(AT8&lt;&gt;0,$D$8=$D$9,$J$9&gt;(SUM($K$8:AS8))),"",(IF($I$9&gt;$J$9+(SUM($K$9:AS9)),$J$9,$I$9-(SUM($K$9:AS9))))))</f>
        <v>0</v>
      </c>
      <c r="AU9" s="3">
        <f>IF(AND($F$8=$F$9,$I$8&gt;SUM($K$8:AT8),AU8&gt;($J$4/7)),"",IF(AND(AU8&lt;&gt;0,$D$8=$D$9,$J$9&gt;(SUM($K$8:AT8))),"",(IF($I$9&gt;$J$9+(SUM($K$9:AT9)),$J$9,$I$9-(SUM($K$9:AT9))))))</f>
        <v>0</v>
      </c>
      <c r="AV9" s="3">
        <f>IF(AND($F$8=$F$9,$I$8&gt;SUM($K$8:AU8),AV8&gt;($J$4/7)),"",IF(AND(AV8&lt;&gt;0,$D$8=$D$9,$J$9&gt;(SUM($K$8:AU8))),"",(IF($I$9&gt;$J$9+(SUM($K$9:AU9)),$J$9,$I$9-(SUM($K$9:AU9))))))</f>
        <v>0</v>
      </c>
      <c r="AW9" s="3">
        <f>IF(AND($F$8=$F$9,$I$8&gt;SUM($K$8:AV8),AW8&gt;($J$4/7)),"",IF(AND(AW8&lt;&gt;0,$D$8=$D$9,$J$9&gt;(SUM($K$8:AV8))),"",(IF($I$9&gt;$J$9+(SUM($K$9:AV9)),$J$9,$I$9-(SUM($K$9:AV9))))))</f>
        <v>0</v>
      </c>
      <c r="AX9" s="3">
        <f>IF(AND($F$8=$F$9,$I$8&gt;SUM($K$8:AW8),AX8&gt;($J$4/7)),"",IF(AND(AX8&lt;&gt;0,$D$8=$D$9,$J$9&gt;(SUM($K$8:AW8))),"",(IF($I$9&gt;$J$9+(SUM($K$9:AW9)),$J$9,$I$9-(SUM($K$9:AW9))))))</f>
        <v>0</v>
      </c>
      <c r="AY9" s="3">
        <f>IF(AND($F$8=$F$9,$I$8&gt;SUM($K$8:AX8),AY8&gt;($J$4/7)),"",IF(AND(AY8&lt;&gt;0,$D$8=$D$9,$J$9&gt;(SUM($K$8:AX8))),"",(IF($I$9&gt;$J$9+(SUM($K$9:AX9)),$J$9,$I$9-(SUM($K$9:AX9))))))</f>
        <v>0</v>
      </c>
      <c r="AZ9" s="3">
        <f>IF(AND($F$8=$F$9,$I$8&gt;SUM($K$8:AY8),AZ8&gt;($J$4/7)),"",IF(AND(AZ8&lt;&gt;0,$D$8=$D$9,$J$9&gt;(SUM($K$8:AY8))),"",(IF($I$9&gt;$J$9+(SUM($K$9:AY9)),$J$9,$I$9-(SUM($K$9:AY9))))))</f>
        <v>0</v>
      </c>
      <c r="BA9" s="3">
        <f>IF(AND($F$8=$F$9,$I$8&gt;SUM($K$8:AZ8),BA8&gt;($J$4/7)),"",IF(AND(BA8&lt;&gt;0,$D$8=$D$9,$J$9&gt;(SUM($K$8:AZ8))),"",(IF($I$9&gt;$J$9+(SUM($K$9:AZ9)),$J$9,$I$9-(SUM($K$9:AZ9))))))</f>
        <v>0</v>
      </c>
      <c r="BB9" s="3">
        <f>IF(AND($F$8=$F$9,$I$8&gt;SUM($K$8:BA8),BB8&gt;($J$4/7)),"",IF(AND(BB8&lt;&gt;0,$D$8=$D$9,$J$9&gt;(SUM($K$8:BA8))),"",(IF($I$9&gt;$J$9+(SUM($K$9:BA9)),$J$9,$I$9-(SUM($K$9:BA9))))))</f>
        <v>0</v>
      </c>
      <c r="BC9" s="3">
        <f>IF(AND($F$8=$F$9,$I$8&gt;SUM($K$8:BB8),BC8&gt;($J$4/7)),"",IF(AND(BC8&lt;&gt;0,$D$8=$D$9,$J$9&gt;(SUM($K$8:BB8))),"",(IF($I$9&gt;$J$9+(SUM($K$9:BB9)),$J$9,$I$9-(SUM($K$9:BB9))))))</f>
        <v>0</v>
      </c>
      <c r="BD9" s="3">
        <f>IF(AND($F$8=$F$9,$I$8&gt;SUM($K$8:BC8),BD8&gt;($J$4/7)),"",IF(AND(BD8&lt;&gt;0,$D$8=$D$9,$J$9&gt;(SUM($K$8:BC8))),"",(IF($I$9&gt;$J$9+(SUM($K$9:BC9)),$J$9,$I$9-(SUM($K$9:BC9))))))</f>
        <v>0</v>
      </c>
      <c r="BE9" s="3">
        <f>IF(AND($F$8=$F$9,$I$8&gt;SUM($K$8:BD8),BE8&gt;($J$4/7)),"",IF(AND(BE8&lt;&gt;0,$D$8=$D$9,$J$9&gt;(SUM($K$8:BD8))),"",(IF($I$9&gt;$J$9+(SUM($K$9:BD9)),$J$9,$I$9-(SUM($K$9:BD9))))))</f>
        <v>0</v>
      </c>
      <c r="BF9" s="3">
        <f>IF(AND($F$8=$F$9,$I$8&gt;SUM($K$8:BE8),BF8&gt;($J$4/7)),"",IF(AND(BF8&lt;&gt;0,$D$8=$D$9,$J$9&gt;(SUM($K$8:BE8))),"",(IF($I$9&gt;$J$9+(SUM($K$9:BE9)),$J$9,$I$9-(SUM($K$9:BE9))))))</f>
        <v>0</v>
      </c>
      <c r="BG9" s="3">
        <f>IF(AND($F$8=$F$9,$I$8&gt;SUM($K$8:BF8),BG8&gt;($J$4/7)),"",IF(AND(BG8&lt;&gt;0,$D$8=$D$9,$J$9&gt;(SUM($K$8:BF8))),"",(IF($I$9&gt;$J$9+(SUM($K$9:BF9)),$J$9,$I$9-(SUM($K$9:BF9))))))</f>
        <v>0</v>
      </c>
      <c r="BH9" s="3">
        <f>IF(AND($F$8=$F$9,$I$8&gt;SUM($K$8:BG8),BH8&gt;($J$4/7)),"",IF(AND(BH8&lt;&gt;0,$D$8=$D$9,$J$9&gt;(SUM($K$8:BG8))),"",(IF($I$9&gt;$J$9+(SUM($K$9:BG9)),$J$9,$I$9-(SUM($K$9:BG9))))))</f>
        <v>0</v>
      </c>
      <c r="BI9" s="3">
        <f>IF(AND($F$8=$F$9,$I$8&gt;SUM($K$8:BH8),BI8&gt;($J$4/7)),"",IF(AND(BI8&lt;&gt;0,$D$8=$D$9,$J$9&gt;(SUM($K$8:BH8))),"",(IF($I$9&gt;$J$9+(SUM($K$9:BH9)),$J$9,$I$9-(SUM($K$9:BH9))))))</f>
        <v>0</v>
      </c>
      <c r="BJ9" s="3">
        <f>IF(AND($F$8=$F$9,$I$8&gt;SUM($K$8:BI8),BJ8&gt;($J$4/7)),"",IF(AND(BJ8&lt;&gt;0,$D$8=$D$9,$J$9&gt;(SUM($K$8:BI8))),"",(IF($I$9&gt;$J$9+(SUM($K$9:BI9)),$J$9,$I$9-(SUM($K$9:BI9))))))</f>
        <v>0</v>
      </c>
      <c r="BK9" s="3">
        <f>IF(AND($F$8=$F$9,$I$8&gt;SUM($K$8:BJ8),BK8&gt;($J$4/7)),"",IF(AND(BK8&lt;&gt;0,$D$8=$D$9,$J$9&gt;(SUM($K$8:BJ8))),"",(IF($I$9&gt;$J$9+(SUM($K$9:BJ9)),$J$9,$I$9-(SUM($K$9:BJ9))))))</f>
        <v>0</v>
      </c>
      <c r="BL9" s="3">
        <f>IF(AND($F$8=$F$9,$I$8&gt;SUM($K$8:BK8),BL8&gt;($J$4/7)),"",IF(AND(BL8&lt;&gt;0,$D$8=$D$9,$J$9&gt;(SUM($K$8:BK8))),"",(IF($I$9&gt;$J$9+(SUM($K$9:BK9)),$J$9,$I$9-(SUM($K$9:BK9))))))</f>
        <v>0</v>
      </c>
      <c r="BM9" s="3">
        <f>IF(AND($F$8=$F$9,$I$8&gt;SUM($K$8:BL8),BM8&gt;($J$4/7)),"",IF(AND(BM8&lt;&gt;0,$D$8=$D$9,$J$9&gt;(SUM($K$8:BL8))),"",(IF($I$9&gt;$J$9+(SUM($K$9:BL9)),$J$9,$I$9-(SUM($K$9:BL9))))))</f>
        <v>0</v>
      </c>
      <c r="BN9" s="3">
        <f>IF(AND($F$8=$F$9,$I$8&gt;SUM($K$8:BM8),BN8&gt;($J$4/7)),"",IF(AND(BN8&lt;&gt;0,$D$8=$D$9,$J$9&gt;(SUM($K$8:BM8))),"",(IF($I$9&gt;$J$9+(SUM($K$9:BM9)),$J$9,$I$9-(SUM($K$9:BM9))))))</f>
        <v>0</v>
      </c>
      <c r="BO9" s="3">
        <f>IF(AND($F$8=$F$9,$I$8&gt;SUM($K$8:BN8),BO8&gt;($J$4/7)),"",IF(AND(BO8&lt;&gt;0,$D$8=$D$9,$J$9&gt;(SUM($K$8:BN8))),"",(IF($I$9&gt;$J$9+(SUM($K$9:BN9)),$J$9,$I$9-(SUM($K$9:BN9))))))</f>
        <v>0</v>
      </c>
      <c r="BP9" s="3">
        <f>IF(AND($F$8=$F$9,$I$8&gt;SUM($K$8:BO8),BP8&gt;($J$4/7)),"",IF(AND(BP8&lt;&gt;0,$D$8=$D$9,$J$9&gt;(SUM($K$8:BO8))),"",(IF($I$9&gt;$J$9+(SUM($K$9:BO9)),$J$9,$I$9-(SUM($K$9:BO9))))))</f>
        <v>0</v>
      </c>
      <c r="BQ9" s="3">
        <f>IF(AND($F$8=$F$9,$I$8&gt;SUM($K$8:BP8),BQ8&gt;($J$4/7)),"",IF(AND(BQ8&lt;&gt;0,$D$8=$D$9,$J$9&gt;(SUM($K$8:BP8))),"",(IF($I$9&gt;$J$9+(SUM($K$9:BP9)),$J$9,$I$9-(SUM($K$9:BP9))))))</f>
        <v>0</v>
      </c>
      <c r="BR9" s="3">
        <f>IF(AND($F$8=$F$9,$I$8&gt;SUM($K$8:BQ8),BR8&gt;($J$4/7)),"",IF(AND(BR8&lt;&gt;0,$D$8=$D$9,$J$9&gt;(SUM($K$8:BQ8))),"",(IF($I$9&gt;$J$9+(SUM($K$9:BQ9)),$J$9,$I$9-(SUM($K$9:BQ9))))))</f>
        <v>0</v>
      </c>
      <c r="BS9" s="3">
        <f>IF(AND($F$8=$F$9,$I$8&gt;SUM($K$8:BR8),BS8&gt;($J$4/7)),"",IF(AND(BS8&lt;&gt;0,$D$8=$D$9,$J$9&gt;(SUM($K$8:BR8))),"",(IF($I$9&gt;$J$9+(SUM($K$9:BR9)),$J$9,$I$9-(SUM($K$9:BR9))))))</f>
        <v>0</v>
      </c>
      <c r="BT9" s="3">
        <f>IF(AND($F$8=$F$9,$I$8&gt;SUM($K$8:BS8),BT8&gt;($J$4/7)),"",IF(AND(BT8&lt;&gt;0,$D$8=$D$9,$J$9&gt;(SUM($K$8:BS8))),"",(IF($I$9&gt;$J$9+(SUM($K$9:BS9)),$J$9,$I$9-(SUM($K$9:BS9))))))</f>
        <v>0</v>
      </c>
      <c r="BU9" s="3">
        <f>IF(AND($F$8=$F$9,$I$8&gt;SUM($K$8:BT8),BU8&gt;($J$4/7)),"",IF(AND(BU8&lt;&gt;0,$D$8=$D$9,$J$9&gt;(SUM($K$8:BT8))),"",(IF($I$9&gt;$J$9+(SUM($K$9:BT9)),$J$9,$I$9-(SUM($K$9:BT9))))))</f>
        <v>0</v>
      </c>
      <c r="BV9" s="3">
        <f>IF(AND($F$8=$F$9,$I$8&gt;SUM($K$8:BU8),BV8&gt;($J$4/7)),"",IF(AND(BV8&lt;&gt;0,$D$8=$D$9,$J$9&gt;(SUM($K$8:BU8))),"",(IF($I$9&gt;$J$9+(SUM($K$9:BU9)),$J$9,$I$9-(SUM($K$9:BU9))))))</f>
        <v>0</v>
      </c>
      <c r="BW9" s="3">
        <f>IF(AND($F$8=$F$9,$I$8&gt;SUM($K$8:BV8),BW8&gt;($J$4/7)),"",IF(AND(BW8&lt;&gt;0,$D$8=$D$9,$J$9&gt;(SUM($K$8:BV8))),"",(IF($I$9&gt;$J$9+(SUM($K$9:BV9)),$J$9,$I$9-(SUM($K$9:BV9))))))</f>
        <v>0</v>
      </c>
      <c r="BX9" s="3">
        <f>IF(AND($F$8=$F$9,$I$8&gt;SUM($K$8:BW8),BX8&gt;($J$4/7)),"",IF(AND(BX8&lt;&gt;0,$D$8=$D$9,$J$9&gt;(SUM($K$8:BW8))),"",(IF($I$9&gt;$J$9+(SUM($K$9:BW9)),$J$9,$I$9-(SUM($K$9:BW9))))))</f>
        <v>0</v>
      </c>
      <c r="BY9" s="3">
        <f>IF(AND($F$8=$F$9,$I$8&gt;SUM($K$8:BX8),BY8&gt;($J$4/7)),"",IF(AND(BY8&lt;&gt;0,$D$8=$D$9,$J$9&gt;(SUM($K$8:BX8))),"",(IF($I$9&gt;$J$9+(SUM($K$9:BX9)),$J$9,$I$9-(SUM($K$9:BX9))))))</f>
        <v>0</v>
      </c>
      <c r="BZ9" s="3">
        <f>IF(AND($F$8=$F$9,$I$8&gt;SUM($K$8:BY8),BZ8&gt;($J$4/7)),"",IF(AND(BZ8&lt;&gt;0,$D$8=$D$9,$J$9&gt;(SUM($K$8:BY8))),"",(IF($I$9&gt;$J$9+(SUM($K$9:BY9)),$J$9,$I$9-(SUM($K$9:BY9))))))</f>
        <v>0</v>
      </c>
      <c r="CA9" s="3">
        <f>IF(AND($F$8=$F$9,$I$8&gt;SUM($K$8:BZ8),CA8&gt;($J$4/7)),"",IF(AND(CA8&lt;&gt;0,$D$8=$D$9,$J$9&gt;(SUM($K$8:BZ8))),"",(IF($I$9&gt;$J$9+(SUM($K$9:BZ9)),$J$9,$I$9-(SUM($K$9:BZ9))))))</f>
        <v>0</v>
      </c>
      <c r="CB9" s="3">
        <f>IF(AND($F$8=$F$9,$I$8&gt;SUM($K$8:CA8),CB8&gt;($J$4/7)),"",IF(AND(CB8&lt;&gt;0,$D$8=$D$9,$J$9&gt;(SUM($K$8:CA8))),"",(IF($I$9&gt;$J$9+(SUM($K$9:CA9)),$J$9,$I$9-(SUM($K$9:CA9))))))</f>
        <v>0</v>
      </c>
      <c r="CC9" s="3">
        <f>IF(AND($F$8=$F$9,$I$8&gt;SUM($K$8:CB8),CC8&gt;($J$4/7)),"",IF(AND(CC8&lt;&gt;0,$D$8=$D$9,$J$9&gt;(SUM($K$8:CB8))),"",(IF($I$9&gt;$J$9+(SUM($K$9:CB9)),$J$9,$I$9-(SUM($K$9:CB9))))))</f>
        <v>0</v>
      </c>
      <c r="CD9" s="3">
        <f>IF(AND($F$8=$F$9,$I$8&gt;SUM($K$8:CC8),CD8&gt;($J$4/7)),"",IF(AND(CD8&lt;&gt;0,$D$8=$D$9,$J$9&gt;(SUM($K$8:CC8))),"",(IF($I$9&gt;$J$9+(SUM($K$9:CC9)),$J$9,$I$9-(SUM($K$9:CC9))))))</f>
        <v>0</v>
      </c>
      <c r="CE9" s="3">
        <f>IF(AND($F$8=$F$9,$I$8&gt;SUM($K$8:CD8),CE8&gt;($J$4/7)),"",IF(AND(CE8&lt;&gt;0,$D$8=$D$9,$J$9&gt;(SUM($K$8:CD8))),"",(IF($I$9&gt;$J$9+(SUM($K$9:CD9)),$J$9,$I$9-(SUM($K$9:CD9))))))</f>
        <v>0</v>
      </c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</row>
    <row r="10" spans="1:251" x14ac:dyDescent="0.25">
      <c r="A10" s="6">
        <v>8</v>
      </c>
      <c r="B10" t="str">
        <f t="shared" si="3"/>
        <v/>
      </c>
      <c r="C10" t="str">
        <f t="shared" si="4"/>
        <v>0</v>
      </c>
      <c r="E10" s="101"/>
      <c r="F10" s="27"/>
      <c r="G10" s="2">
        <f t="shared" si="0"/>
        <v>0</v>
      </c>
      <c r="H10" s="9">
        <f t="shared" si="1"/>
        <v>0</v>
      </c>
      <c r="I10" s="2">
        <f t="shared" si="2"/>
        <v>0</v>
      </c>
      <c r="J10" s="2">
        <f t="shared" si="5"/>
        <v>0</v>
      </c>
      <c r="K10">
        <f>IF(F10=F9,"",IF(AND($D$10=$D$9,$J$10&gt;1),"",(IF($I$10&gt;$J$10,$J$10,$I$10))))</f>
        <v>0</v>
      </c>
      <c r="L10" s="3">
        <f>IF(AND($F$9=$F$10,$I$9&gt;SUM($K$9:K9),L9&gt;($J$9/7)),"",IF(AND(L9&lt;&gt;0,$D$9=$D$10,$J$10&gt;(SUM($K$9:K9))),"",(IF($I$10&gt;$J$10+(SUM($K$10:K10)),$J$10,$I$10-(SUM($K$10:K10))))))</f>
        <v>0</v>
      </c>
      <c r="M10" s="3">
        <f>IF(AND($F$9=$F$10,$I$9&gt;SUM($K$9:L9),M9&gt;($J$4/7)),"",IF(AND(M9&lt;&gt;0,$D$9=$D$10,$J$10&gt;(SUM($K$9:L9))),"",(IF($I$10&gt;$J$10+(SUM($K$10:L10)),$J$10,$I$10-(SUM($K$10:L10))))))</f>
        <v>0</v>
      </c>
      <c r="N10" s="3">
        <f>IF(AND($F$9=$F$10,$I$9&gt;SUM($K$9:M9),N9&gt;($J$4/7)),"",IF(AND(N9&lt;&gt;0,$D$9=$D$10,$J$10&gt;(SUM($K$9:M9))),"",(IF($I$10&gt;$J$10+(SUM($K$10:M10)),$J$10,$I$10-(SUM($K$10:M10))))))</f>
        <v>0</v>
      </c>
      <c r="O10" s="3">
        <f>IF(AND($F$9=$F$10,$I$9&gt;SUM($K$9:N9),O9&gt;($J$4/7)),"",IF(AND(O9&lt;&gt;0,$D$9=$D$10,$J$10&gt;(SUM($K$9:N9))),"",(IF($I$10&gt;$J$10+(SUM($K$10:N10)),$J$10,$I$10-(SUM($K$10:N10))))))</f>
        <v>0</v>
      </c>
      <c r="P10" s="3">
        <f>IF(AND($F$9=$F$10,$I$9&gt;SUM($K$9:O9),P9&gt;($J$4/7)),"",IF(AND(P9&lt;&gt;0,$D$9=$D$10,$J$10&gt;(SUM($K$9:O9))),"",(IF($I$10&gt;$J$10+(SUM($K$10:O10)),$J$10,$I$10-(SUM($K$10:O10))))))</f>
        <v>0</v>
      </c>
      <c r="Q10" s="3">
        <f>IF(AND($F$9=$F$10,$I$9&gt;SUM($K$9:P9),Q9&gt;($J$4/7)),"",IF(AND(Q9&lt;&gt;0,$D$9=$D$10,$J$10&gt;(SUM($K$9:P9))),"",(IF($I$10&gt;$J$10+(SUM($K$10:P10)),$J$10,$I$10-(SUM($K$10:P10))))))</f>
        <v>0</v>
      </c>
      <c r="R10" s="3">
        <f>IF(AND($F$9=$F$10,$I$9&gt;SUM($K$9:Q9),R9&gt;($J$4/7)),"",IF(AND(R9&lt;&gt;0,$D$9=$D$10,$J$10&gt;(SUM($K$9:Q9))),"",(IF($I$10&gt;$J$10+(SUM($K$10:Q10)),$J$10,$I$10-(SUM($K$10:Q10))))))</f>
        <v>0</v>
      </c>
      <c r="S10" s="3">
        <f>IF(AND($F$9=$F$10,$I$9&gt;SUM($K$9:R9),S9&gt;($J$4/7)),"",IF(AND(S9&lt;&gt;0,$D$9=$D$10,$J$10&gt;(SUM($K$9:R9))),"",(IF($I$10&gt;$J$10+(SUM($K$10:R10)),$J$10,$I$10-(SUM($K$10:R10))))))</f>
        <v>0</v>
      </c>
      <c r="T10" s="3">
        <f>IF(AND($F$9=$F$10,$I$9&gt;SUM($K$9:S9),T9&gt;($J$4/7)),"",IF(AND(T9&lt;&gt;0,$D$9=$D$10,$J$10&gt;(SUM($K$9:S9))),"",(IF($I$10&gt;$J$10+(SUM($K$10:S10)),$J$10,$I$10-(SUM($K$10:S10))))))</f>
        <v>0</v>
      </c>
      <c r="U10" s="3">
        <f>IF(AND($F$9=$F$10,$I$9&gt;SUM($K$9:T9),U9&gt;($J$4/7)),"",IF(AND(U9&lt;&gt;0,$D$9=$D$10,$J$10&gt;(SUM($K$9:T9))),"",(IF($I$10&gt;$J$10+(SUM($K$10:T10)),$J$10,$I$10-(SUM($K$10:T10))))))</f>
        <v>0</v>
      </c>
      <c r="V10" s="3">
        <f>IF(AND($F$9=$F$10,$I$9&gt;SUM($K$9:U9),V9&gt;($J$4/7)),"",IF(AND(V9&lt;&gt;0,$D$9=$D$10,$J$10&gt;(SUM($K$9:U9))),"",(IF($I$10&gt;$J$10+(SUM($K$10:U10)),$J$10,$I$10-(SUM($K$10:U10))))))</f>
        <v>0</v>
      </c>
      <c r="W10" s="3">
        <f>IF(AND($F$9=$F$10,$I$9&gt;SUM($K$9:V9),W9&gt;($J$4/7)),"",IF(AND(W9&lt;&gt;0,$D$9=$D$10,$J$10&gt;(SUM($K$9:V9))),"",(IF($I$10&gt;$J$10+(SUM($K$10:V10)),$J$10,$I$10-(SUM($K$10:V10))))))</f>
        <v>0</v>
      </c>
      <c r="X10" s="3">
        <f>IF(AND($F$9=$F$10,$I$9&gt;SUM($K$9:W9),X9&gt;($J$4/7)),"",IF(AND(X9&lt;&gt;0,$D$9=$D$10,$J$10&gt;(SUM($K$9:W9))),"",(IF($I$10&gt;$J$10+(SUM($K$10:W10)),$J$10,$I$10-(SUM($K$10:W10))))))</f>
        <v>0</v>
      </c>
      <c r="Y10" s="3">
        <f>IF(AND($F$9=$F$10,$I$9&gt;SUM($K$9:X9),Y9&gt;($J$4/7)),"",IF(AND(Y9&lt;&gt;0,$D$9=$D$10,$J$10&gt;(SUM($K$9:X9))),"",(IF($I$10&gt;$J$10+(SUM($K$10:X10)),$J$10,$I$10-(SUM($K$10:X10))))))</f>
        <v>0</v>
      </c>
      <c r="Z10" s="3">
        <f>IF(AND($F$9=$F$10,$I$9&gt;SUM($K$9:Y9),Z9&gt;($J$4/7)),"",IF(AND(Z9&lt;&gt;0,$D$9=$D$10,$J$10&gt;(SUM($K$9:Y9))),"",(IF($I$10&gt;$J$10+(SUM($K$10:Y10)),$J$10,$I$10-(SUM($K$10:Y10))))))</f>
        <v>0</v>
      </c>
      <c r="AA10" s="3">
        <f>IF(AND($F$9=$F$10,$I$9&gt;SUM($K$9:Z9),AA9&gt;($J$4/7)),"",IF(AND(AA9&lt;&gt;0,$D$9=$D$10,$J$10&gt;(SUM($K$9:Z9))),"",(IF($I$10&gt;$J$10+(SUM($K$10:Z10)),$J$10,$I$10-(SUM($K$10:Z10))))))</f>
        <v>0</v>
      </c>
      <c r="AB10" s="3">
        <f>IF(AND($F$9=$F$10,$I$9&gt;SUM($K$9:AA9),AB9&gt;($J$4/7)),"",IF(AND(AB9&lt;&gt;0,$D$9=$D$10,$J$10&gt;(SUM($K$9:AA9))),"",(IF($I$10&gt;$J$10+(SUM($K$10:AA10)),$J$10,$I$10-(SUM($K$10:AA10))))))</f>
        <v>0</v>
      </c>
      <c r="AC10" s="3">
        <f>IF(AND($F$9=$F$10,$I$9&gt;SUM($K$9:AB9),AC9&gt;($J$4/7)),"",IF(AND(AC9&lt;&gt;0,$D$9=$D$10,$J$10&gt;(SUM($K$9:AB9))),"",(IF($I$10&gt;$J$10+(SUM($K$10:AB10)),$J$10,$I$10-(SUM($K$10:AB10))))))</f>
        <v>0</v>
      </c>
      <c r="AD10" s="3">
        <f>IF(AND($F$9=$F$10,$I$9&gt;SUM($K$9:AC9),AD9&gt;($J$4/7)),"",IF(AND(AD9&lt;&gt;0,$D$9=$D$10,$J$10&gt;(SUM($K$9:AC9))),"",(IF($I$10&gt;$J$10+(SUM($K$10:AC10)),$J$10,$I$10-(SUM($K$10:AC10))))))</f>
        <v>0</v>
      </c>
      <c r="AE10" s="3">
        <f>IF(AND($F$9=$F$10,$I$9&gt;SUM($K$9:AD9),AE9&gt;($J$4/7)),"",IF(AND(AE9&lt;&gt;0,$D$9=$D$10,$J$10&gt;(SUM($K$9:AD9))),"",(IF($I$10&gt;$J$10+(SUM($K$10:AD10)),$J$10,$I$10-(SUM($K$10:AD10))))))</f>
        <v>0</v>
      </c>
      <c r="AF10" s="3">
        <f>IF(AND($F$9=$F$10,$I$9&gt;SUM($K$9:AE9),AF9&gt;($J$4/7)),"",IF(AND(AF9&lt;&gt;0,$D$9=$D$10,$J$10&gt;(SUM($K$9:AE9))),"",(IF($I$10&gt;$J$10+(SUM($K$10:AE10)),$J$10,$I$10-(SUM($K$10:AE10))))))</f>
        <v>0</v>
      </c>
      <c r="AG10" s="3">
        <f>IF(AND($F$9=$F$10,$I$9&gt;SUM($K$9:AF9),AG9&gt;($J$4/7)),"",IF(AND(AG9&lt;&gt;0,$D$9=$D$10,$J$10&gt;(SUM($K$9:AF9))),"",(IF($I$10&gt;$J$10+(SUM($K$10:AF10)),$J$10,$I$10-(SUM($K$10:AF10))))))</f>
        <v>0</v>
      </c>
      <c r="AH10" s="3">
        <f>IF(AND($F$9=$F$10,$I$9&gt;SUM($K$9:AG9),AH9&gt;($J$4/7)),"",IF(AND(AH9&lt;&gt;0,$D$9=$D$10,$J$10&gt;(SUM($K$9:AG9))),"",(IF($I$10&gt;$J$10+(SUM($K$10:AG10)),$J$10,$I$10-(SUM($K$10:AG10))))))</f>
        <v>0</v>
      </c>
      <c r="AI10" s="3">
        <f>IF(AND($F$9=$F$10,$I$9&gt;SUM($K$9:AH9),AI9&gt;($J$4/7)),"",IF(AND(AI9&lt;&gt;0,$D$9=$D$10,$J$10&gt;(SUM($K$9:AH9))),"",(IF($I$10&gt;$J$10+(SUM($K$10:AH10)),$J$10,$I$10-(SUM($K$10:AH10))))))</f>
        <v>0</v>
      </c>
      <c r="AJ10" s="3">
        <f>IF(AND($F$9=$F$10,$I$9&gt;SUM($K$9:AI9),AJ9&gt;($J$4/7)),"",IF(AND(AJ9&lt;&gt;0,$D$9=$D$10,$J$10&gt;(SUM($K$9:AI9))),"",(IF($I$10&gt;$J$10+(SUM($K$10:AI10)),$J$10,$I$10-(SUM($K$10:AI10))))))</f>
        <v>0</v>
      </c>
      <c r="AK10" s="3">
        <f>IF(AND($F$9=$F$10,$I$9&gt;SUM($K$9:AJ9),AK9&gt;($J$4/7)),"",IF(AND(AK9&lt;&gt;0,$D$9=$D$10,$J$10&gt;(SUM($K$9:AJ9))),"",(IF($I$10&gt;$J$10+(SUM($K$10:AJ10)),$J$10,$I$10-(SUM($K$10:AJ10))))))</f>
        <v>0</v>
      </c>
      <c r="AL10" s="3">
        <f>IF(AND($F$9=$F$10,$I$9&gt;SUM($K$9:AK9),AL9&gt;($J$4/7)),"",IF(AND(AL9&lt;&gt;0,$D$9=$D$10,$J$10&gt;(SUM($K$9:AK9))),"",(IF($I$10&gt;$J$10+(SUM($K$10:AK10)),$J$10,$I$10-(SUM($K$10:AK10))))))</f>
        <v>0</v>
      </c>
      <c r="AM10" s="3">
        <f>IF(AND($F$9=$F$10,$I$9&gt;SUM($K$9:AL9),AM9&gt;($J$4/7)),"",IF(AND(AM9&lt;&gt;0,$D$9=$D$10,$J$10&gt;(SUM($K$9:AL9))),"",(IF($I$10&gt;$J$10+(SUM($K$10:AL10)),$J$10,$I$10-(SUM($K$10:AL10))))))</f>
        <v>0</v>
      </c>
      <c r="AN10" s="3">
        <f>IF(AND($F$9=$F$10,$I$9&gt;SUM($K$9:AM9),AN9&gt;($J$4/7)),"",IF(AND(AN9&lt;&gt;0,$D$9=$D$10,$J$10&gt;(SUM($K$9:AM9))),"",(IF($I$10&gt;$J$10+(SUM($K$10:AM10)),$J$10,$I$10-(SUM($K$10:AM10))))))</f>
        <v>0</v>
      </c>
      <c r="AO10" s="3">
        <f>IF(AND($F$9=$F$10,$I$9&gt;SUM($K$9:AN9),AO9&gt;($J$4/7)),"",IF(AND(AO9&lt;&gt;0,$D$9=$D$10,$J$10&gt;(SUM($K$9:AN9))),"",(IF($I$10&gt;$J$10+(SUM($K$10:AN10)),$J$10,$I$10-(SUM($K$10:AN10))))))</f>
        <v>0</v>
      </c>
      <c r="AP10" s="3">
        <f>IF(AND($F$9=$F$10,$I$9&gt;SUM($K$9:AO9),AP9&gt;($J$4/7)),"",IF(AND(AP9&lt;&gt;0,$D$9=$D$10,$J$10&gt;(SUM($K$9:AO9))),"",(IF($I$10&gt;$J$10+(SUM($K$10:AO10)),$J$10,$I$10-(SUM($K$10:AO10))))))</f>
        <v>0</v>
      </c>
      <c r="AQ10" s="3">
        <f>IF(AND($F$9=$F$10,$I$9&gt;SUM($K$9:AP9),AQ9&gt;($J$4/7)),"",IF(AND(AQ9&lt;&gt;0,$D$9=$D$10,$J$10&gt;(SUM($K$9:AP9))),"",(IF($I$10&gt;$J$10+(SUM($K$10:AP10)),$J$10,$I$10-(SUM($K$10:AP10))))))</f>
        <v>0</v>
      </c>
      <c r="AR10" s="3">
        <f>IF(AND($F$9=$F$10,$I$9&gt;SUM($K$9:AQ9),AR9&gt;($J$4/7)),"",IF(AND(AR9&lt;&gt;0,$D$9=$D$10,$J$10&gt;(SUM($K$9:AQ9))),"",(IF($I$10&gt;$J$10+(SUM($K$10:AQ10)),$J$10,$I$10-(SUM($K$10:AQ10))))))</f>
        <v>0</v>
      </c>
      <c r="AS10" s="3">
        <f>IF(AND($F$9=$F$10,$I$9&gt;SUM($K$9:AR9),AS9&gt;($J$4/7)),"",IF(AND(AS9&lt;&gt;0,$D$9=$D$10,$J$10&gt;(SUM($K$9:AR9))),"",(IF($I$10&gt;$J$10+(SUM($K$10:AR10)),$J$10,$I$10-(SUM($K$10:AR10))))))</f>
        <v>0</v>
      </c>
      <c r="AT10" s="3">
        <f>IF(AND($F$9=$F$10,$I$9&gt;SUM($K$9:AS9),AT9&gt;($J$4/7)),"",IF(AND(AT9&lt;&gt;0,$D$9=$D$10,$J$10&gt;(SUM($K$9:AS9))),"",(IF($I$10&gt;$J$10+(SUM($K$10:AS10)),$J$10,$I$10-(SUM($K$10:AS10))))))</f>
        <v>0</v>
      </c>
      <c r="AU10" s="3">
        <f>IF(AND($F$9=$F$10,$I$9&gt;SUM($K$9:AT9),AU9&gt;($J$4/7)),"",IF(AND(AU9&lt;&gt;0,$D$9=$D$10,$J$10&gt;(SUM($K$9:AT9))),"",(IF($I$10&gt;$J$10+(SUM($K$10:AT10)),$J$10,$I$10-(SUM($K$10:AT10))))))</f>
        <v>0</v>
      </c>
      <c r="AV10" s="3">
        <f>IF(AND($F$9=$F$10,$I$9&gt;SUM($K$9:AU9),AV9&gt;($J$4/7)),"",IF(AND(AV9&lt;&gt;0,$D$9=$D$10,$J$10&gt;(SUM($K$9:AU9))),"",(IF($I$10&gt;$J$10+(SUM($K$10:AU10)),$J$10,$I$10-(SUM($K$10:AU10))))))</f>
        <v>0</v>
      </c>
      <c r="AW10" s="3">
        <f>IF(AND($F$9=$F$10,$I$9&gt;SUM($K$9:AV9),AW9&gt;($J$4/7)),"",IF(AND(AW9&lt;&gt;0,$D$9=$D$10,$J$10&gt;(SUM($K$9:AV9))),"",(IF($I$10&gt;$J$10+(SUM($K$10:AV10)),$J$10,$I$10-(SUM($K$10:AV10))))))</f>
        <v>0</v>
      </c>
      <c r="AX10" s="3">
        <f>IF(AND($F$9=$F$10,$I$9&gt;SUM($K$9:AW9),AX9&gt;($J$4/7)),"",IF(AND(AX9&lt;&gt;0,$D$9=$D$10,$J$10&gt;(SUM($K$9:AW9))),"",(IF($I$10&gt;$J$10+(SUM($K$10:AW10)),$J$10,$I$10-(SUM($K$10:AW10))))))</f>
        <v>0</v>
      </c>
      <c r="AY10" s="3">
        <f>IF(AND($F$9=$F$10,$I$9&gt;SUM($K$9:AX9),AY9&gt;($J$4/7)),"",IF(AND(AY9&lt;&gt;0,$D$9=$D$10,$J$10&gt;(SUM($K$9:AX9))),"",(IF($I$10&gt;$J$10+(SUM($K$10:AX10)),$J$10,$I$10-(SUM($K$10:AX10))))))</f>
        <v>0</v>
      </c>
      <c r="AZ10" s="3">
        <f>IF(AND($F$9=$F$10,$I$9&gt;SUM($K$9:AY9),AZ9&gt;($J$4/7)),"",IF(AND(AZ9&lt;&gt;0,$D$9=$D$10,$J$10&gt;(SUM($K$9:AY9))),"",(IF($I$10&gt;$J$10+(SUM($K$10:AY10)),$J$10,$I$10-(SUM($K$10:AY10))))))</f>
        <v>0</v>
      </c>
      <c r="BA10" s="3">
        <f>IF(AND($F$9=$F$10,$I$9&gt;SUM($K$9:AZ9),BA9&gt;($J$4/7)),"",IF(AND(BA9&lt;&gt;0,$D$9=$D$10,$J$10&gt;(SUM($K$9:AZ9))),"",(IF($I$10&gt;$J$10+(SUM($K$10:AZ10)),$J$10,$I$10-(SUM($K$10:AZ10))))))</f>
        <v>0</v>
      </c>
      <c r="BB10" s="3">
        <f>IF(AND($F$9=$F$10,$I$9&gt;SUM($K$9:BA9),BB9&gt;($J$4/7)),"",IF(AND(BB9&lt;&gt;0,$D$9=$D$10,$J$10&gt;(SUM($K$9:BA9))),"",(IF($I$10&gt;$J$10+(SUM($K$10:BA10)),$J$10,$I$10-(SUM($K$10:BA10))))))</f>
        <v>0</v>
      </c>
      <c r="BC10" s="3">
        <f>IF(AND($F$9=$F$10,$I$9&gt;SUM($K$9:BB9),BC9&gt;($J$4/7)),"",IF(AND(BC9&lt;&gt;0,$D$9=$D$10,$J$10&gt;(SUM($K$9:BB9))),"",(IF($I$10&gt;$J$10+(SUM($K$10:BB10)),$J$10,$I$10-(SUM($K$10:BB10))))))</f>
        <v>0</v>
      </c>
      <c r="BD10" s="3">
        <f>IF(AND($F$9=$F$10,$I$9&gt;SUM($K$9:BC9),BD9&gt;($J$4/7)),"",IF(AND(BD9&lt;&gt;0,$D$9=$D$10,$J$10&gt;(SUM($K$9:BC9))),"",(IF($I$10&gt;$J$10+(SUM($K$10:BC10)),$J$10,$I$10-(SUM($K$10:BC10))))))</f>
        <v>0</v>
      </c>
      <c r="BE10" s="3">
        <f>IF(AND($F$9=$F$10,$I$9&gt;SUM($K$9:BD9),BE9&gt;($J$4/7)),"",IF(AND(BE9&lt;&gt;0,$D$9=$D$10,$J$10&gt;(SUM($K$9:BD9))),"",(IF($I$10&gt;$J$10+(SUM($K$10:BD10)),$J$10,$I$10-(SUM($K$10:BD10))))))</f>
        <v>0</v>
      </c>
      <c r="BF10" s="3">
        <f>IF(AND($F$9=$F$10,$I$9&gt;SUM($K$9:BE9),BF9&gt;($J$4/7)),"",IF(AND(BF9&lt;&gt;0,$D$9=$D$10,$J$10&gt;(SUM($K$9:BE9))),"",(IF($I$10&gt;$J$10+(SUM($K$10:BE10)),$J$10,$I$10-(SUM($K$10:BE10))))))</f>
        <v>0</v>
      </c>
      <c r="BG10" s="3">
        <f>IF(AND($F$9=$F$10,$I$9&gt;SUM($K$9:BF9),BG9&gt;($J$4/7)),"",IF(AND(BG9&lt;&gt;0,$D$9=$D$10,$J$10&gt;(SUM($K$9:BF9))),"",(IF($I$10&gt;$J$10+(SUM($K$10:BF10)),$J$10,$I$10-(SUM($K$10:BF10))))))</f>
        <v>0</v>
      </c>
      <c r="BH10" s="3">
        <f>IF(AND($F$9=$F$10,$I$9&gt;SUM($K$9:BG9),BH9&gt;($J$4/7)),"",IF(AND(BH9&lt;&gt;0,$D$9=$D$10,$J$10&gt;(SUM($K$9:BG9))),"",(IF($I$10&gt;$J$10+(SUM($K$10:BG10)),$J$10,$I$10-(SUM($K$10:BG10))))))</f>
        <v>0</v>
      </c>
      <c r="BI10" s="3">
        <f>IF(AND($F$9=$F$10,$I$9&gt;SUM($K$9:BH9),BI9&gt;($J$4/7)),"",IF(AND(BI9&lt;&gt;0,$D$9=$D$10,$J$10&gt;(SUM($K$9:BH9))),"",(IF($I$10&gt;$J$10+(SUM($K$10:BH10)),$J$10,$I$10-(SUM($K$10:BH10))))))</f>
        <v>0</v>
      </c>
      <c r="BJ10" s="3">
        <f>IF(AND($F$9=$F$10,$I$9&gt;SUM($K$9:BI9),BJ9&gt;($J$4/7)),"",IF(AND(BJ9&lt;&gt;0,$D$9=$D$10,$J$10&gt;(SUM($K$9:BI9))),"",(IF($I$10&gt;$J$10+(SUM($K$10:BI10)),$J$10,$I$10-(SUM($K$10:BI10))))))</f>
        <v>0</v>
      </c>
      <c r="BK10" s="3">
        <f>IF(AND($F$9=$F$10,$I$9&gt;SUM($K$9:BJ9),BK9&gt;($J$4/7)),"",IF(AND(BK9&lt;&gt;0,$D$9=$D$10,$J$10&gt;(SUM($K$9:BJ9))),"",(IF($I$10&gt;$J$10+(SUM($K$10:BJ10)),$J$10,$I$10-(SUM($K$10:BJ10))))))</f>
        <v>0</v>
      </c>
      <c r="BL10" s="3">
        <f>IF(AND($F$9=$F$10,$I$9&gt;SUM($K$9:BK9),BL9&gt;($J$4/7)),"",IF(AND(BL9&lt;&gt;0,$D$9=$D$10,$J$10&gt;(SUM($K$9:BK9))),"",(IF($I$10&gt;$J$10+(SUM($K$10:BK10)),$J$10,$I$10-(SUM($K$10:BK10))))))</f>
        <v>0</v>
      </c>
      <c r="BM10" s="3">
        <f>IF(AND($F$9=$F$10,$I$9&gt;SUM($K$9:BL9),BM9&gt;($J$4/7)),"",IF(AND(BM9&lt;&gt;0,$D$9=$D$10,$J$10&gt;(SUM($K$9:BL9))),"",(IF($I$10&gt;$J$10+(SUM($K$10:BL10)),$J$10,$I$10-(SUM($K$10:BL10))))))</f>
        <v>0</v>
      </c>
      <c r="BN10" s="3">
        <f>IF(AND($F$9=$F$10,$I$9&gt;SUM($K$9:BM9),BN9&gt;($J$4/7)),"",IF(AND(BN9&lt;&gt;0,$D$9=$D$10,$J$10&gt;(SUM($K$9:BM9))),"",(IF($I$10&gt;$J$10+(SUM($K$10:BM10)),$J$10,$I$10-(SUM($K$10:BM10))))))</f>
        <v>0</v>
      </c>
      <c r="BO10" s="3">
        <f>IF(AND($F$9=$F$10,$I$9&gt;SUM($K$9:BN9),BO9&gt;($J$4/7)),"",IF(AND(BO9&lt;&gt;0,$D$9=$D$10,$J$10&gt;(SUM($K$9:BN9))),"",(IF($I$10&gt;$J$10+(SUM($K$10:BN10)),$J$10,$I$10-(SUM($K$10:BN10))))))</f>
        <v>0</v>
      </c>
      <c r="BP10" s="3">
        <f>IF(AND($F$9=$F$10,$I$9&gt;SUM($K$9:BO9),BP9&gt;($J$4/7)),"",IF(AND(BP9&lt;&gt;0,$D$9=$D$10,$J$10&gt;(SUM($K$9:BO9))),"",(IF($I$10&gt;$J$10+(SUM($K$10:BO10)),$J$10,$I$10-(SUM($K$10:BO10))))))</f>
        <v>0</v>
      </c>
      <c r="BQ10" s="3">
        <f>IF(AND($F$9=$F$10,$I$9&gt;SUM($K$9:BP9),BQ9&gt;($J$4/7)),"",IF(AND(BQ9&lt;&gt;0,$D$9=$D$10,$J$10&gt;(SUM($K$9:BP9))),"",(IF($I$10&gt;$J$10+(SUM($K$10:BP10)),$J$10,$I$10-(SUM($K$10:BP10))))))</f>
        <v>0</v>
      </c>
      <c r="BR10" s="3">
        <f>IF(AND($F$9=$F$10,$I$9&gt;SUM($K$9:BQ9),BR9&gt;($J$4/7)),"",IF(AND(BR9&lt;&gt;0,$D$9=$D$10,$J$10&gt;(SUM($K$9:BQ9))),"",(IF($I$10&gt;$J$10+(SUM($K$10:BQ10)),$J$10,$I$10-(SUM($K$10:BQ10))))))</f>
        <v>0</v>
      </c>
      <c r="BS10" s="3">
        <f>IF(AND($F$9=$F$10,$I$9&gt;SUM($K$9:BR9),BS9&gt;($J$4/7)),"",IF(AND(BS9&lt;&gt;0,$D$9=$D$10,$J$10&gt;(SUM($K$9:BR9))),"",(IF($I$10&gt;$J$10+(SUM($K$10:BR10)),$J$10,$I$10-(SUM($K$10:BR10))))))</f>
        <v>0</v>
      </c>
      <c r="BT10" s="3">
        <f>IF(AND($F$9=$F$10,$I$9&gt;SUM($K$9:BS9),BT9&gt;($J$4/7)),"",IF(AND(BT9&lt;&gt;0,$D$9=$D$10,$J$10&gt;(SUM($K$9:BS9))),"",(IF($I$10&gt;$J$10+(SUM($K$10:BS10)),$J$10,$I$10-(SUM($K$10:BS10))))))</f>
        <v>0</v>
      </c>
      <c r="BU10" s="3">
        <f>IF(AND($F$9=$F$10,$I$9&gt;SUM($K$9:BT9),BU9&gt;($J$4/7)),"",IF(AND(BU9&lt;&gt;0,$D$9=$D$10,$J$10&gt;(SUM($K$9:BT9))),"",(IF($I$10&gt;$J$10+(SUM($K$10:BT10)),$J$10,$I$10-(SUM($K$10:BT10))))))</f>
        <v>0</v>
      </c>
      <c r="BV10" s="3">
        <f>IF(AND($F$9=$F$10,$I$9&gt;SUM($K$9:BU9),BV9&gt;($J$4/7)),"",IF(AND(BV9&lt;&gt;0,$D$9=$D$10,$J$10&gt;(SUM($K$9:BU9))),"",(IF($I$10&gt;$J$10+(SUM($K$10:BU10)),$J$10,$I$10-(SUM($K$10:BU10))))))</f>
        <v>0</v>
      </c>
      <c r="BW10" s="3">
        <f>IF(AND($F$9=$F$10,$I$9&gt;SUM($K$9:BV9),BW9&gt;($J$4/7)),"",IF(AND(BW9&lt;&gt;0,$D$9=$D$10,$J$10&gt;(SUM($K$9:BV9))),"",(IF($I$10&gt;$J$10+(SUM($K$10:BV10)),$J$10,$I$10-(SUM($K$10:BV10))))))</f>
        <v>0</v>
      </c>
      <c r="BX10" s="3">
        <f>IF(AND($F$9=$F$10,$I$9&gt;SUM($K$9:BW9),BX9&gt;($J$4/7)),"",IF(AND(BX9&lt;&gt;0,$D$9=$D$10,$J$10&gt;(SUM($K$9:BW9))),"",(IF($I$10&gt;$J$10+(SUM($K$10:BW10)),$J$10,$I$10-(SUM($K$10:BW10))))))</f>
        <v>0</v>
      </c>
      <c r="BY10" s="3">
        <f>IF(AND($F$9=$F$10,$I$9&gt;SUM($K$9:BX9),BY9&gt;($J$4/7)),"",IF(AND(BY9&lt;&gt;0,$D$9=$D$10,$J$10&gt;(SUM($K$9:BX9))),"",(IF($I$10&gt;$J$10+(SUM($K$10:BX10)),$J$10,$I$10-(SUM($K$10:BX10))))))</f>
        <v>0</v>
      </c>
      <c r="BZ10" s="3">
        <f>IF(AND($F$9=$F$10,$I$9&gt;SUM($K$9:BY9),BZ9&gt;($J$4/7)),"",IF(AND(BZ9&lt;&gt;0,$D$9=$D$10,$J$10&gt;(SUM($K$9:BY9))),"",(IF($I$10&gt;$J$10+(SUM($K$10:BY10)),$J$10,$I$10-(SUM($K$10:BY10))))))</f>
        <v>0</v>
      </c>
      <c r="CA10" s="3">
        <f>IF(AND($F$9=$F$10,$I$9&gt;SUM($K$9:BZ9),CA9&gt;($J$4/7)),"",IF(AND(CA9&lt;&gt;0,$D$9=$D$10,$J$10&gt;(SUM($K$9:BZ9))),"",(IF($I$10&gt;$J$10+(SUM($K$10:BZ10)),$J$10,$I$10-(SUM($K$10:BZ10))))))</f>
        <v>0</v>
      </c>
      <c r="CB10" s="3">
        <f>IF(AND($F$9=$F$10,$I$9&gt;SUM($K$9:CA9),CB9&gt;($J$4/7)),"",IF(AND(CB9&lt;&gt;0,$D$9=$D$10,$J$10&gt;(SUM($K$9:CA9))),"",(IF($I$10&gt;$J$10+(SUM($K$10:CA10)),$J$10,$I$10-(SUM($K$10:CA10))))))</f>
        <v>0</v>
      </c>
      <c r="CC10" s="3">
        <f>IF(AND($F$9=$F$10,$I$9&gt;SUM($K$9:CB9),CC9&gt;($J$4/7)),"",IF(AND(CC9&lt;&gt;0,$D$9=$D$10,$J$10&gt;(SUM($K$9:CB9))),"",(IF($I$10&gt;$J$10+(SUM($K$10:CB10)),$J$10,$I$10-(SUM($K$10:CB10))))))</f>
        <v>0</v>
      </c>
      <c r="CD10" s="3">
        <f>IF(AND($F$9=$F$10,$I$9&gt;SUM($K$9:CC9),CD9&gt;($J$4/7)),"",IF(AND(CD9&lt;&gt;0,$D$9=$D$10,$J$10&gt;(SUM($K$9:CC9))),"",(IF($I$10&gt;$J$10+(SUM($K$10:CC10)),$J$10,$I$10-(SUM($K$10:CC10))))))</f>
        <v>0</v>
      </c>
      <c r="CE10" s="3">
        <f>IF(AND($F$9=$F$10,$I$9&gt;SUM($K$9:CD9),CE9&gt;($J$4/7)),"",IF(AND(CE9&lt;&gt;0,$D$9=$D$10,$J$10&gt;(SUM($K$9:CD9))),"",(IF($I$10&gt;$J$10+(SUM($K$10:CD10)),$J$10,$I$10-(SUM($K$10:CD10))))))</f>
        <v>0</v>
      </c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</row>
    <row r="11" spans="1:251" x14ac:dyDescent="0.25">
      <c r="A11" s="6">
        <v>9</v>
      </c>
      <c r="B11" t="str">
        <f t="shared" si="3"/>
        <v/>
      </c>
      <c r="C11" t="str">
        <f t="shared" si="4"/>
        <v>0</v>
      </c>
      <c r="E11" s="101"/>
      <c r="F11" s="27"/>
      <c r="G11" s="2">
        <f t="shared" si="0"/>
        <v>0</v>
      </c>
      <c r="H11" s="9">
        <f t="shared" si="1"/>
        <v>0</v>
      </c>
      <c r="I11" s="2">
        <f t="shared" si="2"/>
        <v>0</v>
      </c>
      <c r="J11" s="2">
        <f t="shared" si="5"/>
        <v>0</v>
      </c>
      <c r="K11" t="str">
        <f>IF(F11=F10,"",IF(AND($D$11=$D$10,$J$11&gt;1),"",(IF($I$11&gt;$J$11,$J$11,$I$11))))</f>
        <v/>
      </c>
      <c r="L11" s="3">
        <f>IF(AND($F$10=$F$11,$I$10&gt;SUM($K$10:K10),L10&gt;($J$10/7)),"",IF(AND(L10&lt;&gt;0,$D$10=$D$11,$J$11&gt;(SUM($K$10:K10))),"",(IF($I$11&gt;$J$11+(SUM($K$11:K11)),$J$11,$I$11-(SUM($K$11:K11))))))</f>
        <v>0</v>
      </c>
      <c r="M11" s="3">
        <f>IF(AND($F$10=$F$11,$I$10&gt;SUM($K$10:L10),M10&gt;($J$10/7)),"",IF(AND(M10&lt;&gt;0,$D$10=$D$11,$J$11&gt;(SUM($K$10:L10))),"",(IF($I$11&gt;$J$11+(SUM($K$11:L11)),$J$11,$I$11-(SUM($K$11:L11))))))</f>
        <v>0</v>
      </c>
      <c r="N11" s="3">
        <f>IF(AND($F$10=$F$11,$I$10&gt;SUM($K$10:M10),N10&gt;($J$10/7)),"",IF(AND(N10&lt;&gt;0,$D$10=$D$11,$J$11&gt;(SUM($K$10:M10))),"",(IF($I$11&gt;$J$11+(SUM($K$11:M11)),$J$11,$I$11-(SUM($K$11:M11))))))</f>
        <v>0</v>
      </c>
      <c r="O11" s="3">
        <f>IF(AND($F$10=$F$11,$I$10&gt;SUM($K$10:N10),O10&gt;($J$10/7)),"",IF(AND(O10&lt;&gt;0,$D$10=$D$11,$J$11&gt;(SUM($K$10:N10))),"",(IF($I$11&gt;$J$11+(SUM($K$11:N11)),$J$11,$I$11-(SUM($K$11:N11))))))</f>
        <v>0</v>
      </c>
      <c r="P11" s="3">
        <f>IF(AND($F$10=$F$11,$I$10&gt;SUM($K$10:O10),P10&gt;($J$10/7)),"",IF(AND(P10&lt;&gt;0,$D$10=$D$11,$J$11&gt;(SUM($K$10:O10))),"",(IF($I$11&gt;$J$11+(SUM($K$11:O11)),$J$11,$I$11-(SUM($K$11:O11))))))</f>
        <v>0</v>
      </c>
      <c r="Q11" s="3">
        <f>IF(AND($F$10=$F$11,$I$10&gt;SUM($K$10:P10),Q10&gt;($J$10/7)),"",IF(AND(Q10&lt;&gt;0,$D$10=$D$11,$J$11&gt;(SUM($K$10:P10))),"",(IF($I$11&gt;$J$11+(SUM($K$11:P11)),$J$11,$I$11-(SUM($K$11:P11))))))</f>
        <v>0</v>
      </c>
      <c r="R11" s="3">
        <f>IF(AND($F$10=$F$11,$I$10&gt;SUM($K$10:Q10),R10&gt;($J$10/7)),"",IF(AND(R10&lt;&gt;0,$D$10=$D$11,$J$11&gt;(SUM($K$10:Q10))),"",(IF($I$11&gt;$J$11+(SUM($K$11:Q11)),$J$11,$I$11-(SUM($K$11:Q11))))))</f>
        <v>0</v>
      </c>
      <c r="S11" s="3">
        <f>IF(AND($F$10=$F$11,$I$10&gt;SUM($K$10:R10),S10&gt;($J$10/7)),"",IF(AND(S10&lt;&gt;0,$D$10=$D$11,$J$11&gt;(SUM($K$10:R10))),"",(IF($I$11&gt;$J$11+(SUM($K$11:R11)),$J$11,$I$11-(SUM($K$11:R11))))))</f>
        <v>0</v>
      </c>
      <c r="T11" s="3">
        <f>IF(AND($F$10=$F$11,$I$10&gt;SUM($K$10:S10),T10&gt;($J$10/7)),"",IF(AND(T10&lt;&gt;0,$D$10=$D$11,$J$11&gt;(SUM($K$10:S10))),"",(IF($I$11&gt;$J$11+(SUM($K$11:S11)),$J$11,$I$11-(SUM($K$11:S11))))))</f>
        <v>0</v>
      </c>
      <c r="U11" s="3">
        <f>IF(AND($F$10=$F$11,$I$10&gt;SUM($K$10:T10),U10&gt;($J$10/7)),"",IF(AND(U10&lt;&gt;0,$D$10=$D$11,$J$11&gt;(SUM($K$10:T10))),"",(IF($I$11&gt;$J$11+(SUM($K$11:T11)),$J$11,$I$11-(SUM($K$11:T11))))))</f>
        <v>0</v>
      </c>
      <c r="V11" s="3">
        <f>IF(AND($F$10=$F$11,$I$10&gt;SUM($K$10:U10),V10&gt;($J$10/7)),"",IF(AND(V10&lt;&gt;0,$D$10=$D$11,$J$11&gt;(SUM($K$10:U10))),"",(IF($I$11&gt;$J$11+(SUM($K$11:U11)),$J$11,$I$11-(SUM($K$11:U11))))))</f>
        <v>0</v>
      </c>
      <c r="W11" s="3">
        <f>IF(AND($F$10=$F$11,$I$10&gt;SUM($K$10:V10),W10&gt;($J$10/7)),"",IF(AND(W10&lt;&gt;0,$D$10=$D$11,$J$11&gt;(SUM($K$10:V10))),"",(IF($I$11&gt;$J$11+(SUM($K$11:V11)),$J$11,$I$11-(SUM($K$11:V11))))))</f>
        <v>0</v>
      </c>
      <c r="X11" s="3">
        <f>IF(AND($F$10=$F$11,$I$10&gt;SUM($K$10:W10),X10&gt;($J$10/7)),"",IF(AND(X10&lt;&gt;0,$D$10=$D$11,$J$11&gt;(SUM($K$10:W10))),"",(IF($I$11&gt;$J$11+(SUM($K$11:W11)),$J$11,$I$11-(SUM($K$11:W11))))))</f>
        <v>0</v>
      </c>
      <c r="Y11" s="3">
        <f>IF(AND($F$10=$F$11,$I$10&gt;SUM($K$10:X10),Y10&gt;($J$10/7)),"",IF(AND(Y10&lt;&gt;0,$D$10=$D$11,$J$11&gt;(SUM($K$10:X10))),"",(IF($I$11&gt;$J$11+(SUM($K$11:X11)),$J$11,$I$11-(SUM($K$11:X11))))))</f>
        <v>0</v>
      </c>
      <c r="Z11" s="3">
        <f>IF(AND($F$10=$F$11,$I$10&gt;SUM($K$10:Y10),Z10&gt;($J$10/7)),"",IF(AND(Z10&lt;&gt;0,$D$10=$D$11,$J$11&gt;(SUM($K$10:Y10))),"",(IF($I$11&gt;$J$11+(SUM($K$11:Y11)),$J$11,$I$11-(SUM($K$11:Y11))))))</f>
        <v>0</v>
      </c>
      <c r="AA11" s="3">
        <f>IF(AND($F$10=$F$11,$I$10&gt;SUM($K$10:Z10),AA10&gt;($J$10/7)),"",IF(AND(AA10&lt;&gt;0,$D$10=$D$11,$J$11&gt;(SUM($K$10:Z10))),"",(IF($I$11&gt;$J$11+(SUM($K$11:Z11)),$J$11,$I$11-(SUM($K$11:Z11))))))</f>
        <v>0</v>
      </c>
      <c r="AB11" s="3">
        <f>IF(AND($F$10=$F$11,$I$10&gt;SUM($K$10:AA10),AB10&gt;($J$10/7)),"",IF(AND(AB10&lt;&gt;0,$D$10=$D$11,$J$11&gt;(SUM($K$10:AA10))),"",(IF($I$11&gt;$J$11+(SUM($K$11:AA11)),$J$11,$I$11-(SUM($K$11:AA11))))))</f>
        <v>0</v>
      </c>
      <c r="AC11" s="3">
        <f>IF(AND($F$10=$F$11,$I$10&gt;SUM($K$10:AB10),AC10&gt;($J$10/7)),"",IF(AND(AC10&lt;&gt;0,$D$10=$D$11,$J$11&gt;(SUM($K$10:AB10))),"",(IF($I$11&gt;$J$11+(SUM($K$11:AB11)),$J$11,$I$11-(SUM($K$11:AB11))))))</f>
        <v>0</v>
      </c>
      <c r="AD11" s="3">
        <f>IF(AND($F$10=$F$11,$I$10&gt;SUM($K$10:AC10),AD10&gt;($J$10/7)),"",IF(AND(AD10&lt;&gt;0,$D$10=$D$11,$J$11&gt;(SUM($K$10:AC10))),"",(IF($I$11&gt;$J$11+(SUM($K$11:AC11)),$J$11,$I$11-(SUM($K$11:AC11))))))</f>
        <v>0</v>
      </c>
      <c r="AE11" s="3">
        <f>IF(AND($F$10=$F$11,$I$10&gt;SUM($K$10:AD10),AE10&gt;($J$10/7)),"",IF(AND(AE10&lt;&gt;0,$D$10=$D$11,$J$11&gt;(SUM($K$10:AD10))),"",(IF($I$11&gt;$J$11+(SUM($K$11:AD11)),$J$11,$I$11-(SUM($K$11:AD11))))))</f>
        <v>0</v>
      </c>
      <c r="AF11" s="3">
        <f>IF(AND($F$10=$F$11,$I$10&gt;SUM($K$10:AE10),AF10&gt;($J$10/7)),"",IF(AND(AF10&lt;&gt;0,$D$10=$D$11,$J$11&gt;(SUM($K$10:AE10))),"",(IF($I$11&gt;$J$11+(SUM($K$11:AE11)),$J$11,$I$11-(SUM($K$11:AE11))))))</f>
        <v>0</v>
      </c>
      <c r="AG11" s="3">
        <f>IF(AND($F$10=$F$11,$I$10&gt;SUM($K$10:AF10),AG10&gt;($J$10/7)),"",IF(AND(AG10&lt;&gt;0,$D$10=$D$11,$J$11&gt;(SUM($K$10:AF10))),"",(IF($I$11&gt;$J$11+(SUM($K$11:AF11)),$J$11,$I$11-(SUM($K$11:AF11))))))</f>
        <v>0</v>
      </c>
      <c r="AH11" s="3">
        <f>IF(AND($F$10=$F$11,$I$10&gt;SUM($K$10:AG10),AH10&gt;($J$10/7)),"",IF(AND(AH10&lt;&gt;0,$D$10=$D$11,$J$11&gt;(SUM($K$10:AG10))),"",(IF($I$11&gt;$J$11+(SUM($K$11:AG11)),$J$11,$I$11-(SUM($K$11:AG11))))))</f>
        <v>0</v>
      </c>
      <c r="AI11" s="3">
        <f>IF(AND($F$10=$F$11,$I$10&gt;SUM($K$10:AH10),AI10&gt;($J$10/7)),"",IF(AND(AI10&lt;&gt;0,$D$10=$D$11,$J$11&gt;(SUM($K$10:AH10))),"",(IF($I$11&gt;$J$11+(SUM($K$11:AH11)),$J$11,$I$11-(SUM($K$11:AH11))))))</f>
        <v>0</v>
      </c>
      <c r="AJ11" s="3">
        <f>IF(AND($F$10=$F$11,$I$10&gt;SUM($K$10:AI10),AJ10&gt;($J$10/7)),"",IF(AND(AJ10&lt;&gt;0,$D$10=$D$11,$J$11&gt;(SUM($K$10:AI10))),"",(IF($I$11&gt;$J$11+(SUM($K$11:AI11)),$J$11,$I$11-(SUM($K$11:AI11))))))</f>
        <v>0</v>
      </c>
      <c r="AK11" s="3">
        <f>IF(AND($F$10=$F$11,$I$10&gt;SUM($K$10:AJ10),AK10&gt;($J$10/7)),"",IF(AND(AK10&lt;&gt;0,$D$10=$D$11,$J$11&gt;(SUM($K$10:AJ10))),"",(IF($I$11&gt;$J$11+(SUM($K$11:AJ11)),$J$11,$I$11-(SUM($K$11:AJ11))))))</f>
        <v>0</v>
      </c>
      <c r="AL11" s="3">
        <f>IF(AND($F$10=$F$11,$I$10&gt;SUM($K$10:AK10),AL10&gt;($J$10/7)),"",IF(AND(AL10&lt;&gt;0,$D$10=$D$11,$J$11&gt;(SUM($K$10:AK10))),"",(IF($I$11&gt;$J$11+(SUM($K$11:AK11)),$J$11,$I$11-(SUM($K$11:AK11))))))</f>
        <v>0</v>
      </c>
      <c r="AM11" s="3">
        <f>IF(AND($F$10=$F$11,$I$10&gt;SUM($K$10:AL10),AM10&gt;($J$10/7)),"",IF(AND(AM10&lt;&gt;0,$D$10=$D$11,$J$11&gt;(SUM($K$10:AL10))),"",(IF($I$11&gt;$J$11+(SUM($K$11:AL11)),$J$11,$I$11-(SUM($K$11:AL11))))))</f>
        <v>0</v>
      </c>
      <c r="AN11" s="3">
        <f>IF(AND($F$10=$F$11,$I$10&gt;SUM($K$10:AM10),AN10&gt;($J$10/7)),"",IF(AND(AN10&lt;&gt;0,$D$10=$D$11,$J$11&gt;(SUM($K$10:AM10))),"",(IF($I$11&gt;$J$11+(SUM($K$11:AM11)),$J$11,$I$11-(SUM($K$11:AM11))))))</f>
        <v>0</v>
      </c>
      <c r="AO11" s="3">
        <f>IF(AND($F$10=$F$11,$I$10&gt;SUM($K$10:AN10),AO10&gt;($J$10/7)),"",IF(AND(AO10&lt;&gt;0,$D$10=$D$11,$J$11&gt;(SUM($K$10:AN10))),"",(IF($I$11&gt;$J$11+(SUM($K$11:AN11)),$J$11,$I$11-(SUM($K$11:AN11))))))</f>
        <v>0</v>
      </c>
      <c r="AP11" s="3">
        <f>IF(AND($F$10=$F$11,$I$10&gt;SUM($K$10:AO10),AP10&gt;($J$10/7)),"",IF(AND(AP10&lt;&gt;0,$D$10=$D$11,$J$11&gt;(SUM($K$10:AO10))),"",(IF($I$11&gt;$J$11+(SUM($K$11:AO11)),$J$11,$I$11-(SUM($K$11:AO11))))))</f>
        <v>0</v>
      </c>
      <c r="AQ11" s="3">
        <f>IF(AND($F$10=$F$11,$I$10&gt;SUM($K$10:AP10),AQ10&gt;($J$10/7)),"",IF(AND(AQ10&lt;&gt;0,$D$10=$D$11,$J$11&gt;(SUM($K$10:AP10))),"",(IF($I$11&gt;$J$11+(SUM($K$11:AP11)),$J$11,$I$11-(SUM($K$11:AP11))))))</f>
        <v>0</v>
      </c>
      <c r="AR11" s="3">
        <f>IF(AND($F$10=$F$11,$I$10&gt;SUM($K$10:AQ10),AR10&gt;($J$10/7)),"",IF(AND(AR10&lt;&gt;0,$D$10=$D$11,$J$11&gt;(SUM($K$10:AQ10))),"",(IF($I$11&gt;$J$11+(SUM($K$11:AQ11)),$J$11,$I$11-(SUM($K$11:AQ11))))))</f>
        <v>0</v>
      </c>
      <c r="AS11" s="3">
        <f>IF(AND($F$10=$F$11,$I$10&gt;SUM($K$10:AR10),AS10&gt;($J$10/7)),"",IF(AND(AS10&lt;&gt;0,$D$10=$D$11,$J$11&gt;(SUM($K$10:AR10))),"",(IF($I$11&gt;$J$11+(SUM($K$11:AR11)),$J$11,$I$11-(SUM($K$11:AR11))))))</f>
        <v>0</v>
      </c>
      <c r="AT11" s="3">
        <f>IF(AND($F$10=$F$11,$I$10&gt;SUM($K$10:AS10),AT10&gt;($J$10/7)),"",IF(AND(AT10&lt;&gt;0,$D$10=$D$11,$J$11&gt;(SUM($K$10:AS10))),"",(IF($I$11&gt;$J$11+(SUM($K$11:AS11)),$J$11,$I$11-(SUM($K$11:AS11))))))</f>
        <v>0</v>
      </c>
      <c r="AU11" s="3">
        <f>IF(AND($F$10=$F$11,$I$10&gt;SUM($K$10:AT10),AU10&gt;($J$10/7)),"",IF(AND(AU10&lt;&gt;0,$D$10=$D$11,$J$11&gt;(SUM($K$10:AT10))),"",(IF($I$11&gt;$J$11+(SUM($K$11:AT11)),$J$11,$I$11-(SUM($K$11:AT11))))))</f>
        <v>0</v>
      </c>
      <c r="AV11" s="3">
        <f>IF(AND($F$10=$F$11,$I$10&gt;SUM($K$10:AU10),AV10&gt;($J$10/7)),"",IF(AND(AV10&lt;&gt;0,$D$10=$D$11,$J$11&gt;(SUM($K$10:AU10))),"",(IF($I$11&gt;$J$11+(SUM($K$11:AU11)),$J$11,$I$11-(SUM($K$11:AU11))))))</f>
        <v>0</v>
      </c>
      <c r="AW11" s="3">
        <f>IF(AND($F$10=$F$11,$I$10&gt;SUM($K$10:AV10),AW10&gt;($J$10/7)),"",IF(AND(AW10&lt;&gt;0,$D$10=$D$11,$J$11&gt;(SUM($K$10:AV10))),"",(IF($I$11&gt;$J$11+(SUM($K$11:AV11)),$J$11,$I$11-(SUM($K$11:AV11))))))</f>
        <v>0</v>
      </c>
      <c r="AX11" s="3">
        <f>IF(AND($F$10=$F$11,$I$10&gt;SUM($K$10:AW10),AX10&gt;($J$10/7)),"",IF(AND(AX10&lt;&gt;0,$D$10=$D$11,$J$11&gt;(SUM($K$10:AW10))),"",(IF($I$11&gt;$J$11+(SUM($K$11:AW11)),$J$11,$I$11-(SUM($K$11:AW11))))))</f>
        <v>0</v>
      </c>
      <c r="AY11" s="3">
        <f>IF(AND($F$10=$F$11,$I$10&gt;SUM($K$10:AX10),AY10&gt;($J$10/7)),"",IF(AND(AY10&lt;&gt;0,$D$10=$D$11,$J$11&gt;(SUM($K$10:AX10))),"",(IF($I$11&gt;$J$11+(SUM($K$11:AX11)),$J$11,$I$11-(SUM($K$11:AX11))))))</f>
        <v>0</v>
      </c>
      <c r="AZ11" s="3">
        <f>IF(AND($F$10=$F$11,$I$10&gt;SUM($K$10:AY10),AZ10&gt;($J$10/7)),"",IF(AND(AZ10&lt;&gt;0,$D$10=$D$11,$J$11&gt;(SUM($K$10:AY10))),"",(IF($I$11&gt;$J$11+(SUM($K$11:AY11)),$J$11,$I$11-(SUM($K$11:AY11))))))</f>
        <v>0</v>
      </c>
      <c r="BA11" s="3">
        <f>IF(AND($F$10=$F$11,$I$10&gt;SUM($K$10:AZ10),BA10&gt;($J$10/7)),"",IF(AND(BA10&lt;&gt;0,$D$10=$D$11,$J$11&gt;(SUM($K$10:AZ10))),"",(IF($I$11&gt;$J$11+(SUM($K$11:AZ11)),$J$11,$I$11-(SUM($K$11:AZ11))))))</f>
        <v>0</v>
      </c>
      <c r="BB11" s="3">
        <f>IF(AND($F$10=$F$11,$I$10&gt;SUM($K$10:BA10),BB10&gt;($J$10/7)),"",IF(AND(BB10&lt;&gt;0,$D$10=$D$11,$J$11&gt;(SUM($K$10:BA10))),"",(IF($I$11&gt;$J$11+(SUM($K$11:BA11)),$J$11,$I$11-(SUM($K$11:BA11))))))</f>
        <v>0</v>
      </c>
      <c r="BC11" s="3">
        <f>IF(AND($F$10=$F$11,$I$10&gt;SUM($K$10:BB10),BC10&gt;($J$10/7)),"",IF(AND(BC10&lt;&gt;0,$D$10=$D$11,$J$11&gt;(SUM($K$10:BB10))),"",(IF($I$11&gt;$J$11+(SUM($K$11:BB11)),$J$11,$I$11-(SUM($K$11:BB11))))))</f>
        <v>0</v>
      </c>
      <c r="BD11" s="3">
        <f>IF(AND($F$10=$F$11,$I$10&gt;SUM($K$10:BC10),BD10&gt;($J$10/7)),"",IF(AND(BD10&lt;&gt;0,$D$10=$D$11,$J$11&gt;(SUM($K$10:BC10))),"",(IF($I$11&gt;$J$11+(SUM($K$11:BC11)),$J$11,$I$11-(SUM($K$11:BC11))))))</f>
        <v>0</v>
      </c>
      <c r="BE11" s="3">
        <f>IF(AND($F$10=$F$11,$I$10&gt;SUM($K$10:BD10),BE10&gt;($J$10/7)),"",IF(AND(BE10&lt;&gt;0,$D$10=$D$11,$J$11&gt;(SUM($K$10:BD10))),"",(IF($I$11&gt;$J$11+(SUM($K$11:BD11)),$J$11,$I$11-(SUM($K$11:BD11))))))</f>
        <v>0</v>
      </c>
      <c r="BF11" s="3">
        <f>IF(AND($F$10=$F$11,$I$10&gt;SUM($K$10:BE10),BF10&gt;($J$10/7)),"",IF(AND(BF10&lt;&gt;0,$D$10=$D$11,$J$11&gt;(SUM($K$10:BE10))),"",(IF($I$11&gt;$J$11+(SUM($K$11:BE11)),$J$11,$I$11-(SUM($K$11:BE11))))))</f>
        <v>0</v>
      </c>
      <c r="BG11" s="3">
        <f>IF(AND($F$10=$F$11,$I$10&gt;SUM($K$10:BF10),BG10&gt;($J$10/7)),"",IF(AND(BG10&lt;&gt;0,$D$10=$D$11,$J$11&gt;(SUM($K$10:BF10))),"",(IF($I$11&gt;$J$11+(SUM($K$11:BF11)),$J$11,$I$11-(SUM($K$11:BF11))))))</f>
        <v>0</v>
      </c>
      <c r="BH11" s="3">
        <f>IF(AND($F$10=$F$11,$I$10&gt;SUM($K$10:BG10),BH10&gt;($J$10/7)),"",IF(AND(BH10&lt;&gt;0,$D$10=$D$11,$J$11&gt;(SUM($K$10:BG10))),"",(IF($I$11&gt;$J$11+(SUM($K$11:BG11)),$J$11,$I$11-(SUM($K$11:BG11))))))</f>
        <v>0</v>
      </c>
      <c r="BI11" s="3">
        <f>IF(AND($F$10=$F$11,$I$10&gt;SUM($K$10:BH10),BI10&gt;($J$10/7)),"",IF(AND(BI10&lt;&gt;0,$D$10=$D$11,$J$11&gt;(SUM($K$10:BH10))),"",(IF($I$11&gt;$J$11+(SUM($K$11:BH11)),$J$11,$I$11-(SUM($K$11:BH11))))))</f>
        <v>0</v>
      </c>
      <c r="BJ11" s="3">
        <f>IF(AND($F$10=$F$11,$I$10&gt;SUM($K$10:BI10),BJ10&gt;($J$10/7)),"",IF(AND(BJ10&lt;&gt;0,$D$10=$D$11,$J$11&gt;(SUM($K$10:BI10))),"",(IF($I$11&gt;$J$11+(SUM($K$11:BI11)),$J$11,$I$11-(SUM($K$11:BI11))))))</f>
        <v>0</v>
      </c>
      <c r="BK11" s="3">
        <f>IF(AND($F$10=$F$11,$I$10&gt;SUM($K$10:BJ10),BK10&gt;($J$10/7)),"",IF(AND(BK10&lt;&gt;0,$D$10=$D$11,$J$11&gt;(SUM($K$10:BJ10))),"",(IF($I$11&gt;$J$11+(SUM($K$11:BJ11)),$J$11,$I$11-(SUM($K$11:BJ11))))))</f>
        <v>0</v>
      </c>
      <c r="BL11" s="3">
        <f>IF(AND($F$10=$F$11,$I$10&gt;SUM($K$10:BK10),BL10&gt;($J$10/7)),"",IF(AND(BL10&lt;&gt;0,$D$10=$D$11,$J$11&gt;(SUM($K$10:BK10))),"",(IF($I$11&gt;$J$11+(SUM($K$11:BK11)),$J$11,$I$11-(SUM($K$11:BK11))))))</f>
        <v>0</v>
      </c>
      <c r="BM11" s="3">
        <f>IF(AND($F$10=$F$11,$I$10&gt;SUM($K$10:BL10),BM10&gt;($J$10/7)),"",IF(AND(BM10&lt;&gt;0,$D$10=$D$11,$J$11&gt;(SUM($K$10:BL10))),"",(IF($I$11&gt;$J$11+(SUM($K$11:BL11)),$J$11,$I$11-(SUM($K$11:BL11))))))</f>
        <v>0</v>
      </c>
      <c r="BN11" s="3">
        <f>IF(AND($F$10=$F$11,$I$10&gt;SUM($K$10:BM10),BN10&gt;($J$10/7)),"",IF(AND(BN10&lt;&gt;0,$D$10=$D$11,$J$11&gt;(SUM($K$10:BM10))),"",(IF($I$11&gt;$J$11+(SUM($K$11:BM11)),$J$11,$I$11-(SUM($K$11:BM11))))))</f>
        <v>0</v>
      </c>
      <c r="BO11" s="3">
        <f>IF(AND($F$10=$F$11,$I$10&gt;SUM($K$10:BN10),BO10&gt;($J$10/7)),"",IF(AND(BO10&lt;&gt;0,$D$10=$D$11,$J$11&gt;(SUM($K$10:BN10))),"",(IF($I$11&gt;$J$11+(SUM($K$11:BN11)),$J$11,$I$11-(SUM($K$11:BN11))))))</f>
        <v>0</v>
      </c>
      <c r="BP11" s="3">
        <f>IF(AND($F$10=$F$11,$I$10&gt;SUM($K$10:BO10),BP10&gt;($J$10/7)),"",IF(AND(BP10&lt;&gt;0,$D$10=$D$11,$J$11&gt;(SUM($K$10:BO10))),"",(IF($I$11&gt;$J$11+(SUM($K$11:BO11)),$J$11,$I$11-(SUM($K$11:BO11))))))</f>
        <v>0</v>
      </c>
      <c r="BQ11" s="3">
        <f>IF(AND($F$10=$F$11,$I$10&gt;SUM($K$10:BP10),BQ10&gt;($J$10/7)),"",IF(AND(BQ10&lt;&gt;0,$D$10=$D$11,$J$11&gt;(SUM($K$10:BP10))),"",(IF($I$11&gt;$J$11+(SUM($K$11:BP11)),$J$11,$I$11-(SUM($K$11:BP11))))))</f>
        <v>0</v>
      </c>
      <c r="BR11" s="3">
        <f>IF(AND($F$10=$F$11,$I$10&gt;SUM($K$10:BQ10),BR10&gt;($J$10/7)),"",IF(AND(BR10&lt;&gt;0,$D$10=$D$11,$J$11&gt;(SUM($K$10:BQ10))),"",(IF($I$11&gt;$J$11+(SUM($K$11:BQ11)),$J$11,$I$11-(SUM($K$11:BQ11))))))</f>
        <v>0</v>
      </c>
      <c r="BS11" s="3">
        <f>IF(AND($F$10=$F$11,$I$10&gt;SUM($K$10:BR10),BS10&gt;($J$10/7)),"",IF(AND(BS10&lt;&gt;0,$D$10=$D$11,$J$11&gt;(SUM($K$10:BR10))),"",(IF($I$11&gt;$J$11+(SUM($K$11:BR11)),$J$11,$I$11-(SUM($K$11:BR11))))))</f>
        <v>0</v>
      </c>
      <c r="BT11" s="3">
        <f>IF(AND($F$10=$F$11,$I$10&gt;SUM($K$10:BS10),BT10&gt;($J$10/7)),"",IF(AND(BT10&lt;&gt;0,$D$10=$D$11,$J$11&gt;(SUM($K$10:BS10))),"",(IF($I$11&gt;$J$11+(SUM($K$11:BS11)),$J$11,$I$11-(SUM($K$11:BS11))))))</f>
        <v>0</v>
      </c>
      <c r="BU11" s="3">
        <f>IF(AND($F$10=$F$11,$I$10&gt;SUM($K$10:BT10),BU10&gt;($J$10/7)),"",IF(AND(BU10&lt;&gt;0,$D$10=$D$11,$J$11&gt;(SUM($K$10:BT10))),"",(IF($I$11&gt;$J$11+(SUM($K$11:BT11)),$J$11,$I$11-(SUM($K$11:BT11))))))</f>
        <v>0</v>
      </c>
      <c r="BV11" s="3">
        <f>IF(AND($F$10=$F$11,$I$10&gt;SUM($K$10:BU10),BV10&gt;($J$10/7)),"",IF(AND(BV10&lt;&gt;0,$D$10=$D$11,$J$11&gt;(SUM($K$10:BU10))),"",(IF($I$11&gt;$J$11+(SUM($K$11:BU11)),$J$11,$I$11-(SUM($K$11:BU11))))))</f>
        <v>0</v>
      </c>
      <c r="BW11" s="3">
        <f>IF(AND($F$10=$F$11,$I$10&gt;SUM($K$10:BV10),BW10&gt;($J$10/7)),"",IF(AND(BW10&lt;&gt;0,$D$10=$D$11,$J$11&gt;(SUM($K$10:BV10))),"",(IF($I$11&gt;$J$11+(SUM($K$11:BV11)),$J$11,$I$11-(SUM($K$11:BV11))))))</f>
        <v>0</v>
      </c>
      <c r="BX11" s="3">
        <f>IF(AND($F$10=$F$11,$I$10&gt;SUM($K$10:BW10),BX10&gt;($J$10/7)),"",IF(AND(BX10&lt;&gt;0,$D$10=$D$11,$J$11&gt;(SUM($K$10:BW10))),"",(IF($I$11&gt;$J$11+(SUM($K$11:BW11)),$J$11,$I$11-(SUM($K$11:BW11))))))</f>
        <v>0</v>
      </c>
      <c r="BY11" s="3">
        <f>IF(AND($F$10=$F$11,$I$10&gt;SUM($K$10:BX10),BY10&gt;($J$10/7)),"",IF(AND(BY10&lt;&gt;0,$D$10=$D$11,$J$11&gt;(SUM($K$10:BX10))),"",(IF($I$11&gt;$J$11+(SUM($K$11:BX11)),$J$11,$I$11-(SUM($K$11:BX11))))))</f>
        <v>0</v>
      </c>
      <c r="BZ11" s="3">
        <f>IF(AND($F$10=$F$11,$I$10&gt;SUM($K$10:BY10),BZ10&gt;($J$10/7)),"",IF(AND(BZ10&lt;&gt;0,$D$10=$D$11,$J$11&gt;(SUM($K$10:BY10))),"",(IF($I$11&gt;$J$11+(SUM($K$11:BY11)),$J$11,$I$11-(SUM($K$11:BY11))))))</f>
        <v>0</v>
      </c>
      <c r="CA11" s="3">
        <f>IF(AND($F$10=$F$11,$I$10&gt;SUM($K$10:BZ10),CA10&gt;($J$10/7)),"",IF(AND(CA10&lt;&gt;0,$D$10=$D$11,$J$11&gt;(SUM($K$10:BZ10))),"",(IF($I$11&gt;$J$11+(SUM($K$11:BZ11)),$J$11,$I$11-(SUM($K$11:BZ11))))))</f>
        <v>0</v>
      </c>
      <c r="CB11" s="3">
        <f>IF(AND($F$10=$F$11,$I$10&gt;SUM($K$10:CA10),CB10&gt;($J$10/7)),"",IF(AND(CB10&lt;&gt;0,$D$10=$D$11,$J$11&gt;(SUM($K$10:CA10))),"",(IF($I$11&gt;$J$11+(SUM($K$11:CA11)),$J$11,$I$11-(SUM($K$11:CA11))))))</f>
        <v>0</v>
      </c>
      <c r="CC11" s="3">
        <f>IF(AND($F$10=$F$11,$I$10&gt;SUM($K$10:CB10),CC10&gt;($J$10/7)),"",IF(AND(CC10&lt;&gt;0,$D$10=$D$11,$J$11&gt;(SUM($K$10:CB10))),"",(IF($I$11&gt;$J$11+(SUM($K$11:CB11)),$J$11,$I$11-(SUM($K$11:CB11))))))</f>
        <v>0</v>
      </c>
      <c r="CD11" s="3">
        <f>IF(AND($F$10=$F$11,$I$10&gt;SUM($K$10:CC10),CD10&gt;($J$10/7)),"",IF(AND(CD10&lt;&gt;0,$D$10=$D$11,$J$11&gt;(SUM($K$10:CC10))),"",(IF($I$11&gt;$J$11+(SUM($K$11:CC11)),$J$11,$I$11-(SUM($K$11:CC11))))))</f>
        <v>0</v>
      </c>
      <c r="CE11" s="3">
        <f>IF(AND($F$10=$F$11,$I$10&gt;SUM($K$10:CD10),CE10&gt;($J$10/7)),"",IF(AND(CE10&lt;&gt;0,$D$10=$D$11,$J$11&gt;(SUM($K$10:CD10))),"",(IF($I$11&gt;$J$11+(SUM($K$11:CD11)),$J$11,$I$11-(SUM($K$11:CD11))))))</f>
        <v>0</v>
      </c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</row>
    <row r="12" spans="1:251" x14ac:dyDescent="0.25">
      <c r="A12" s="6">
        <v>10</v>
      </c>
      <c r="B12" t="str">
        <f t="shared" si="3"/>
        <v/>
      </c>
      <c r="C12" t="str">
        <f t="shared" si="4"/>
        <v>0</v>
      </c>
      <c r="E12" s="101"/>
      <c r="F12" s="27"/>
      <c r="G12" s="2">
        <f t="shared" si="0"/>
        <v>0</v>
      </c>
      <c r="H12" s="9">
        <f t="shared" si="1"/>
        <v>0</v>
      </c>
      <c r="I12" s="2">
        <f t="shared" si="2"/>
        <v>0</v>
      </c>
      <c r="J12" s="2">
        <f t="shared" si="5"/>
        <v>0</v>
      </c>
      <c r="K12" t="str">
        <f>IF(F12=F11,"",IF(AND($D$12=$D$11,$J$12&gt;1),"",(IF($I$12&gt;$J$12,$J$12,$I$12))))</f>
        <v/>
      </c>
      <c r="L12" s="3">
        <f>IF(AND($F$11=$F$12,$I$11&gt;SUM($K$11:K11),L11&gt;($J$11/7)),"",IF(AND(L11&lt;&gt;0,$D$11=$D$12,$J$12&gt;(SUM($K$11:K11))),"",(IF($I$12&gt;$J$12+(SUM($K$12:K12)),$J$12,$I$12-(SUM($K$12:K12))))))</f>
        <v>0</v>
      </c>
      <c r="M12" s="3">
        <f>IF(AND($F$11=$F$12,$I$11&gt;SUM($K$11:L11),M11&gt;($J$11/7)),"",IF(AND(M11&lt;&gt;0,$D$11=$D$12,$J$12&gt;(SUM($K$11:L11))),"",(IF($I$12&gt;$J$12+(SUM($K$12:L12)),$J$12,$I$12-(SUM($K$12:L12))))))</f>
        <v>0</v>
      </c>
      <c r="N12" s="3">
        <f>IF(AND($F$11=$F$12,$I$11&gt;SUM($K$11:M11),N11&gt;($J$11/7)),"",IF(AND(N11&lt;&gt;0,$D$11=$D$12,$J$12&gt;(SUM($K$11:M11))),"",(IF($I$12&gt;$J$12+(SUM($K$12:M12)),$J$12,$I$12-(SUM($K$12:M12))))))</f>
        <v>0</v>
      </c>
      <c r="O12" s="3">
        <f>IF(AND($F$11=$F$12,$I$11&gt;SUM($K$11:N11),O11&gt;($J$11/7)),"",IF(AND(O11&lt;&gt;0,$D$11=$D$12,$J$12&gt;(SUM($K$11:N11))),"",(IF($I$12&gt;$J$12+(SUM($K$12:N12)),$J$12,$I$12-(SUM($K$12:N12))))))</f>
        <v>0</v>
      </c>
      <c r="P12" s="3">
        <f>IF(AND($F$11=$F$12,$I$11&gt;SUM($K$11:O11),P11&gt;($J$11/7)),"",IF(AND(P11&lt;&gt;0,$D$11=$D$12,$J$12&gt;(SUM($K$11:O11))),"",(IF($I$12&gt;$J$12+(SUM($K$12:O12)),$J$12,$I$12-(SUM($K$12:O12))))))</f>
        <v>0</v>
      </c>
      <c r="Q12" s="3">
        <f>IF(AND($F$11=$F$12,$I$11&gt;SUM($K$11:P11),Q11&gt;($J$11/7)),"",IF(AND(Q11&lt;&gt;0,$D$11=$D$12,$J$12&gt;(SUM($K$11:P11))),"",(IF($I$12&gt;$J$12+(SUM($K$12:P12)),$J$12,$I$12-(SUM($K$12:P12))))))</f>
        <v>0</v>
      </c>
      <c r="R12" s="3">
        <f>IF(AND($F$11=$F$12,$I$11&gt;SUM($K$11:Q11),R11&gt;($J$11/7)),"",IF(AND(R11&lt;&gt;0,$D$11=$D$12,$J$12&gt;(SUM($K$11:Q11))),"",(IF($I$12&gt;$J$12+(SUM($K$12:Q12)),$J$12,$I$12-(SUM($K$12:Q12))))))</f>
        <v>0</v>
      </c>
      <c r="S12" s="3">
        <f>IF(AND($F$11=$F$12,$I$11&gt;SUM($K$11:R11),S11&gt;($J$11/7)),"",IF(AND(S11&lt;&gt;0,$D$11=$D$12,$J$12&gt;(SUM($K$11:R11))),"",(IF($I$12&gt;$J$12+(SUM($K$12:R12)),$J$12,$I$12-(SUM($K$12:R12))))))</f>
        <v>0</v>
      </c>
      <c r="T12" s="3">
        <f>IF(AND($F$11=$F$12,$I$11&gt;SUM($K$11:S11),T11&gt;($J$11/7)),"",IF(AND(T11&lt;&gt;0,$D$11=$D$12,$J$12&gt;(SUM($K$11:S11))),"",(IF($I$12&gt;$J$12+(SUM($K$12:S12)),$J$12,$I$12-(SUM($K$12:S12))))))</f>
        <v>0</v>
      </c>
      <c r="U12" s="3">
        <f>IF(AND($F$11=$F$12,$I$11&gt;SUM($K$11:T11),U11&gt;($J$11/7)),"",IF(AND(U11&lt;&gt;0,$D$11=$D$12,$J$12&gt;(SUM($K$11:T11))),"",(IF($I$12&gt;$J$12+(SUM($K$12:T12)),$J$12,$I$12-(SUM($K$12:T12))))))</f>
        <v>0</v>
      </c>
      <c r="V12" s="3">
        <f>IF(AND($F$11=$F$12,$I$11&gt;SUM($K$11:U11),V11&gt;($J$11/7)),"",IF(AND(V11&lt;&gt;0,$D$11=$D$12,$J$12&gt;(SUM($K$11:U11))),"",(IF($I$12&gt;$J$12+(SUM($K$12:U12)),$J$12,$I$12-(SUM($K$12:U12))))))</f>
        <v>0</v>
      </c>
      <c r="W12" s="3">
        <f>IF(AND($F$11=$F$12,$I$11&gt;SUM($K$11:V11),W11&gt;($J$11/7)),"",IF(AND(W11&lt;&gt;0,$D$11=$D$12,$J$12&gt;(SUM($K$11:V11))),"",(IF($I$12&gt;$J$12+(SUM($K$12:V12)),$J$12,$I$12-(SUM($K$12:V12))))))</f>
        <v>0</v>
      </c>
      <c r="X12" s="3">
        <f>IF(AND($F$11=$F$12,$I$11&gt;SUM($K$11:W11),X11&gt;($J$11/7)),"",IF(AND(X11&lt;&gt;0,$D$11=$D$12,$J$12&gt;(SUM($K$11:W11))),"",(IF($I$12&gt;$J$12+(SUM($K$12:W12)),$J$12,$I$12-(SUM($K$12:W12))))))</f>
        <v>0</v>
      </c>
      <c r="Y12" s="3">
        <f>IF(AND($F$11=$F$12,$I$11&gt;SUM($K$11:X11),Y11&gt;($J$11/7)),"",IF(AND(Y11&lt;&gt;0,$D$11=$D$12,$J$12&gt;(SUM($K$11:X11))),"",(IF($I$12&gt;$J$12+(SUM($K$12:X12)),$J$12,$I$12-(SUM($K$12:X12))))))</f>
        <v>0</v>
      </c>
      <c r="Z12" s="3">
        <f>IF(AND($F$11=$F$12,$I$11&gt;SUM($K$11:Y11),Z11&gt;($J$11/7)),"",IF(AND(Z11&lt;&gt;0,$D$11=$D$12,$J$12&gt;(SUM($K$11:Y11))),"",(IF($I$12&gt;$J$12+(SUM($K$12:Y12)),$J$12,$I$12-(SUM($K$12:Y12))))))</f>
        <v>0</v>
      </c>
      <c r="AA12" s="3">
        <f>IF(AND($F$11=$F$12,$I$11&gt;SUM($K$11:Z11),AA11&gt;($J$11/7)),"",IF(AND(AA11&lt;&gt;0,$D$11=$D$12,$J$12&gt;(SUM($K$11:Z11))),"",(IF($I$12&gt;$J$12+(SUM($K$12:Z12)),$J$12,$I$12-(SUM($K$12:Z12))))))</f>
        <v>0</v>
      </c>
      <c r="AB12" s="3">
        <f>IF(AND($F$11=$F$12,$I$11&gt;SUM($K$11:AA11),AB11&gt;($J$11/7)),"",IF(AND(AB11&lt;&gt;0,$D$11=$D$12,$J$12&gt;(SUM($K$11:AA11))),"",(IF($I$12&gt;$J$12+(SUM($K$12:AA12)),$J$12,$I$12-(SUM($K$12:AA12))))))</f>
        <v>0</v>
      </c>
      <c r="AC12" s="3">
        <f>IF(AND($F$11=$F$12,$I$11&gt;SUM($K$11:AB11),AC11&gt;($J$11/7)),"",IF(AND(AC11&lt;&gt;0,$D$11=$D$12,$J$12&gt;(SUM($K$11:AB11))),"",(IF($I$12&gt;$J$12+(SUM($K$12:AB12)),$J$12,$I$12-(SUM($K$12:AB12))))))</f>
        <v>0</v>
      </c>
      <c r="AD12" s="3">
        <f>IF(AND($F$11=$F$12,$I$11&gt;SUM($K$11:AC11),AD11&gt;($J$11/7)),"",IF(AND(AD11&lt;&gt;0,$D$11=$D$12,$J$12&gt;(SUM($K$11:AC11))),"",(IF($I$12&gt;$J$12+(SUM($K$12:AC12)),$J$12,$I$12-(SUM($K$12:AC12))))))</f>
        <v>0</v>
      </c>
      <c r="AE12" s="3">
        <f>IF(AND($F$11=$F$12,$I$11&gt;SUM($K$11:AD11),AE11&gt;($J$11/7)),"",IF(AND(AE11&lt;&gt;0,$D$11=$D$12,$J$12&gt;(SUM($K$11:AD11))),"",(IF($I$12&gt;$J$12+(SUM($K$12:AD12)),$J$12,$I$12-(SUM($K$12:AD12))))))</f>
        <v>0</v>
      </c>
      <c r="AF12" s="3">
        <f>IF(AND($F$11=$F$12,$I$11&gt;SUM($K$11:AE11),AF11&gt;($J$11/7)),"",IF(AND(AF11&lt;&gt;0,$D$11=$D$12,$J$12&gt;(SUM($K$11:AE11))),"",(IF($I$12&gt;$J$12+(SUM($K$12:AE12)),$J$12,$I$12-(SUM($K$12:AE12))))))</f>
        <v>0</v>
      </c>
      <c r="AG12" s="3">
        <f>IF(AND($F$11=$F$12,$I$11&gt;SUM($K$11:AF11),AG11&gt;($J$11/7)),"",IF(AND(AG11&lt;&gt;0,$D$11=$D$12,$J$12&gt;(SUM($K$11:AF11))),"",(IF($I$12&gt;$J$12+(SUM($K$12:AF12)),$J$12,$I$12-(SUM($K$12:AF12))))))</f>
        <v>0</v>
      </c>
      <c r="AH12" s="3">
        <f>IF(AND($F$11=$F$12,$I$11&gt;SUM($K$11:AG11),AH11&gt;($J$11/7)),"",IF(AND(AH11&lt;&gt;0,$D$11=$D$12,$J$12&gt;(SUM($K$11:AG11))),"",(IF($I$12&gt;$J$12+(SUM($K$12:AG12)),$J$12,$I$12-(SUM($K$12:AG12))))))</f>
        <v>0</v>
      </c>
      <c r="AI12" s="3">
        <f>IF(AND($F$11=$F$12,$I$11&gt;SUM($K$11:AH11),AI11&gt;($J$11/7)),"",IF(AND(AI11&lt;&gt;0,$D$11=$D$12,$J$12&gt;(SUM($K$11:AH11))),"",(IF($I$12&gt;$J$12+(SUM($K$12:AH12)),$J$12,$I$12-(SUM($K$12:AH12))))))</f>
        <v>0</v>
      </c>
      <c r="AJ12" s="3">
        <f>IF(AND($F$11=$F$12,$I$11&gt;SUM($K$11:AI11),AJ11&gt;($J$11/7)),"",IF(AND(AJ11&lt;&gt;0,$D$11=$D$12,$J$12&gt;(SUM($K$11:AI11))),"",(IF($I$12&gt;$J$12+(SUM($K$12:AI12)),$J$12,$I$12-(SUM($K$12:AI12))))))</f>
        <v>0</v>
      </c>
      <c r="AK12" s="3">
        <f>IF(AND($F$11=$F$12,$I$11&gt;SUM($K$11:AJ11),AK11&gt;($J$11/7)),"",IF(AND(AK11&lt;&gt;0,$D$11=$D$12,$J$12&gt;(SUM($K$11:AJ11))),"",(IF($I$12&gt;$J$12+(SUM($K$12:AJ12)),$J$12,$I$12-(SUM($K$12:AJ12))))))</f>
        <v>0</v>
      </c>
      <c r="AL12" s="3">
        <f>IF(AND($F$11=$F$12,$I$11&gt;SUM($K$11:AK11),AL11&gt;($J$11/7)),"",IF(AND(AL11&lt;&gt;0,$D$11=$D$12,$J$12&gt;(SUM($K$11:AK11))),"",(IF($I$12&gt;$J$12+(SUM($K$12:AK12)),$J$12,$I$12-(SUM($K$12:AK12))))))</f>
        <v>0</v>
      </c>
      <c r="AM12" s="3">
        <f>IF(AND($F$11=$F$12,$I$11&gt;SUM($K$11:AL11),AM11&gt;($J$11/7)),"",IF(AND(AM11&lt;&gt;0,$D$11=$D$12,$J$12&gt;(SUM($K$11:AL11))),"",(IF($I$12&gt;$J$12+(SUM($K$12:AL12)),$J$12,$I$12-(SUM($K$12:AL12))))))</f>
        <v>0</v>
      </c>
      <c r="AN12" s="3">
        <f>IF(AND($F$11=$F$12,$I$11&gt;SUM($K$11:AM11),AN11&gt;($J$11/7)),"",IF(AND(AN11&lt;&gt;0,$D$11=$D$12,$J$12&gt;(SUM($K$11:AM11))),"",(IF($I$12&gt;$J$12+(SUM($K$12:AM12)),$J$12,$I$12-(SUM($K$12:AM12))))))</f>
        <v>0</v>
      </c>
      <c r="AO12" s="3">
        <f>IF(AND($F$11=$F$12,$I$11&gt;SUM($K$11:AN11),AO11&gt;($J$11/7)),"",IF(AND(AO11&lt;&gt;0,$D$11=$D$12,$J$12&gt;(SUM($K$11:AN11))),"",(IF($I$12&gt;$J$12+(SUM($K$12:AN12)),$J$12,$I$12-(SUM($K$12:AN12))))))</f>
        <v>0</v>
      </c>
      <c r="AP12" s="3">
        <f>IF(AND($F$11=$F$12,$I$11&gt;SUM($K$11:AO11),AP11&gt;($J$11/7)),"",IF(AND(AP11&lt;&gt;0,$D$11=$D$12,$J$12&gt;(SUM($K$11:AO11))),"",(IF($I$12&gt;$J$12+(SUM($K$12:AO12)),$J$12,$I$12-(SUM($K$12:AO12))))))</f>
        <v>0</v>
      </c>
      <c r="AQ12" s="3">
        <f>IF(AND($F$11=$F$12,$I$11&gt;SUM($K$11:AP11),AQ11&gt;($J$11/7)),"",IF(AND(AQ11&lt;&gt;0,$D$11=$D$12,$J$12&gt;(SUM($K$11:AP11))),"",(IF($I$12&gt;$J$12+(SUM($K$12:AP12)),$J$12,$I$12-(SUM($K$12:AP12))))))</f>
        <v>0</v>
      </c>
      <c r="AR12" s="3">
        <f>IF(AND($F$11=$F$12,$I$11&gt;SUM($K$11:AQ11),AR11&gt;($J$11/7)),"",IF(AND(AR11&lt;&gt;0,$D$11=$D$12,$J$12&gt;(SUM($K$11:AQ11))),"",(IF($I$12&gt;$J$12+(SUM($K$12:AQ12)),$J$12,$I$12-(SUM($K$12:AQ12))))))</f>
        <v>0</v>
      </c>
      <c r="AS12" s="3">
        <f>IF(AND($F$11=$F$12,$I$11&gt;SUM($K$11:AR11),AS11&gt;($J$11/7)),"",IF(AND(AS11&lt;&gt;0,$D$11=$D$12,$J$12&gt;(SUM($K$11:AR11))),"",(IF($I$12&gt;$J$12+(SUM($K$12:AR12)),$J$12,$I$12-(SUM($K$12:AR12))))))</f>
        <v>0</v>
      </c>
      <c r="AT12" s="3">
        <f>IF(AND($F$11=$F$12,$I$11&gt;SUM($K$11:AS11),AT11&gt;($J$11/7)),"",IF(AND(AT11&lt;&gt;0,$D$11=$D$12,$J$12&gt;(SUM($K$11:AS11))),"",(IF($I$12&gt;$J$12+(SUM($K$12:AS12)),$J$12,$I$12-(SUM($K$12:AS12))))))</f>
        <v>0</v>
      </c>
      <c r="AU12" s="3">
        <f>IF(AND($F$11=$F$12,$I$11&gt;SUM($K$11:AT11),AU11&gt;($J$11/7)),"",IF(AND(AU11&lt;&gt;0,$D$11=$D$12,$J$12&gt;(SUM($K$11:AT11))),"",(IF($I$12&gt;$J$12+(SUM($K$12:AT12)),$J$12,$I$12-(SUM($K$12:AT12))))))</f>
        <v>0</v>
      </c>
      <c r="AV12" s="3">
        <f>IF(AND($F$11=$F$12,$I$11&gt;SUM($K$11:AU11),AV11&gt;($J$11/7)),"",IF(AND(AV11&lt;&gt;0,$D$11=$D$12,$J$12&gt;(SUM($K$11:AU11))),"",(IF($I$12&gt;$J$12+(SUM($K$12:AU12)),$J$12,$I$12-(SUM($K$12:AU12))))))</f>
        <v>0</v>
      </c>
      <c r="AW12" s="3">
        <f>IF(AND($F$11=$F$12,$I$11&gt;SUM($K$11:AV11),AW11&gt;($J$11/7)),"",IF(AND(AW11&lt;&gt;0,$D$11=$D$12,$J$12&gt;(SUM($K$11:AV11))),"",(IF($I$12&gt;$J$12+(SUM($K$12:AV12)),$J$12,$I$12-(SUM($K$12:AV12))))))</f>
        <v>0</v>
      </c>
      <c r="AX12" s="3">
        <f>IF(AND($F$11=$F$12,$I$11&gt;SUM($K$11:AW11),AX11&gt;($J$11/7)),"",IF(AND(AX11&lt;&gt;0,$D$11=$D$12,$J$12&gt;(SUM($K$11:AW11))),"",(IF($I$12&gt;$J$12+(SUM($K$12:AW12)),$J$12,$I$12-(SUM($K$12:AW12))))))</f>
        <v>0</v>
      </c>
      <c r="AY12" s="3">
        <f>IF(AND($F$11=$F$12,$I$11&gt;SUM($K$11:AX11),AY11&gt;($J$11/7)),"",IF(AND(AY11&lt;&gt;0,$D$11=$D$12,$J$12&gt;(SUM($K$11:AX11))),"",(IF($I$12&gt;$J$12+(SUM($K$12:AX12)),$J$12,$I$12-(SUM($K$12:AX12))))))</f>
        <v>0</v>
      </c>
      <c r="AZ12" s="3">
        <f>IF(AND($F$11=$F$12,$I$11&gt;SUM($K$11:AY11),AZ11&gt;($J$11/7)),"",IF(AND(AZ11&lt;&gt;0,$D$11=$D$12,$J$12&gt;(SUM($K$11:AY11))),"",(IF($I$12&gt;$J$12+(SUM($K$12:AY12)),$J$12,$I$12-(SUM($K$12:AY12))))))</f>
        <v>0</v>
      </c>
      <c r="BA12" s="3">
        <f>IF(AND($F$11=$F$12,$I$11&gt;SUM($K$11:AZ11),BA11&gt;($J$11/7)),"",IF(AND(BA11&lt;&gt;0,$D$11=$D$12,$J$12&gt;(SUM($K$11:AZ11))),"",(IF($I$12&gt;$J$12+(SUM($K$12:AZ12)),$J$12,$I$12-(SUM($K$12:AZ12))))))</f>
        <v>0</v>
      </c>
      <c r="BB12" s="3">
        <f>IF(AND($F$11=$F$12,$I$11&gt;SUM($K$11:BA11),BB11&gt;($J$11/7)),"",IF(AND(BB11&lt;&gt;0,$D$11=$D$12,$J$12&gt;(SUM($K$11:BA11))),"",(IF($I$12&gt;$J$12+(SUM($K$12:BA12)),$J$12,$I$12-(SUM($K$12:BA12))))))</f>
        <v>0</v>
      </c>
      <c r="BC12" s="3">
        <f>IF(AND($F$11=$F$12,$I$11&gt;SUM($K$11:BB11),BC11&gt;($J$11/7)),"",IF(AND(BC11&lt;&gt;0,$D$11=$D$12,$J$12&gt;(SUM($K$11:BB11))),"",(IF($I$12&gt;$J$12+(SUM($K$12:BB12)),$J$12,$I$12-(SUM($K$12:BB12))))))</f>
        <v>0</v>
      </c>
      <c r="BD12" s="3">
        <f>IF(AND($F$11=$F$12,$I$11&gt;SUM($K$11:BC11),BD11&gt;($J$11/7)),"",IF(AND(BD11&lt;&gt;0,$D$11=$D$12,$J$12&gt;(SUM($K$11:BC11))),"",(IF($I$12&gt;$J$12+(SUM($K$12:BC12)),$J$12,$I$12-(SUM($K$12:BC12))))))</f>
        <v>0</v>
      </c>
      <c r="BE12" s="3">
        <f>IF(AND($F$11=$F$12,$I$11&gt;SUM($K$11:BD11),BE11&gt;($J$11/7)),"",IF(AND(BE11&lt;&gt;0,$D$11=$D$12,$J$12&gt;(SUM($K$11:BD11))),"",(IF($I$12&gt;$J$12+(SUM($K$12:BD12)),$J$12,$I$12-(SUM($K$12:BD12))))))</f>
        <v>0</v>
      </c>
      <c r="BF12" s="3">
        <f>IF(AND($F$11=$F$12,$I$11&gt;SUM($K$11:BE11),BF11&gt;($J$11/7)),"",IF(AND(BF11&lt;&gt;0,$D$11=$D$12,$J$12&gt;(SUM($K$11:BE11))),"",(IF($I$12&gt;$J$12+(SUM($K$12:BE12)),$J$12,$I$12-(SUM($K$12:BE12))))))</f>
        <v>0</v>
      </c>
      <c r="BG12" s="3">
        <f>IF(AND($F$11=$F$12,$I$11&gt;SUM($K$11:BF11),BG11&gt;($J$11/7)),"",IF(AND(BG11&lt;&gt;0,$D$11=$D$12,$J$12&gt;(SUM($K$11:BF11))),"",(IF($I$12&gt;$J$12+(SUM($K$12:BF12)),$J$12,$I$12-(SUM($K$12:BF12))))))</f>
        <v>0</v>
      </c>
      <c r="BH12" s="3">
        <f>IF(AND($F$11=$F$12,$I$11&gt;SUM($K$11:BG11),BH11&gt;($J$11/7)),"",IF(AND(BH11&lt;&gt;0,$D$11=$D$12,$J$12&gt;(SUM($K$11:BG11))),"",(IF($I$12&gt;$J$12+(SUM($K$12:BG12)),$J$12,$I$12-(SUM($K$12:BG12))))))</f>
        <v>0</v>
      </c>
      <c r="BI12" s="3">
        <f>IF(AND($F$11=$F$12,$I$11&gt;SUM($K$11:BH11),BI11&gt;($J$11/7)),"",IF(AND(BI11&lt;&gt;0,$D$11=$D$12,$J$12&gt;(SUM($K$11:BH11))),"",(IF($I$12&gt;$J$12+(SUM($K$12:BH12)),$J$12,$I$12-(SUM($K$12:BH12))))))</f>
        <v>0</v>
      </c>
      <c r="BJ12" s="3">
        <f>IF(AND($F$11=$F$12,$I$11&gt;SUM($K$11:BI11),BJ11&gt;($J$11/7)),"",IF(AND(BJ11&lt;&gt;0,$D$11=$D$12,$J$12&gt;(SUM($K$11:BI11))),"",(IF($I$12&gt;$J$12+(SUM($K$12:BI12)),$J$12,$I$12-(SUM($K$12:BI12))))))</f>
        <v>0</v>
      </c>
      <c r="BK12" s="3">
        <f>IF(AND($F$11=$F$12,$I$11&gt;SUM($K$11:BJ11),BK11&gt;($J$11/7)),"",IF(AND(BK11&lt;&gt;0,$D$11=$D$12,$J$12&gt;(SUM($K$11:BJ11))),"",(IF($I$12&gt;$J$12+(SUM($K$12:BJ12)),$J$12,$I$12-(SUM($K$12:BJ12))))))</f>
        <v>0</v>
      </c>
      <c r="BL12" s="3">
        <f>IF(AND($F$11=$F$12,$I$11&gt;SUM($K$11:BK11),BL11&gt;($J$11/7)),"",IF(AND(BL11&lt;&gt;0,$D$11=$D$12,$J$12&gt;(SUM($K$11:BK11))),"",(IF($I$12&gt;$J$12+(SUM($K$12:BK12)),$J$12,$I$12-(SUM($K$12:BK12))))))</f>
        <v>0</v>
      </c>
      <c r="BM12" s="3">
        <f>IF(AND($F$11=$F$12,$I$11&gt;SUM($K$11:BL11),BM11&gt;($J$11/7)),"",IF(AND(BM11&lt;&gt;0,$D$11=$D$12,$J$12&gt;(SUM($K$11:BL11))),"",(IF($I$12&gt;$J$12+(SUM($K$12:BL12)),$J$12,$I$12-(SUM($K$12:BL12))))))</f>
        <v>0</v>
      </c>
      <c r="BN12" s="3">
        <f>IF(AND($F$11=$F$12,$I$11&gt;SUM($K$11:BM11),BN11&gt;($J$11/7)),"",IF(AND(BN11&lt;&gt;0,$D$11=$D$12,$J$12&gt;(SUM($K$11:BM11))),"",(IF($I$12&gt;$J$12+(SUM($K$12:BM12)),$J$12,$I$12-(SUM($K$12:BM12))))))</f>
        <v>0</v>
      </c>
      <c r="BO12" s="3">
        <f>IF(AND($F$11=$F$12,$I$11&gt;SUM($K$11:BN11),BO11&gt;($J$11/7)),"",IF(AND(BO11&lt;&gt;0,$D$11=$D$12,$J$12&gt;(SUM($K$11:BN11))),"",(IF($I$12&gt;$J$12+(SUM($K$12:BN12)),$J$12,$I$12-(SUM($K$12:BN12))))))</f>
        <v>0</v>
      </c>
      <c r="BP12" s="3">
        <f>IF(AND($F$11=$F$12,$I$11&gt;SUM($K$11:BO11),BP11&gt;($J$11/7)),"",IF(AND(BP11&lt;&gt;0,$D$11=$D$12,$J$12&gt;(SUM($K$11:BO11))),"",(IF($I$12&gt;$J$12+(SUM($K$12:BO12)),$J$12,$I$12-(SUM($K$12:BO12))))))</f>
        <v>0</v>
      </c>
      <c r="BQ12" s="3">
        <f>IF(AND($F$11=$F$12,$I$11&gt;SUM($K$11:BP11),BQ11&gt;($J$11/7)),"",IF(AND(BQ11&lt;&gt;0,$D$11=$D$12,$J$12&gt;(SUM($K$11:BP11))),"",(IF($I$12&gt;$J$12+(SUM($K$12:BP12)),$J$12,$I$12-(SUM($K$12:BP12))))))</f>
        <v>0</v>
      </c>
      <c r="BR12" s="3">
        <f>IF(AND($F$11=$F$12,$I$11&gt;SUM($K$11:BQ11),BR11&gt;($J$11/7)),"",IF(AND(BR11&lt;&gt;0,$D$11=$D$12,$J$12&gt;(SUM($K$11:BQ11))),"",(IF($I$12&gt;$J$12+(SUM($K$12:BQ12)),$J$12,$I$12-(SUM($K$12:BQ12))))))</f>
        <v>0</v>
      </c>
      <c r="BS12" s="3">
        <f>IF(AND($F$11=$F$12,$I$11&gt;SUM($K$11:BR11),BS11&gt;($J$11/7)),"",IF(AND(BS11&lt;&gt;0,$D$11=$D$12,$J$12&gt;(SUM($K$11:BR11))),"",(IF($I$12&gt;$J$12+(SUM($K$12:BR12)),$J$12,$I$12-(SUM($K$12:BR12))))))</f>
        <v>0</v>
      </c>
      <c r="BT12" s="3">
        <f>IF(AND($F$11=$F$12,$I$11&gt;SUM($K$11:BS11),BT11&gt;($J$11/7)),"",IF(AND(BT11&lt;&gt;0,$D$11=$D$12,$J$12&gt;(SUM($K$11:BS11))),"",(IF($I$12&gt;$J$12+(SUM($K$12:BS12)),$J$12,$I$12-(SUM($K$12:BS12))))))</f>
        <v>0</v>
      </c>
      <c r="BU12" s="3">
        <f>IF(AND($F$11=$F$12,$I$11&gt;SUM($K$11:BT11),BU11&gt;($J$11/7)),"",IF(AND(BU11&lt;&gt;0,$D$11=$D$12,$J$12&gt;(SUM($K$11:BT11))),"",(IF($I$12&gt;$J$12+(SUM($K$12:BT12)),$J$12,$I$12-(SUM($K$12:BT12))))))</f>
        <v>0</v>
      </c>
      <c r="BV12" s="3">
        <f>IF(AND($F$11=$F$12,$I$11&gt;SUM($K$11:BU11),BV11&gt;($J$11/7)),"",IF(AND(BV11&lt;&gt;0,$D$11=$D$12,$J$12&gt;(SUM($K$11:BU11))),"",(IF($I$12&gt;$J$12+(SUM($K$12:BU12)),$J$12,$I$12-(SUM($K$12:BU12))))))</f>
        <v>0</v>
      </c>
      <c r="BW12" s="3">
        <f>IF(AND($F$11=$F$12,$I$11&gt;SUM($K$11:BV11),BW11&gt;($J$11/7)),"",IF(AND(BW11&lt;&gt;0,$D$11=$D$12,$J$12&gt;(SUM($K$11:BV11))),"",(IF($I$12&gt;$J$12+(SUM($K$12:BV12)),$J$12,$I$12-(SUM($K$12:BV12))))))</f>
        <v>0</v>
      </c>
      <c r="BX12" s="3">
        <f>IF(AND($F$11=$F$12,$I$11&gt;SUM($K$11:BW11),BX11&gt;($J$11/7)),"",IF(AND(BX11&lt;&gt;0,$D$11=$D$12,$J$12&gt;(SUM($K$11:BW11))),"",(IF($I$12&gt;$J$12+(SUM($K$12:BW12)),$J$12,$I$12-(SUM($K$12:BW12))))))</f>
        <v>0</v>
      </c>
      <c r="BY12" s="3">
        <f>IF(AND($F$11=$F$12,$I$11&gt;SUM($K$11:BX11),BY11&gt;($J$11/7)),"",IF(AND(BY11&lt;&gt;0,$D$11=$D$12,$J$12&gt;(SUM($K$11:BX11))),"",(IF($I$12&gt;$J$12+(SUM($K$12:BX12)),$J$12,$I$12-(SUM($K$12:BX12))))))</f>
        <v>0</v>
      </c>
      <c r="BZ12" s="3">
        <f>IF(AND($F$11=$F$12,$I$11&gt;SUM($K$11:BY11),BZ11&gt;($J$11/7)),"",IF(AND(BZ11&lt;&gt;0,$D$11=$D$12,$J$12&gt;(SUM($K$11:BY11))),"",(IF($I$12&gt;$J$12+(SUM($K$12:BY12)),$J$12,$I$12-(SUM($K$12:BY12))))))</f>
        <v>0</v>
      </c>
      <c r="CA12" s="3">
        <f>IF(AND($F$11=$F$12,$I$11&gt;SUM($K$11:BZ11),CA11&gt;($J$11/7)),"",IF(AND(CA11&lt;&gt;0,$D$11=$D$12,$J$12&gt;(SUM($K$11:BZ11))),"",(IF($I$12&gt;$J$12+(SUM($K$12:BZ12)),$J$12,$I$12-(SUM($K$12:BZ12))))))</f>
        <v>0</v>
      </c>
      <c r="CB12" s="3">
        <f>IF(AND($F$11=$F$12,$I$11&gt;SUM($K$11:CA11),CB11&gt;($J$11/7)),"",IF(AND(CB11&lt;&gt;0,$D$11=$D$12,$J$12&gt;(SUM($K$11:CA11))),"",(IF($I$12&gt;$J$12+(SUM($K$12:CA12)),$J$12,$I$12-(SUM($K$12:CA12))))))</f>
        <v>0</v>
      </c>
      <c r="CC12" s="3">
        <f>IF(AND($F$11=$F$12,$I$11&gt;SUM($K$11:CB11),CC11&gt;($J$11/7)),"",IF(AND(CC11&lt;&gt;0,$D$11=$D$12,$J$12&gt;(SUM($K$11:CB11))),"",(IF($I$12&gt;$J$12+(SUM($K$12:CB12)),$J$12,$I$12-(SUM($K$12:CB12))))))</f>
        <v>0</v>
      </c>
      <c r="CD12" s="3">
        <f>IF(AND($F$11=$F$12,$I$11&gt;SUM($K$11:CC11),CD11&gt;($J$11/7)),"",IF(AND(CD11&lt;&gt;0,$D$11=$D$12,$J$12&gt;(SUM($K$11:CC11))),"",(IF($I$12&gt;$J$12+(SUM($K$12:CC12)),$J$12,$I$12-(SUM($K$12:CC12))))))</f>
        <v>0</v>
      </c>
      <c r="CE12" s="3">
        <f>IF(AND($F$11=$F$12,$I$11&gt;SUM($K$11:CD11),CE11&gt;($J$11/7)),"",IF(AND(CE11&lt;&gt;0,$D$11=$D$12,$J$12&gt;(SUM($K$11:CD11))),"",(IF($I$12&gt;$J$12+(SUM($K$12:CD12)),$J$12,$I$12-(SUM($K$12:CD12))))))</f>
        <v>0</v>
      </c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</row>
    <row r="13" spans="1:251" x14ac:dyDescent="0.25">
      <c r="A13" s="6">
        <v>11</v>
      </c>
      <c r="B13" t="str">
        <f t="shared" si="3"/>
        <v/>
      </c>
      <c r="C13" t="str">
        <f t="shared" si="4"/>
        <v>0</v>
      </c>
      <c r="E13" s="101"/>
      <c r="F13" s="27"/>
      <c r="G13" s="2">
        <f t="shared" si="0"/>
        <v>0</v>
      </c>
      <c r="H13" s="9">
        <f t="shared" si="1"/>
        <v>0</v>
      </c>
      <c r="I13" s="2">
        <f t="shared" si="2"/>
        <v>0</v>
      </c>
      <c r="J13" s="2">
        <f t="shared" si="5"/>
        <v>0</v>
      </c>
      <c r="K13" t="str">
        <f>IF(F13=F12,"",IF(AND($D$13=$D$12,$J$13&gt;1),"",(IF($I$13&gt;$J$13,$J$13,$I$13))))</f>
        <v/>
      </c>
      <c r="L13" s="3">
        <f>IF(AND($F$12=$F$13,$I$12&gt;SUM($K$12:K12),L12&gt;($J$12/7)),"",IF(AND(L12&lt;&gt;0,$D$12=$D$13,$J$13&gt;(SUM($K$12:K12))),"",(IF($I$13&gt;$J$13+(SUM($K$13:K13)),$J$13,$I$13-(SUM($K$13:K13))))))</f>
        <v>0</v>
      </c>
      <c r="M13" s="3">
        <f>IF(AND($F$12=$F$13,$I$12&gt;SUM($K$12:L12),M12&gt;($J$12/7)),"",IF(AND(M12&lt;&gt;0,$D$12=$D$13,$J$13&gt;(SUM($K$12:L12))),"",(IF($I$13&gt;$J$13+(SUM($K$13:L13)),$J$13,$I$13-(SUM($K$13:L13))))))</f>
        <v>0</v>
      </c>
      <c r="N13" s="3">
        <f>IF(AND($F$12=$F$13,$I$12&gt;SUM($K$12:M12),N12&gt;($J$12/7)),"",IF(AND(N12&lt;&gt;0,$D$12=$D$13,$J$13&gt;(SUM($K$12:M12))),"",(IF($I$13&gt;$J$13+(SUM($K$13:M13)),$J$13,$I$13-(SUM($K$13:M13))))))</f>
        <v>0</v>
      </c>
      <c r="O13" s="3">
        <f>IF(AND($F$12=$F$13,$I$12&gt;SUM($K$12:N12),O12&gt;($J$12/7)),"",IF(AND(O12&lt;&gt;0,$D$12=$D$13,$J$13&gt;(SUM($K$12:N12))),"",(IF($I$13&gt;$J$13+(SUM($K$13:N13)),$J$13,$I$13-(SUM($K$13:N13))))))</f>
        <v>0</v>
      </c>
      <c r="P13" s="3">
        <f>IF(AND($F$12=$F$13,$I$12&gt;SUM($K$12:O12),P12&gt;($J$12/7)),"",IF(AND(P12&lt;&gt;0,$D$12=$D$13,$J$13&gt;(SUM($K$12:O12))),"",(IF($I$13&gt;$J$13+(SUM($K$13:O13)),$J$13,$I$13-(SUM($K$13:O13))))))</f>
        <v>0</v>
      </c>
      <c r="Q13" s="3">
        <f>IF(AND($F$12=$F$13,$I$12&gt;SUM($K$12:P12),Q12&gt;($J$12/7)),"",IF(AND(Q12&lt;&gt;0,$D$12=$D$13,$J$13&gt;(SUM($K$12:P12))),"",(IF($I$13&gt;$J$13+(SUM($K$13:P13)),$J$13,$I$13-(SUM($K$13:P13))))))</f>
        <v>0</v>
      </c>
      <c r="R13" s="3">
        <f>IF(AND($F$12=$F$13,$I$12&gt;SUM($K$12:Q12),R12&gt;($J$12/7)),"",IF(AND(R12&lt;&gt;0,$D$12=$D$13,$J$13&gt;(SUM($K$12:Q12))),"",(IF($I$13&gt;$J$13+(SUM($K$13:Q13)),$J$13,$I$13-(SUM($K$13:Q13))))))</f>
        <v>0</v>
      </c>
      <c r="S13" s="3">
        <f>IF(AND($F$12=$F$13,$I$12&gt;SUM($K$12:R12),S12&gt;($J$12/7)),"",IF(AND(S12&lt;&gt;0,$D$12=$D$13,$J$13&gt;(SUM($K$12:R12))),"",(IF($I$13&gt;$J$13+(SUM($K$13:R13)),$J$13,$I$13-(SUM($K$13:R13))))))</f>
        <v>0</v>
      </c>
      <c r="T13" s="3">
        <f>IF(AND($F$12=$F$13,$I$12&gt;SUM($K$12:S12),T12&gt;($J$12/7)),"",IF(AND(T12&lt;&gt;0,$D$12=$D$13,$J$13&gt;(SUM($K$12:S12))),"",(IF($I$13&gt;$J$13+(SUM($K$13:S13)),$J$13,$I$13-(SUM($K$13:S13))))))</f>
        <v>0</v>
      </c>
      <c r="U13" s="3">
        <f>IF(AND($F$12=$F$13,$I$12&gt;SUM($K$12:T12),U12&gt;($J$12/7)),"",IF(AND(U12&lt;&gt;0,$D$12=$D$13,$J$13&gt;(SUM($K$12:T12))),"",(IF($I$13&gt;$J$13+(SUM($K$13:T13)),$J$13,$I$13-(SUM($K$13:T13))))))</f>
        <v>0</v>
      </c>
      <c r="V13" s="3">
        <f>IF(AND($F$12=$F$13,$I$12&gt;SUM($K$12:U12),V12&gt;($J$12/7)),"",IF(AND(V12&lt;&gt;0,$D$12=$D$13,$J$13&gt;(SUM($K$12:U12))),"",(IF($I$13&gt;$J$13+(SUM($K$13:U13)),$J$13,$I$13-(SUM($K$13:U13))))))</f>
        <v>0</v>
      </c>
      <c r="W13" s="3">
        <f>IF(AND($F$12=$F$13,$I$12&gt;SUM($K$12:V12),W12&gt;($J$12/7)),"",IF(AND(W12&lt;&gt;0,$D$12=$D$13,$J$13&gt;(SUM($K$12:V12))),"",(IF($I$13&gt;$J$13+(SUM($K$13:V13)),$J$13,$I$13-(SUM($K$13:V13))))))</f>
        <v>0</v>
      </c>
      <c r="X13" s="3">
        <f>IF(AND($F$12=$F$13,$I$12&gt;SUM($K$12:W12),X12&gt;($J$12/7)),"",IF(AND(X12&lt;&gt;0,$D$12=$D$13,$J$13&gt;(SUM($K$12:W12))),"",(IF($I$13&gt;$J$13+(SUM($K$13:W13)),$J$13,$I$13-(SUM($K$13:W13))))))</f>
        <v>0</v>
      </c>
      <c r="Y13" s="3">
        <f>IF(AND($F$12=$F$13,$I$12&gt;SUM($K$12:X12),Y12&gt;($J$12/7)),"",IF(AND(Y12&lt;&gt;0,$D$12=$D$13,$J$13&gt;(SUM($K$12:X12))),"",(IF($I$13&gt;$J$13+(SUM($K$13:X13)),$J$13,$I$13-(SUM($K$13:X13))))))</f>
        <v>0</v>
      </c>
      <c r="Z13" s="3">
        <f>IF(AND($F$12=$F$13,$I$12&gt;SUM($K$12:Y12),Z12&gt;($J$12/7)),"",IF(AND(Z12&lt;&gt;0,$D$12=$D$13,$J$13&gt;(SUM($K$12:Y12))),"",(IF($I$13&gt;$J$13+(SUM($K$13:Y13)),$J$13,$I$13-(SUM($K$13:Y13))))))</f>
        <v>0</v>
      </c>
      <c r="AA13" s="3">
        <f>IF(AND($F$12=$F$13,$I$12&gt;SUM($K$12:Z12),AA12&gt;($J$12/7)),"",IF(AND(AA12&lt;&gt;0,$D$12=$D$13,$J$13&gt;(SUM($K$12:Z12))),"",(IF($I$13&gt;$J$13+(SUM($K$13:Z13)),$J$13,$I$13-(SUM($K$13:Z13))))))</f>
        <v>0</v>
      </c>
      <c r="AB13" s="3">
        <f>IF(AND($F$12=$F$13,$I$12&gt;SUM($K$12:AA12),AB12&gt;($J$12/7)),"",IF(AND(AB12&lt;&gt;0,$D$12=$D$13,$J$13&gt;(SUM($K$12:AA12))),"",(IF($I$13&gt;$J$13+(SUM($K$13:AA13)),$J$13,$I$13-(SUM($K$13:AA13))))))</f>
        <v>0</v>
      </c>
      <c r="AC13" s="3">
        <f>IF(AND($F$12=$F$13,$I$12&gt;SUM($K$12:AB12),AC12&gt;($J$12/7)),"",IF(AND(AC12&lt;&gt;0,$D$12=$D$13,$J$13&gt;(SUM($K$12:AB12))),"",(IF($I$13&gt;$J$13+(SUM($K$13:AB13)),$J$13,$I$13-(SUM($K$13:AB13))))))</f>
        <v>0</v>
      </c>
      <c r="AD13" s="3">
        <f>IF(AND($F$12=$F$13,$I$12&gt;SUM($K$12:AC12),AD12&gt;($J$12/7)),"",IF(AND(AD12&lt;&gt;0,$D$12=$D$13,$J$13&gt;(SUM($K$12:AC12))),"",(IF($I$13&gt;$J$13+(SUM($K$13:AC13)),$J$13,$I$13-(SUM($K$13:AC13))))))</f>
        <v>0</v>
      </c>
      <c r="AE13" s="3">
        <f>IF(AND($F$12=$F$13,$I$12&gt;SUM($K$12:AD12),AE12&gt;($J$12/7)),"",IF(AND(AE12&lt;&gt;0,$D$12=$D$13,$J$13&gt;(SUM($K$12:AD12))),"",(IF($I$13&gt;$J$13+(SUM($K$13:AD13)),$J$13,$I$13-(SUM($K$13:AD13))))))</f>
        <v>0</v>
      </c>
      <c r="AF13" s="3">
        <f>IF(AND($F$12=$F$13,$I$12&gt;SUM($K$12:AE12),AF12&gt;($J$12/7)),"",IF(AND(AF12&lt;&gt;0,$D$12=$D$13,$J$13&gt;(SUM($K$12:AE12))),"",(IF($I$13&gt;$J$13+(SUM($K$13:AE13)),$J$13,$I$13-(SUM($K$13:AE13))))))</f>
        <v>0</v>
      </c>
      <c r="AG13" s="3">
        <f>IF(AND($F$12=$F$13,$I$12&gt;SUM($K$12:AF12),AG12&gt;($J$12/7)),"",IF(AND(AG12&lt;&gt;0,$D$12=$D$13,$J$13&gt;(SUM($K$12:AF12))),"",(IF($I$13&gt;$J$13+(SUM($K$13:AF13)),$J$13,$I$13-(SUM($K$13:AF13))))))</f>
        <v>0</v>
      </c>
      <c r="AH13" s="3">
        <f>IF(AND($F$12=$F$13,$I$12&gt;SUM($K$12:AG12),AH12&gt;($J$12/7)),"",IF(AND(AH12&lt;&gt;0,$D$12=$D$13,$J$13&gt;(SUM($K$12:AG12))),"",(IF($I$13&gt;$J$13+(SUM($K$13:AG13)),$J$13,$I$13-(SUM($K$13:AG13))))))</f>
        <v>0</v>
      </c>
      <c r="AI13" s="3">
        <f>IF(AND($F$12=$F$13,$I$12&gt;SUM($K$12:AH12),AI12&gt;($J$12/7)),"",IF(AND(AI12&lt;&gt;0,$D$12=$D$13,$J$13&gt;(SUM($K$12:AH12))),"",(IF($I$13&gt;$J$13+(SUM($K$13:AH13)),$J$13,$I$13-(SUM($K$13:AH13))))))</f>
        <v>0</v>
      </c>
      <c r="AJ13" s="3">
        <f>IF(AND($F$12=$F$13,$I$12&gt;SUM($K$12:AI12),AJ12&gt;($J$12/7)),"",IF(AND(AJ12&lt;&gt;0,$D$12=$D$13,$J$13&gt;(SUM($K$12:AI12))),"",(IF($I$13&gt;$J$13+(SUM($K$13:AI13)),$J$13,$I$13-(SUM($K$13:AI13))))))</f>
        <v>0</v>
      </c>
      <c r="AK13" s="3">
        <f>IF(AND($F$12=$F$13,$I$12&gt;SUM($K$12:AJ12),AK12&gt;($J$12/7)),"",IF(AND(AK12&lt;&gt;0,$D$12=$D$13,$J$13&gt;(SUM($K$12:AJ12))),"",(IF($I$13&gt;$J$13+(SUM($K$13:AJ13)),$J$13,$I$13-(SUM($K$13:AJ13))))))</f>
        <v>0</v>
      </c>
      <c r="AL13" s="3">
        <f>IF(AND($F$12=$F$13,$I$12&gt;SUM($K$12:AK12),AL12&gt;($J$12/7)),"",IF(AND(AL12&lt;&gt;0,$D$12=$D$13,$J$13&gt;(SUM($K$12:AK12))),"",(IF($I$13&gt;$J$13+(SUM($K$13:AK13)),$J$13,$I$13-(SUM($K$13:AK13))))))</f>
        <v>0</v>
      </c>
      <c r="AM13" s="3">
        <f>IF(AND($F$12=$F$13,$I$12&gt;SUM($K$12:AL12),AM12&gt;($J$12/7)),"",IF(AND(AM12&lt;&gt;0,$D$12=$D$13,$J$13&gt;(SUM($K$12:AL12))),"",(IF($I$13&gt;$J$13+(SUM($K$13:AL13)),$J$13,$I$13-(SUM($K$13:AL13))))))</f>
        <v>0</v>
      </c>
      <c r="AN13" s="3">
        <f>IF(AND($F$12=$F$13,$I$12&gt;SUM($K$12:AM12),AN12&gt;($J$12/7)),"",IF(AND(AN12&lt;&gt;0,$D$12=$D$13,$J$13&gt;(SUM($K$12:AM12))),"",(IF($I$13&gt;$J$13+(SUM($K$13:AM13)),$J$13,$I$13-(SUM($K$13:AM13))))))</f>
        <v>0</v>
      </c>
      <c r="AO13" s="3">
        <f>IF(AND($F$12=$F$13,$I$12&gt;SUM($K$12:AN12),AO12&gt;($J$12/7)),"",IF(AND(AO12&lt;&gt;0,$D$12=$D$13,$J$13&gt;(SUM($K$12:AN12))),"",(IF($I$13&gt;$J$13+(SUM($K$13:AN13)),$J$13,$I$13-(SUM($K$13:AN13))))))</f>
        <v>0</v>
      </c>
      <c r="AP13" s="3">
        <f>IF(AND($F$12=$F$13,$I$12&gt;SUM($K$12:AO12),AP12&gt;($J$12/7)),"",IF(AND(AP12&lt;&gt;0,$D$12=$D$13,$J$13&gt;(SUM($K$12:AO12))),"",(IF($I$13&gt;$J$13+(SUM($K$13:AO13)),$J$13,$I$13-(SUM($K$13:AO13))))))</f>
        <v>0</v>
      </c>
      <c r="AQ13" s="3">
        <f>IF(AND($F$12=$F$13,$I$12&gt;SUM($K$12:AP12),AQ12&gt;($J$12/7)),"",IF(AND(AQ12&lt;&gt;0,$D$12=$D$13,$J$13&gt;(SUM($K$12:AP12))),"",(IF($I$13&gt;$J$13+(SUM($K$13:AP13)),$J$13,$I$13-(SUM($K$13:AP13))))))</f>
        <v>0</v>
      </c>
      <c r="AR13" s="3">
        <f>IF(AND($F$12=$F$13,$I$12&gt;SUM($K$12:AQ12),AR12&gt;($J$12/7)),"",IF(AND(AR12&lt;&gt;0,$D$12=$D$13,$J$13&gt;(SUM($K$12:AQ12))),"",(IF($I$13&gt;$J$13+(SUM($K$13:AQ13)),$J$13,$I$13-(SUM($K$13:AQ13))))))</f>
        <v>0</v>
      </c>
      <c r="AS13" s="3">
        <f>IF(AND($F$12=$F$13,$I$12&gt;SUM($K$12:AR12),AS12&gt;($J$12/7)),"",IF(AND(AS12&lt;&gt;0,$D$12=$D$13,$J$13&gt;(SUM($K$12:AR12))),"",(IF($I$13&gt;$J$13+(SUM($K$13:AR13)),$J$13,$I$13-(SUM($K$13:AR13))))))</f>
        <v>0</v>
      </c>
      <c r="AT13" s="3">
        <f>IF(AND($F$12=$F$13,$I$12&gt;SUM($K$12:AS12),AT12&gt;($J$12/7)),"",IF(AND(AT12&lt;&gt;0,$D$12=$D$13,$J$13&gt;(SUM($K$12:AS12))),"",(IF($I$13&gt;$J$13+(SUM($K$13:AS13)),$J$13,$I$13-(SUM($K$13:AS13))))))</f>
        <v>0</v>
      </c>
      <c r="AU13" s="3">
        <f>IF(AND($F$12=$F$13,$I$12&gt;SUM($K$12:AT12),AU12&gt;($J$12/7)),"",IF(AND(AU12&lt;&gt;0,$D$12=$D$13,$J$13&gt;(SUM($K$12:AT12))),"",(IF($I$13&gt;$J$13+(SUM($K$13:AT13)),$J$13,$I$13-(SUM($K$13:AT13))))))</f>
        <v>0</v>
      </c>
      <c r="AV13" s="3">
        <f>IF(AND($F$12=$F$13,$I$12&gt;SUM($K$12:AU12),AV12&gt;($J$12/7)),"",IF(AND(AV12&lt;&gt;0,$D$12=$D$13,$J$13&gt;(SUM($K$12:AU12))),"",(IF($I$13&gt;$J$13+(SUM($K$13:AU13)),$J$13,$I$13-(SUM($K$13:AU13))))))</f>
        <v>0</v>
      </c>
      <c r="AW13" s="3">
        <f>IF(AND($F$12=$F$13,$I$12&gt;SUM($K$12:AV12),AW12&gt;($J$12/7)),"",IF(AND(AW12&lt;&gt;0,$D$12=$D$13,$J$13&gt;(SUM($K$12:AV12))),"",(IF($I$13&gt;$J$13+(SUM($K$13:AV13)),$J$13,$I$13-(SUM($K$13:AV13))))))</f>
        <v>0</v>
      </c>
      <c r="AX13" s="3">
        <f>IF(AND($F$12=$F$13,$I$12&gt;SUM($K$12:AW12),AX12&gt;($J$12/7)),"",IF(AND(AX12&lt;&gt;0,$D$12=$D$13,$J$13&gt;(SUM($K$12:AW12))),"",(IF($I$13&gt;$J$13+(SUM($K$13:AW13)),$J$13,$I$13-(SUM($K$13:AW13))))))</f>
        <v>0</v>
      </c>
      <c r="AY13" s="3">
        <f>IF(AND($F$12=$F$13,$I$12&gt;SUM($K$12:AX12),AY12&gt;($J$12/7)),"",IF(AND(AY12&lt;&gt;0,$D$12=$D$13,$J$13&gt;(SUM($K$12:AX12))),"",(IF($I$13&gt;$J$13+(SUM($K$13:AX13)),$J$13,$I$13-(SUM($K$13:AX13))))))</f>
        <v>0</v>
      </c>
      <c r="AZ13" s="3">
        <f>IF(AND($F$12=$F$13,$I$12&gt;SUM($K$12:AY12),AZ12&gt;($J$12/7)),"",IF(AND(AZ12&lt;&gt;0,$D$12=$D$13,$J$13&gt;(SUM($K$12:AY12))),"",(IF($I$13&gt;$J$13+(SUM($K$13:AY13)),$J$13,$I$13-(SUM($K$13:AY13))))))</f>
        <v>0</v>
      </c>
      <c r="BA13" s="3">
        <f>IF(AND($F$12=$F$13,$I$12&gt;SUM($K$12:AZ12),BA12&gt;($J$12/7)),"",IF(AND(BA12&lt;&gt;0,$D$12=$D$13,$J$13&gt;(SUM($K$12:AZ12))),"",(IF($I$13&gt;$J$13+(SUM($K$13:AZ13)),$J$13,$I$13-(SUM($K$13:AZ13))))))</f>
        <v>0</v>
      </c>
      <c r="BB13" s="3">
        <f>IF(AND($F$12=$F$13,$I$12&gt;SUM($K$12:BA12),BB12&gt;($J$12/7)),"",IF(AND(BB12&lt;&gt;0,$D$12=$D$13,$J$13&gt;(SUM($K$12:BA12))),"",(IF($I$13&gt;$J$13+(SUM($K$13:BA13)),$J$13,$I$13-(SUM($K$13:BA13))))))</f>
        <v>0</v>
      </c>
      <c r="BC13" s="3">
        <f>IF(AND($F$12=$F$13,$I$12&gt;SUM($K$12:BB12),BC12&gt;($J$12/7)),"",IF(AND(BC12&lt;&gt;0,$D$12=$D$13,$J$13&gt;(SUM($K$12:BB12))),"",(IF($I$13&gt;$J$13+(SUM($K$13:BB13)),$J$13,$I$13-(SUM($K$13:BB13))))))</f>
        <v>0</v>
      </c>
      <c r="BD13" s="3">
        <f>IF(AND($F$12=$F$13,$I$12&gt;SUM($K$12:BC12),BD12&gt;($J$12/7)),"",IF(AND(BD12&lt;&gt;0,$D$12=$D$13,$J$13&gt;(SUM($K$12:BC12))),"",(IF($I$13&gt;$J$13+(SUM($K$13:BC13)),$J$13,$I$13-(SUM($K$13:BC13))))))</f>
        <v>0</v>
      </c>
      <c r="BE13" s="3">
        <f>IF(AND($F$12=$F$13,$I$12&gt;SUM($K$12:BD12),BE12&gt;($J$12/7)),"",IF(AND(BE12&lt;&gt;0,$D$12=$D$13,$J$13&gt;(SUM($K$12:BD12))),"",(IF($I$13&gt;$J$13+(SUM($K$13:BD13)),$J$13,$I$13-(SUM($K$13:BD13))))))</f>
        <v>0</v>
      </c>
      <c r="BF13" s="3">
        <f>IF(AND($F$12=$F$13,$I$12&gt;SUM($K$12:BE12),BF12&gt;($J$12/7)),"",IF(AND(BF12&lt;&gt;0,$D$12=$D$13,$J$13&gt;(SUM($K$12:BE12))),"",(IF($I$13&gt;$J$13+(SUM($K$13:BE13)),$J$13,$I$13-(SUM($K$13:BE13))))))</f>
        <v>0</v>
      </c>
      <c r="BG13" s="3">
        <f>IF(AND($F$12=$F$13,$I$12&gt;SUM($K$12:BF12),BG12&gt;($J$12/7)),"",IF(AND(BG12&lt;&gt;0,$D$12=$D$13,$J$13&gt;(SUM($K$12:BF12))),"",(IF($I$13&gt;$J$13+(SUM($K$13:BF13)),$J$13,$I$13-(SUM($K$13:BF13))))))</f>
        <v>0</v>
      </c>
      <c r="BH13" s="3">
        <f>IF(AND($F$12=$F$13,$I$12&gt;SUM($K$12:BG12),BH12&gt;($J$12/7)),"",IF(AND(BH12&lt;&gt;0,$D$12=$D$13,$J$13&gt;(SUM($K$12:BG12))),"",(IF($I$13&gt;$J$13+(SUM($K$13:BG13)),$J$13,$I$13-(SUM($K$13:BG13))))))</f>
        <v>0</v>
      </c>
      <c r="BI13" s="3">
        <f>IF(AND($F$12=$F$13,$I$12&gt;SUM($K$12:BH12),BI12&gt;($J$12/7)),"",IF(AND(BI12&lt;&gt;0,$D$12=$D$13,$J$13&gt;(SUM($K$12:BH12))),"",(IF($I$13&gt;$J$13+(SUM($K$13:BH13)),$J$13,$I$13-(SUM($K$13:BH13))))))</f>
        <v>0</v>
      </c>
      <c r="BJ13" s="3">
        <f>IF(AND($F$12=$F$13,$I$12&gt;SUM($K$12:BI12),BJ12&gt;($J$12/7)),"",IF(AND(BJ12&lt;&gt;0,$D$12=$D$13,$J$13&gt;(SUM($K$12:BI12))),"",(IF($I$13&gt;$J$13+(SUM($K$13:BI13)),$J$13,$I$13-(SUM($K$13:BI13))))))</f>
        <v>0</v>
      </c>
      <c r="BK13" s="3">
        <f>IF(AND($F$12=$F$13,$I$12&gt;SUM($K$12:BJ12),BK12&gt;($J$12/7)),"",IF(AND(BK12&lt;&gt;0,$D$12=$D$13,$J$13&gt;(SUM($K$12:BJ12))),"",(IF($I$13&gt;$J$13+(SUM($K$13:BJ13)),$J$13,$I$13-(SUM($K$13:BJ13))))))</f>
        <v>0</v>
      </c>
      <c r="BL13" s="3">
        <f>IF(AND($F$12=$F$13,$I$12&gt;SUM($K$12:BK12),BL12&gt;($J$12/7)),"",IF(AND(BL12&lt;&gt;0,$D$12=$D$13,$J$13&gt;(SUM($K$12:BK12))),"",(IF($I$13&gt;$J$13+(SUM($K$13:BK13)),$J$13,$I$13-(SUM($K$13:BK13))))))</f>
        <v>0</v>
      </c>
      <c r="BM13" s="3">
        <f>IF(AND($F$12=$F$13,$I$12&gt;SUM($K$12:BL12),BM12&gt;($J$12/7)),"",IF(AND(BM12&lt;&gt;0,$D$12=$D$13,$J$13&gt;(SUM($K$12:BL12))),"",(IF($I$13&gt;$J$13+(SUM($K$13:BL13)),$J$13,$I$13-(SUM($K$13:BL13))))))</f>
        <v>0</v>
      </c>
      <c r="BN13" s="3">
        <f>IF(AND($F$12=$F$13,$I$12&gt;SUM($K$12:BM12),BN12&gt;($J$12/7)),"",IF(AND(BN12&lt;&gt;0,$D$12=$D$13,$J$13&gt;(SUM($K$12:BM12))),"",(IF($I$13&gt;$J$13+(SUM($K$13:BM13)),$J$13,$I$13-(SUM($K$13:BM13))))))</f>
        <v>0</v>
      </c>
      <c r="BO13" s="3">
        <f>IF(AND($F$12=$F$13,$I$12&gt;SUM($K$12:BN12),BO12&gt;($J$12/7)),"",IF(AND(BO12&lt;&gt;0,$D$12=$D$13,$J$13&gt;(SUM($K$12:BN12))),"",(IF($I$13&gt;$J$13+(SUM($K$13:BN13)),$J$13,$I$13-(SUM($K$13:BN13))))))</f>
        <v>0</v>
      </c>
      <c r="BP13" s="3">
        <f>IF(AND($F$12=$F$13,$I$12&gt;SUM($K$12:BO12),BP12&gt;($J$12/7)),"",IF(AND(BP12&lt;&gt;0,$D$12=$D$13,$J$13&gt;(SUM($K$12:BO12))),"",(IF($I$13&gt;$J$13+(SUM($K$13:BO13)),$J$13,$I$13-(SUM($K$13:BO13))))))</f>
        <v>0</v>
      </c>
      <c r="BQ13" s="3">
        <f>IF(AND($F$12=$F$13,$I$12&gt;SUM($K$12:BP12),BQ12&gt;($J$12/7)),"",IF(AND(BQ12&lt;&gt;0,$D$12=$D$13,$J$13&gt;(SUM($K$12:BP12))),"",(IF($I$13&gt;$J$13+(SUM($K$13:BP13)),$J$13,$I$13-(SUM($K$13:BP13))))))</f>
        <v>0</v>
      </c>
      <c r="BR13" s="3">
        <f>IF(AND($F$12=$F$13,$I$12&gt;SUM($K$12:BQ12),BR12&gt;($J$12/7)),"",IF(AND(BR12&lt;&gt;0,$D$12=$D$13,$J$13&gt;(SUM($K$12:BQ12))),"",(IF($I$13&gt;$J$13+(SUM($K$13:BQ13)),$J$13,$I$13-(SUM($K$13:BQ13))))))</f>
        <v>0</v>
      </c>
      <c r="BS13" s="3">
        <f>IF(AND($F$12=$F$13,$I$12&gt;SUM($K$12:BR12),BS12&gt;($J$12/7)),"",IF(AND(BS12&lt;&gt;0,$D$12=$D$13,$J$13&gt;(SUM($K$12:BR12))),"",(IF($I$13&gt;$J$13+(SUM($K$13:BR13)),$J$13,$I$13-(SUM($K$13:BR13))))))</f>
        <v>0</v>
      </c>
      <c r="BT13" s="3">
        <f>IF(AND($F$12=$F$13,$I$12&gt;SUM($K$12:BS12),BT12&gt;($J$12/7)),"",IF(AND(BT12&lt;&gt;0,$D$12=$D$13,$J$13&gt;(SUM($K$12:BS12))),"",(IF($I$13&gt;$J$13+(SUM($K$13:BS13)),$J$13,$I$13-(SUM($K$13:BS13))))))</f>
        <v>0</v>
      </c>
      <c r="BU13" s="3">
        <f>IF(AND($F$12=$F$13,$I$12&gt;SUM($K$12:BT12),BU12&gt;($J$12/7)),"",IF(AND(BU12&lt;&gt;0,$D$12=$D$13,$J$13&gt;(SUM($K$12:BT12))),"",(IF($I$13&gt;$J$13+(SUM($K$13:BT13)),$J$13,$I$13-(SUM($K$13:BT13))))))</f>
        <v>0</v>
      </c>
      <c r="BV13" s="3">
        <f>IF(AND($F$12=$F$13,$I$12&gt;SUM($K$12:BU12),BV12&gt;($J$12/7)),"",IF(AND(BV12&lt;&gt;0,$D$12=$D$13,$J$13&gt;(SUM($K$12:BU12))),"",(IF($I$13&gt;$J$13+(SUM($K$13:BU13)),$J$13,$I$13-(SUM($K$13:BU13))))))</f>
        <v>0</v>
      </c>
      <c r="BW13" s="3">
        <f>IF(AND($F$12=$F$13,$I$12&gt;SUM($K$12:BV12),BW12&gt;($J$12/7)),"",IF(AND(BW12&lt;&gt;0,$D$12=$D$13,$J$13&gt;(SUM($K$12:BV12))),"",(IF($I$13&gt;$J$13+(SUM($K$13:BV13)),$J$13,$I$13-(SUM($K$13:BV13))))))</f>
        <v>0</v>
      </c>
      <c r="BX13" s="3">
        <f>IF(AND($F$12=$F$13,$I$12&gt;SUM($K$12:BW12),BX12&gt;($J$12/7)),"",IF(AND(BX12&lt;&gt;0,$D$12=$D$13,$J$13&gt;(SUM($K$12:BW12))),"",(IF($I$13&gt;$J$13+(SUM($K$13:BW13)),$J$13,$I$13-(SUM($K$13:BW13))))))</f>
        <v>0</v>
      </c>
      <c r="BY13" s="3">
        <f>IF(AND($F$12=$F$13,$I$12&gt;SUM($K$12:BX12),BY12&gt;($J$12/7)),"",IF(AND(BY12&lt;&gt;0,$D$12=$D$13,$J$13&gt;(SUM($K$12:BX12))),"",(IF($I$13&gt;$J$13+(SUM($K$13:BX13)),$J$13,$I$13-(SUM($K$13:BX13))))))</f>
        <v>0</v>
      </c>
      <c r="BZ13" s="3">
        <f>IF(AND($F$12=$F$13,$I$12&gt;SUM($K$12:BY12),BZ12&gt;($J$12/7)),"",IF(AND(BZ12&lt;&gt;0,$D$12=$D$13,$J$13&gt;(SUM($K$12:BY12))),"",(IF($I$13&gt;$J$13+(SUM($K$13:BY13)),$J$13,$I$13-(SUM($K$13:BY13))))))</f>
        <v>0</v>
      </c>
      <c r="CA13" s="3">
        <f>IF(AND($F$12=$F$13,$I$12&gt;SUM($K$12:BZ12),CA12&gt;($J$12/7)),"",IF(AND(CA12&lt;&gt;0,$D$12=$D$13,$J$13&gt;(SUM($K$12:BZ12))),"",(IF($I$13&gt;$J$13+(SUM($K$13:BZ13)),$J$13,$I$13-(SUM($K$13:BZ13))))))</f>
        <v>0</v>
      </c>
      <c r="CB13" s="3">
        <f>IF(AND($F$12=$F$13,$I$12&gt;SUM($K$12:CA12),CB12&gt;($J$12/7)),"",IF(AND(CB12&lt;&gt;0,$D$12=$D$13,$J$13&gt;(SUM($K$12:CA12))),"",(IF($I$13&gt;$J$13+(SUM($K$13:CA13)),$J$13,$I$13-(SUM($K$13:CA13))))))</f>
        <v>0</v>
      </c>
      <c r="CC13" s="3">
        <f>IF(AND($F$12=$F$13,$I$12&gt;SUM($K$12:CB12),CC12&gt;($J$12/7)),"",IF(AND(CC12&lt;&gt;0,$D$12=$D$13,$J$13&gt;(SUM($K$12:CB12))),"",(IF($I$13&gt;$J$13+(SUM($K$13:CB13)),$J$13,$I$13-(SUM($K$13:CB13))))))</f>
        <v>0</v>
      </c>
      <c r="CD13" s="3">
        <f>IF(AND($F$12=$F$13,$I$12&gt;SUM($K$12:CC12),CD12&gt;($J$12/7)),"",IF(AND(CD12&lt;&gt;0,$D$12=$D$13,$J$13&gt;(SUM($K$12:CC12))),"",(IF($I$13&gt;$J$13+(SUM($K$13:CC13)),$J$13,$I$13-(SUM($K$13:CC13))))))</f>
        <v>0</v>
      </c>
      <c r="CE13" s="3">
        <f>IF(AND($F$12=$F$13,$I$12&gt;SUM($K$12:CD12),CE12&gt;($J$12/7)),"",IF(AND(CE12&lt;&gt;0,$D$12=$D$13,$J$13&gt;(SUM($K$12:CD12))),"",(IF($I$13&gt;$J$13+(SUM($K$13:CD13)),$J$13,$I$13-(SUM($K$13:CD13))))))</f>
        <v>0</v>
      </c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</row>
    <row r="14" spans="1:251" x14ac:dyDescent="0.25">
      <c r="A14" s="6">
        <v>12</v>
      </c>
      <c r="B14" t="str">
        <f t="shared" si="3"/>
        <v/>
      </c>
      <c r="C14" t="str">
        <f t="shared" si="4"/>
        <v>0</v>
      </c>
      <c r="E14" s="101"/>
      <c r="F14" s="27"/>
      <c r="G14" s="2">
        <f t="shared" si="0"/>
        <v>0</v>
      </c>
      <c r="H14" s="9">
        <f t="shared" si="1"/>
        <v>0</v>
      </c>
      <c r="I14" s="2">
        <f t="shared" si="2"/>
        <v>0</v>
      </c>
      <c r="J14" s="2">
        <f t="shared" si="5"/>
        <v>0</v>
      </c>
      <c r="K14" t="str">
        <f t="shared" ref="K14:K23" si="6">IF(F14=F13,"",IF(AND(D14=D13,J14&gt;1),"",(IF(I14&gt;J14,J14,I14))))</f>
        <v/>
      </c>
      <c r="L14" s="3">
        <f>IF(AND($F$13=$F$14,$I$13&gt;SUM($K$13:K13),L13&gt;($J$13/7)),"",IF(AND(L13&lt;&gt;0,$D$13=$D$14,$J$14&gt;(SUM($K$13:K13))),"",(IF($I$14&gt;$J$14+(SUM($K$14:K14)),$J$14,$I$14-(SUM($K$14:K14))))))</f>
        <v>0</v>
      </c>
      <c r="M14" s="3">
        <f>IF(AND($F$13=$F$14,$I$13&gt;SUM($K$13:L13),M13&gt;($J$13/7)),"",IF(AND(M13&lt;&gt;0,$D$13=$D$14,$J$14&gt;(SUM($K$13:L13))),"",(IF($I$14&gt;$J$14+(SUM($K$14:L14)),$J$14,$I$14-(SUM($K$14:L14))))))</f>
        <v>0</v>
      </c>
      <c r="N14" s="3">
        <f>IF(AND($F$13=$F$14,$I$13&gt;SUM($K$13:M13),N13&gt;($J$13/7)),"",IF(AND(N13&lt;&gt;0,$D$13=$D$14,$J$14&gt;(SUM($K$13:M13))),"",(IF($I$14&gt;$J$14+(SUM($K$14:M14)),$J$14,$I$14-(SUM($K$14:M14))))))</f>
        <v>0</v>
      </c>
      <c r="O14" s="3">
        <f>IF(AND($F$13=$F$14,$I$13&gt;SUM($K$13:N13),O13&gt;($J$13/7)),"",IF(AND(O13&lt;&gt;0,$D$13=$D$14,$J$14&gt;(SUM($K$13:N13))),"",(IF($I$14&gt;$J$14+(SUM($K$14:N14)),$J$14,$I$14-(SUM($K$14:N14))))))</f>
        <v>0</v>
      </c>
      <c r="P14" s="3">
        <f>IF(AND($F$13=$F$14,$I$13&gt;SUM($K$13:O13),P13&gt;($J$13/7)),"",IF(AND(P13&lt;&gt;0,$D$13=$D$14,$J$14&gt;(SUM($K$13:O13))),"",(IF($I$14&gt;$J$14+(SUM($K$14:O14)),$J$14,$I$14-(SUM($K$14:O14))))))</f>
        <v>0</v>
      </c>
      <c r="Q14" s="3">
        <f>IF(AND($F$13=$F$14,$I$13&gt;SUM($K$13:P13),Q13&gt;($J$13/7)),"",IF(AND(Q13&lt;&gt;0,$D$13=$D$14,$J$14&gt;(SUM($K$13:P13))),"",(IF($I$14&gt;$J$14+(SUM($K$14:P14)),$J$14,$I$14-(SUM($K$14:P14))))))</f>
        <v>0</v>
      </c>
      <c r="R14" s="3">
        <f>IF(AND($F$13=$F$14,$I$13&gt;SUM($K$13:Q13),R13&gt;($J$13/7)),"",IF(AND(R13&lt;&gt;0,$D$13=$D$14,$J$14&gt;(SUM($K$13:Q13))),"",(IF($I$14&gt;$J$14+(SUM($K$14:Q14)),$J$14,$I$14-(SUM($K$14:Q14))))))</f>
        <v>0</v>
      </c>
      <c r="S14" s="3">
        <f>IF(AND($F$13=$F$14,$I$13&gt;SUM($K$13:R13),S13&gt;($J$13/7)),"",IF(AND(S13&lt;&gt;0,$D$13=$D$14,$J$14&gt;(SUM($K$13:R13))),"",(IF($I$14&gt;$J$14+(SUM($K$14:R14)),$J$14,$I$14-(SUM($K$14:R14))))))</f>
        <v>0</v>
      </c>
      <c r="T14" s="3">
        <f>IF(AND($F$13=$F$14,$I$13&gt;SUM($K$13:S13),T13&gt;($J$13/7)),"",IF(AND(T13&lt;&gt;0,$D$13=$D$14,$J$14&gt;(SUM($K$13:S13))),"",(IF($I$14&gt;$J$14+(SUM($K$14:S14)),$J$14,$I$14-(SUM($K$14:S14))))))</f>
        <v>0</v>
      </c>
      <c r="U14" s="3">
        <f>IF(AND($F$13=$F$14,$I$13&gt;SUM($K$13:T13),U13&gt;($J$13/7)),"",IF(AND(U13&lt;&gt;0,$D$13=$D$14,$J$14&gt;(SUM($K$13:T13))),"",(IF($I$14&gt;$J$14+(SUM($K$14:T14)),$J$14,$I$14-(SUM($K$14:T14))))))</f>
        <v>0</v>
      </c>
      <c r="V14" s="3">
        <f>IF(AND($F$13=$F$14,$I$13&gt;SUM($K$13:U13),V13&gt;($J$13/7)),"",IF(AND(V13&lt;&gt;0,$D$13=$D$14,$J$14&gt;(SUM($K$13:U13))),"",(IF($I$14&gt;$J$14+(SUM($K$14:U14)),$J$14,$I$14-(SUM($K$14:U14))))))</f>
        <v>0</v>
      </c>
      <c r="W14" s="3">
        <f>IF(AND($F$13=$F$14,$I$13&gt;SUM($K$13:V13),W13&gt;($J$13/7)),"",IF(AND(W13&lt;&gt;0,$D$13=$D$14,$J$14&gt;(SUM($K$13:V13))),"",(IF($I$14&gt;$J$14+(SUM($K$14:V14)),$J$14,$I$14-(SUM($K$14:V14))))))</f>
        <v>0</v>
      </c>
      <c r="X14" s="3">
        <f>IF(AND($F$13=$F$14,$I$13&gt;SUM($K$13:W13),X13&gt;($J$13/7)),"",IF(AND(X13&lt;&gt;0,$D$13=$D$14,$J$14&gt;(SUM($K$13:W13))),"",(IF($I$14&gt;$J$14+(SUM($K$14:W14)),$J$14,$I$14-(SUM($K$14:W14))))))</f>
        <v>0</v>
      </c>
      <c r="Y14" s="3">
        <f>IF(AND($F$13=$F$14,$I$13&gt;SUM($K$13:X13),Y13&gt;($J$13/7)),"",IF(AND(Y13&lt;&gt;0,$D$13=$D$14,$J$14&gt;(SUM($K$13:X13))),"",(IF($I$14&gt;$J$14+(SUM($K$14:X14)),$J$14,$I$14-(SUM($K$14:X14))))))</f>
        <v>0</v>
      </c>
      <c r="Z14" s="3">
        <f>IF(AND($F$13=$F$14,$I$13&gt;SUM($K$13:Y13),Z13&gt;($J$13/7)),"",IF(AND(Z13&lt;&gt;0,$D$13=$D$14,$J$14&gt;(SUM($K$13:Y13))),"",(IF($I$14&gt;$J$14+(SUM($K$14:Y14)),$J$14,$I$14-(SUM($K$14:Y14))))))</f>
        <v>0</v>
      </c>
      <c r="AA14" s="3">
        <f>IF(AND($F$13=$F$14,$I$13&gt;SUM($K$13:Z13),AA13&gt;($J$13/7)),"",IF(AND(AA13&lt;&gt;0,$D$13=$D$14,$J$14&gt;(SUM($K$13:Z13))),"",(IF($I$14&gt;$J$14+(SUM($K$14:Z14)),$J$14,$I$14-(SUM($K$14:Z14))))))</f>
        <v>0</v>
      </c>
      <c r="AB14" s="3">
        <f>IF(AND($F$13=$F$14,$I$13&gt;SUM($K$13:AA13),AB13&gt;($J$13/7)),"",IF(AND(AB13&lt;&gt;0,$D$13=$D$14,$J$14&gt;(SUM($K$13:AA13))),"",(IF($I$14&gt;$J$14+(SUM($K$14:AA14)),$J$14,$I$14-(SUM($K$14:AA14))))))</f>
        <v>0</v>
      </c>
      <c r="AC14" s="3">
        <f>IF(AND($F$13=$F$14,$I$13&gt;SUM($K$13:AB13),AC13&gt;($J$13/7)),"",IF(AND(AC13&lt;&gt;0,$D$13=$D$14,$J$14&gt;(SUM($K$13:AB13))),"",(IF($I$14&gt;$J$14+(SUM($K$14:AB14)),$J$14,$I$14-(SUM($K$14:AB14))))))</f>
        <v>0</v>
      </c>
      <c r="AD14" s="3">
        <f>IF(AND($F$13=$F$14,$I$13&gt;SUM($K$13:AC13),AD13&gt;($J$13/7)),"",IF(AND(AD13&lt;&gt;0,$D$13=$D$14,$J$14&gt;(SUM($K$13:AC13))),"",(IF($I$14&gt;$J$14+(SUM($K$14:AC14)),$J$14,$I$14-(SUM($K$14:AC14))))))</f>
        <v>0</v>
      </c>
      <c r="AE14" s="3">
        <f>IF(AND($F$13=$F$14,$I$13&gt;SUM($K$13:AD13),AE13&gt;($J$13/7)),"",IF(AND(AE13&lt;&gt;0,$D$13=$D$14,$J$14&gt;(SUM($K$13:AD13))),"",(IF($I$14&gt;$J$14+(SUM($K$14:AD14)),$J$14,$I$14-(SUM($K$14:AD14))))))</f>
        <v>0</v>
      </c>
      <c r="AF14" s="3">
        <f>IF(AND($F$13=$F$14,$I$13&gt;SUM($K$13:AE13),AF13&gt;($J$13/7)),"",IF(AND(AF13&lt;&gt;0,$D$13=$D$14,$J$14&gt;(SUM($K$13:AE13))),"",(IF($I$14&gt;$J$14+(SUM($K$14:AE14)),$J$14,$I$14-(SUM($K$14:AE14))))))</f>
        <v>0</v>
      </c>
      <c r="AG14" s="3">
        <f>IF(AND($F$13=$F$14,$I$13&gt;SUM($K$13:AF13),AG13&gt;($J$13/7)),"",IF(AND(AG13&lt;&gt;0,$D$13=$D$14,$J$14&gt;(SUM($K$13:AF13))),"",(IF($I$14&gt;$J$14+(SUM($K$14:AF14)),$J$14,$I$14-(SUM($K$14:AF14))))))</f>
        <v>0</v>
      </c>
      <c r="AH14" s="3">
        <f>IF(AND($F$13=$F$14,$I$13&gt;SUM($K$13:AG13),AH13&gt;($J$13/7)),"",IF(AND(AH13&lt;&gt;0,$D$13=$D$14,$J$14&gt;(SUM($K$13:AG13))),"",(IF($I$14&gt;$J$14+(SUM($K$14:AG14)),$J$14,$I$14-(SUM($K$14:AG14))))))</f>
        <v>0</v>
      </c>
      <c r="AI14" s="3">
        <f>IF(AND($F$13=$F$14,$I$13&gt;SUM($K$13:AH13),AI13&gt;($J$13/7)),"",IF(AND(AI13&lt;&gt;0,$D$13=$D$14,$J$14&gt;(SUM($K$13:AH13))),"",(IF($I$14&gt;$J$14+(SUM($K$14:AH14)),$J$14,$I$14-(SUM($K$14:AH14))))))</f>
        <v>0</v>
      </c>
      <c r="AJ14" s="3">
        <f>IF(AND($F$13=$F$14,$I$13&gt;SUM($K$13:AI13),AJ13&gt;($J$13/7)),"",IF(AND(AJ13&lt;&gt;0,$D$13=$D$14,$J$14&gt;(SUM($K$13:AI13))),"",(IF($I$14&gt;$J$14+(SUM($K$14:AI14)),$J$14,$I$14-(SUM($K$14:AI14))))))</f>
        <v>0</v>
      </c>
      <c r="AK14" s="3">
        <f>IF(AND($F$13=$F$14,$I$13&gt;SUM($K$13:AJ13),AK13&gt;($J$13/7)),"",IF(AND(AK13&lt;&gt;0,$D$13=$D$14,$J$14&gt;(SUM($K$13:AJ13))),"",(IF($I$14&gt;$J$14+(SUM($K$14:AJ14)),$J$14,$I$14-(SUM($K$14:AJ14))))))</f>
        <v>0</v>
      </c>
      <c r="AL14" s="3">
        <f>IF(AND($F$13=$F$14,$I$13&gt;SUM($K$13:AK13),AL13&gt;($J$13/7)),"",IF(AND(AL13&lt;&gt;0,$D$13=$D$14,$J$14&gt;(SUM($K$13:AK13))),"",(IF($I$14&gt;$J$14+(SUM($K$14:AK14)),$J$14,$I$14-(SUM($K$14:AK14))))))</f>
        <v>0</v>
      </c>
      <c r="AM14" s="3">
        <f>IF(AND($F$13=$F$14,$I$13&gt;SUM($K$13:AL13),AM13&gt;($J$13/7)),"",IF(AND(AM13&lt;&gt;0,$D$13=$D$14,$J$14&gt;(SUM($K$13:AL13))),"",(IF($I$14&gt;$J$14+(SUM($K$14:AL14)),$J$14,$I$14-(SUM($K$14:AL14))))))</f>
        <v>0</v>
      </c>
      <c r="AN14" s="3">
        <f>IF(AND($F$13=$F$14,$I$13&gt;SUM($K$13:AM13),AN13&gt;($J$13/7)),"",IF(AND(AN13&lt;&gt;0,$D$13=$D$14,$J$14&gt;(SUM($K$13:AM13))),"",(IF($I$14&gt;$J$14+(SUM($K$14:AM14)),$J$14,$I$14-(SUM($K$14:AM14))))))</f>
        <v>0</v>
      </c>
      <c r="AO14" s="3">
        <f>IF(AND($F$13=$F$14,$I$13&gt;SUM($K$13:AN13),AO13&gt;($J$13/7)),"",IF(AND(AO13&lt;&gt;0,$D$13=$D$14,$J$14&gt;(SUM($K$13:AN13))),"",(IF($I$14&gt;$J$14+(SUM($K$14:AN14)),$J$14,$I$14-(SUM($K$14:AN14))))))</f>
        <v>0</v>
      </c>
      <c r="AP14" s="3">
        <f>IF(AND($F$13=$F$14,$I$13&gt;SUM($K$13:AO13),AP13&gt;($J$13/7)),"",IF(AND(AP13&lt;&gt;0,$D$13=$D$14,$J$14&gt;(SUM($K$13:AO13))),"",(IF($I$14&gt;$J$14+(SUM($K$14:AO14)),$J$14,$I$14-(SUM($K$14:AO14))))))</f>
        <v>0</v>
      </c>
      <c r="AQ14" s="3">
        <f>IF(AND($F$13=$F$14,$I$13&gt;SUM($K$13:AP13),AQ13&gt;($J$13/7)),"",IF(AND(AQ13&lt;&gt;0,$D$13=$D$14,$J$14&gt;(SUM($K$13:AP13))),"",(IF($I$14&gt;$J$14+(SUM($K$14:AP14)),$J$14,$I$14-(SUM($K$14:AP14))))))</f>
        <v>0</v>
      </c>
      <c r="AR14" s="3">
        <f>IF(AND($F$13=$F$14,$I$13&gt;SUM($K$13:AQ13),AR13&gt;($J$13/7)),"",IF(AND(AR13&lt;&gt;0,$D$13=$D$14,$J$14&gt;(SUM($K$13:AQ13))),"",(IF($I$14&gt;$J$14+(SUM($K$14:AQ14)),$J$14,$I$14-(SUM($K$14:AQ14))))))</f>
        <v>0</v>
      </c>
      <c r="AS14" s="3">
        <f>IF(AND($F$13=$F$14,$I$13&gt;SUM($K$13:AR13),AS13&gt;($J$13/7)),"",IF(AND(AS13&lt;&gt;0,$D$13=$D$14,$J$14&gt;(SUM($K$13:AR13))),"",(IF($I$14&gt;$J$14+(SUM($K$14:AR14)),$J$14,$I$14-(SUM($K$14:AR14))))))</f>
        <v>0</v>
      </c>
      <c r="AT14" s="3">
        <f>IF(AND($F$13=$F$14,$I$13&gt;SUM($K$13:AS13),AT13&gt;($J$13/7)),"",IF(AND(AT13&lt;&gt;0,$D$13=$D$14,$J$14&gt;(SUM($K$13:AS13))),"",(IF($I$14&gt;$J$14+(SUM($K$14:AS14)),$J$14,$I$14-(SUM($K$14:AS14))))))</f>
        <v>0</v>
      </c>
      <c r="AU14" s="3">
        <f>IF(AND($F$13=$F$14,$I$13&gt;SUM($K$13:AT13),AU13&gt;($J$13/7)),"",IF(AND(AU13&lt;&gt;0,$D$13=$D$14,$J$14&gt;(SUM($K$13:AT13))),"",(IF($I$14&gt;$J$14+(SUM($K$14:AT14)),$J$14,$I$14-(SUM($K$14:AT14))))))</f>
        <v>0</v>
      </c>
      <c r="AV14" s="3">
        <f>IF(AND($F$13=$F$14,$I$13&gt;SUM($K$13:AU13),AV13&gt;($J$13/7)),"",IF(AND(AV13&lt;&gt;0,$D$13=$D$14,$J$14&gt;(SUM($K$13:AU13))),"",(IF($I$14&gt;$J$14+(SUM($K$14:AU14)),$J$14,$I$14-(SUM($K$14:AU14))))))</f>
        <v>0</v>
      </c>
      <c r="AW14" s="3">
        <f>IF(AND($F$13=$F$14,$I$13&gt;SUM($K$13:AV13),AW13&gt;($J$13/7)),"",IF(AND(AW13&lt;&gt;0,$D$13=$D$14,$J$14&gt;(SUM($K$13:AV13))),"",(IF($I$14&gt;$J$14+(SUM($K$14:AV14)),$J$14,$I$14-(SUM($K$14:AV14))))))</f>
        <v>0</v>
      </c>
      <c r="AX14" s="3">
        <f>IF(AND($F$13=$F$14,$I$13&gt;SUM($K$13:AW13),AX13&gt;($J$13/7)),"",IF(AND(AX13&lt;&gt;0,$D$13=$D$14,$J$14&gt;(SUM($K$13:AW13))),"",(IF($I$14&gt;$J$14+(SUM($K$14:AW14)),$J$14,$I$14-(SUM($K$14:AW14))))))</f>
        <v>0</v>
      </c>
      <c r="AY14" s="3">
        <f>IF(AND($F$13=$F$14,$I$13&gt;SUM($K$13:AX13),AY13&gt;($J$13/7)),"",IF(AND(AY13&lt;&gt;0,$D$13=$D$14,$J$14&gt;(SUM($K$13:AX13))),"",(IF($I$14&gt;$J$14+(SUM($K$14:AX14)),$J$14,$I$14-(SUM($K$14:AX14))))))</f>
        <v>0</v>
      </c>
      <c r="AZ14" s="3">
        <f>IF(AND($F$13=$F$14,$I$13&gt;SUM($K$13:AY13),AZ13&gt;($J$13/7)),"",IF(AND(AZ13&lt;&gt;0,$D$13=$D$14,$J$14&gt;(SUM($K$13:AY13))),"",(IF($I$14&gt;$J$14+(SUM($K$14:AY14)),$J$14,$I$14-(SUM($K$14:AY14))))))</f>
        <v>0</v>
      </c>
      <c r="BA14" s="3">
        <f>IF(AND($F$13=$F$14,$I$13&gt;SUM($K$13:AZ13),BA13&gt;($J$13/7)),"",IF(AND(BA13&lt;&gt;0,$D$13=$D$14,$J$14&gt;(SUM($K$13:AZ13))),"",(IF($I$14&gt;$J$14+(SUM($K$14:AZ14)),$J$14,$I$14-(SUM($K$14:AZ14))))))</f>
        <v>0</v>
      </c>
      <c r="BB14" s="3">
        <f>IF(AND($F$13=$F$14,$I$13&gt;SUM($K$13:BA13),BB13&gt;($J$13/7)),"",IF(AND(BB13&lt;&gt;0,$D$13=$D$14,$J$14&gt;(SUM($K$13:BA13))),"",(IF($I$14&gt;$J$14+(SUM($K$14:BA14)),$J$14,$I$14-(SUM($K$14:BA14))))))</f>
        <v>0</v>
      </c>
      <c r="BC14" s="3">
        <f>IF(AND($F$13=$F$14,$I$13&gt;SUM($K$13:BB13),BC13&gt;($J$13/7)),"",IF(AND(BC13&lt;&gt;0,$D$13=$D$14,$J$14&gt;(SUM($K$13:BB13))),"",(IF($I$14&gt;$J$14+(SUM($K$14:BB14)),$J$14,$I$14-(SUM($K$14:BB14))))))</f>
        <v>0</v>
      </c>
      <c r="BD14" s="3">
        <f>IF(AND($F$13=$F$14,$I$13&gt;SUM($K$13:BC13),BD13&gt;($J$13/7)),"",IF(AND(BD13&lt;&gt;0,$D$13=$D$14,$J$14&gt;(SUM($K$13:BC13))),"",(IF($I$14&gt;$J$14+(SUM($K$14:BC14)),$J$14,$I$14-(SUM($K$14:BC14))))))</f>
        <v>0</v>
      </c>
      <c r="BE14" s="3">
        <f>IF(AND($F$13=$F$14,$I$13&gt;SUM($K$13:BD13),BE13&gt;($J$13/7)),"",IF(AND(BE13&lt;&gt;0,$D$13=$D$14,$J$14&gt;(SUM($K$13:BD13))),"",(IF($I$14&gt;$J$14+(SUM($K$14:BD14)),$J$14,$I$14-(SUM($K$14:BD14))))))</f>
        <v>0</v>
      </c>
      <c r="BF14" s="3">
        <f>IF(AND($F$13=$F$14,$I$13&gt;SUM($K$13:BE13),BF13&gt;($J$13/7)),"",IF(AND(BF13&lt;&gt;0,$D$13=$D$14,$J$14&gt;(SUM($K$13:BE13))),"",(IF($I$14&gt;$J$14+(SUM($K$14:BE14)),$J$14,$I$14-(SUM($K$14:BE14))))))</f>
        <v>0</v>
      </c>
      <c r="BG14" s="3">
        <f>IF(AND($F$13=$F$14,$I$13&gt;SUM($K$13:BF13),BG13&gt;($J$13/7)),"",IF(AND(BG13&lt;&gt;0,$D$13=$D$14,$J$14&gt;(SUM($K$13:BF13))),"",(IF($I$14&gt;$J$14+(SUM($K$14:BF14)),$J$14,$I$14-(SUM($K$14:BF14))))))</f>
        <v>0</v>
      </c>
      <c r="BH14" s="3">
        <f>IF(AND($F$13=$F$14,$I$13&gt;SUM($K$13:BG13),BH13&gt;($J$13/7)),"",IF(AND(BH13&lt;&gt;0,$D$13=$D$14,$J$14&gt;(SUM($K$13:BG13))),"",(IF($I$14&gt;$J$14+(SUM($K$14:BG14)),$J$14,$I$14-(SUM($K$14:BG14))))))</f>
        <v>0</v>
      </c>
      <c r="BI14" s="3">
        <f>IF(AND($F$13=$F$14,$I$13&gt;SUM($K$13:BH13),BI13&gt;($J$13/7)),"",IF(AND(BI13&lt;&gt;0,$D$13=$D$14,$J$14&gt;(SUM($K$13:BH13))),"",(IF($I$14&gt;$J$14+(SUM($K$14:BH14)),$J$14,$I$14-(SUM($K$14:BH14))))))</f>
        <v>0</v>
      </c>
      <c r="BJ14" s="3">
        <f>IF(AND($F$13=$F$14,$I$13&gt;SUM($K$13:BI13),BJ13&gt;($J$13/7)),"",IF(AND(BJ13&lt;&gt;0,$D$13=$D$14,$J$14&gt;(SUM($K$13:BI13))),"",(IF($I$14&gt;$J$14+(SUM($K$14:BI14)),$J$14,$I$14-(SUM($K$14:BI14))))))</f>
        <v>0</v>
      </c>
      <c r="BK14" s="3">
        <f>IF(AND($F$13=$F$14,$I$13&gt;SUM($K$13:BJ13),BK13&gt;($J$13/7)),"",IF(AND(BK13&lt;&gt;0,$D$13=$D$14,$J$14&gt;(SUM($K$13:BJ13))),"",(IF($I$14&gt;$J$14+(SUM($K$14:BJ14)),$J$14,$I$14-(SUM($K$14:BJ14))))))</f>
        <v>0</v>
      </c>
      <c r="BL14" s="3">
        <f>IF(AND($F$13=$F$14,$I$13&gt;SUM($K$13:BK13),BL13&gt;($J$13/7)),"",IF(AND(BL13&lt;&gt;0,$D$13=$D$14,$J$14&gt;(SUM($K$13:BK13))),"",(IF($I$14&gt;$J$14+(SUM($K$14:BK14)),$J$14,$I$14-(SUM($K$14:BK14))))))</f>
        <v>0</v>
      </c>
      <c r="BM14" s="3">
        <f>IF(AND($F$13=$F$14,$I$13&gt;SUM($K$13:BL13),BM13&gt;($J$13/7)),"",IF(AND(BM13&lt;&gt;0,$D$13=$D$14,$J$14&gt;(SUM($K$13:BL13))),"",(IF($I$14&gt;$J$14+(SUM($K$14:BL14)),$J$14,$I$14-(SUM($K$14:BL14))))))</f>
        <v>0</v>
      </c>
      <c r="BN14" s="3">
        <f>IF(AND($F$13=$F$14,$I$13&gt;SUM($K$13:BM13),BN13&gt;($J$13/7)),"",IF(AND(BN13&lt;&gt;0,$D$13=$D$14,$J$14&gt;(SUM($K$13:BM13))),"",(IF($I$14&gt;$J$14+(SUM($K$14:BM14)),$J$14,$I$14-(SUM($K$14:BM14))))))</f>
        <v>0</v>
      </c>
      <c r="BO14" s="3">
        <f>IF(AND($F$13=$F$14,$I$13&gt;SUM($K$13:BN13),BO13&gt;($J$13/7)),"",IF(AND(BO13&lt;&gt;0,$D$13=$D$14,$J$14&gt;(SUM($K$13:BN13))),"",(IF($I$14&gt;$J$14+(SUM($K$14:BN14)),$J$14,$I$14-(SUM($K$14:BN14))))))</f>
        <v>0</v>
      </c>
      <c r="BP14" s="3">
        <f>IF(AND($F$13=$F$14,$I$13&gt;SUM($K$13:BO13),BP13&gt;($J$13/7)),"",IF(AND(BP13&lt;&gt;0,$D$13=$D$14,$J$14&gt;(SUM($K$13:BO13))),"",(IF($I$14&gt;$J$14+(SUM($K$14:BO14)),$J$14,$I$14-(SUM($K$14:BO14))))))</f>
        <v>0</v>
      </c>
      <c r="BQ14" s="3">
        <f>IF(AND($F$13=$F$14,$I$13&gt;SUM($K$13:BP13),BQ13&gt;($J$13/7)),"",IF(AND(BQ13&lt;&gt;0,$D$13=$D$14,$J$14&gt;(SUM($K$13:BP13))),"",(IF($I$14&gt;$J$14+(SUM($K$14:BP14)),$J$14,$I$14-(SUM($K$14:BP14))))))</f>
        <v>0</v>
      </c>
      <c r="BR14" s="3">
        <f>IF(AND($F$13=$F$14,$I$13&gt;SUM($K$13:BQ13),BR13&gt;($J$13/7)),"",IF(AND(BR13&lt;&gt;0,$D$13=$D$14,$J$14&gt;(SUM($K$13:BQ13))),"",(IF($I$14&gt;$J$14+(SUM($K$14:BQ14)),$J$14,$I$14-(SUM($K$14:BQ14))))))</f>
        <v>0</v>
      </c>
      <c r="BS14" s="3">
        <f>IF(AND($F$13=$F$14,$I$13&gt;SUM($K$13:BR13),BS13&gt;($J$13/7)),"",IF(AND(BS13&lt;&gt;0,$D$13=$D$14,$J$14&gt;(SUM($K$13:BR13))),"",(IF($I$14&gt;$J$14+(SUM($K$14:BR14)),$J$14,$I$14-(SUM($K$14:BR14))))))</f>
        <v>0</v>
      </c>
      <c r="BT14" s="3">
        <f>IF(AND($F$13=$F$14,$I$13&gt;SUM($K$13:BS13),BT13&gt;($J$13/7)),"",IF(AND(BT13&lt;&gt;0,$D$13=$D$14,$J$14&gt;(SUM($K$13:BS13))),"",(IF($I$14&gt;$J$14+(SUM($K$14:BS14)),$J$14,$I$14-(SUM($K$14:BS14))))))</f>
        <v>0</v>
      </c>
      <c r="BU14" s="3">
        <f>IF(AND($F$13=$F$14,$I$13&gt;SUM($K$13:BT13),BU13&gt;($J$13/7)),"",IF(AND(BU13&lt;&gt;0,$D$13=$D$14,$J$14&gt;(SUM($K$13:BT13))),"",(IF($I$14&gt;$J$14+(SUM($K$14:BT14)),$J$14,$I$14-(SUM($K$14:BT14))))))</f>
        <v>0</v>
      </c>
      <c r="BV14" s="3">
        <f>IF(AND($F$13=$F$14,$I$13&gt;SUM($K$13:BU13),BV13&gt;($J$13/7)),"",IF(AND(BV13&lt;&gt;0,$D$13=$D$14,$J$14&gt;(SUM($K$13:BU13))),"",(IF($I$14&gt;$J$14+(SUM($K$14:BU14)),$J$14,$I$14-(SUM($K$14:BU14))))))</f>
        <v>0</v>
      </c>
      <c r="BW14" s="3">
        <f>IF(AND($F$13=$F$14,$I$13&gt;SUM($K$13:BV13),BW13&gt;($J$13/7)),"",IF(AND(BW13&lt;&gt;0,$D$13=$D$14,$J$14&gt;(SUM($K$13:BV13))),"",(IF($I$14&gt;$J$14+(SUM($K$14:BV14)),$J$14,$I$14-(SUM($K$14:BV14))))))</f>
        <v>0</v>
      </c>
      <c r="BX14" s="3">
        <f>IF(AND($F$13=$F$14,$I$13&gt;SUM($K$13:BW13),BX13&gt;($J$13/7)),"",IF(AND(BX13&lt;&gt;0,$D$13=$D$14,$J$14&gt;(SUM($K$13:BW13))),"",(IF($I$14&gt;$J$14+(SUM($K$14:BW14)),$J$14,$I$14-(SUM($K$14:BW14))))))</f>
        <v>0</v>
      </c>
      <c r="BY14" s="3">
        <f>IF(AND($F$13=$F$14,$I$13&gt;SUM($K$13:BX13),BY13&gt;($J$13/7)),"",IF(AND(BY13&lt;&gt;0,$D$13=$D$14,$J$14&gt;(SUM($K$13:BX13))),"",(IF($I$14&gt;$J$14+(SUM($K$14:BX14)),$J$14,$I$14-(SUM($K$14:BX14))))))</f>
        <v>0</v>
      </c>
      <c r="BZ14" s="3">
        <f>IF(AND($F$13=$F$14,$I$13&gt;SUM($K$13:BY13),BZ13&gt;($J$13/7)),"",IF(AND(BZ13&lt;&gt;0,$D$13=$D$14,$J$14&gt;(SUM($K$13:BY13))),"",(IF($I$14&gt;$J$14+(SUM($K$14:BY14)),$J$14,$I$14-(SUM($K$14:BY14))))))</f>
        <v>0</v>
      </c>
      <c r="CA14" s="3">
        <f>IF(AND($F$13=$F$14,$I$13&gt;SUM($K$13:BZ13),CA13&gt;($J$13/7)),"",IF(AND(CA13&lt;&gt;0,$D$13=$D$14,$J$14&gt;(SUM($K$13:BZ13))),"",(IF($I$14&gt;$J$14+(SUM($K$14:BZ14)),$J$14,$I$14-(SUM($K$14:BZ14))))))</f>
        <v>0</v>
      </c>
      <c r="CB14" s="3">
        <f>IF(AND($F$13=$F$14,$I$13&gt;SUM($K$13:CA13),CB13&gt;($J$13/7)),"",IF(AND(CB13&lt;&gt;0,$D$13=$D$14,$J$14&gt;(SUM($K$13:CA13))),"",(IF($I$14&gt;$J$14+(SUM($K$14:CA14)),$J$14,$I$14-(SUM($K$14:CA14))))))</f>
        <v>0</v>
      </c>
      <c r="CC14" s="3">
        <f>IF(AND($F$13=$F$14,$I$13&gt;SUM($K$13:CB13),CC13&gt;($J$13/7)),"",IF(AND(CC13&lt;&gt;0,$D$13=$D$14,$J$14&gt;(SUM($K$13:CB13))),"",(IF($I$14&gt;$J$14+(SUM($K$14:CB14)),$J$14,$I$14-(SUM($K$14:CB14))))))</f>
        <v>0</v>
      </c>
      <c r="CD14" s="3">
        <f>IF(AND($F$13=$F$14,$I$13&gt;SUM($K$13:CC13),CD13&gt;($J$13/7)),"",IF(AND(CD13&lt;&gt;0,$D$13=$D$14,$J$14&gt;(SUM($K$13:CC13))),"",(IF($I$14&gt;$J$14+(SUM($K$14:CC14)),$J$14,$I$14-(SUM($K$14:CC14))))))</f>
        <v>0</v>
      </c>
      <c r="CE14" s="3">
        <f>IF(AND($F$13=$F$14,$I$13&gt;SUM($K$13:CD13),CE13&gt;($J$13/7)),"",IF(AND(CE13&lt;&gt;0,$D$13=$D$14,$J$14&gt;(SUM($K$13:CD13))),"",(IF($I$14&gt;$J$14+(SUM($K$14:CD14)),$J$14,$I$14-(SUM($K$14:CD14))))))</f>
        <v>0</v>
      </c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</row>
    <row r="15" spans="1:251" x14ac:dyDescent="0.25">
      <c r="A15" s="6">
        <v>13</v>
      </c>
      <c r="B15" t="str">
        <f t="shared" si="3"/>
        <v/>
      </c>
      <c r="C15" t="str">
        <f t="shared" si="4"/>
        <v>0</v>
      </c>
      <c r="E15" s="101"/>
      <c r="F15" s="27"/>
      <c r="G15" s="2">
        <f t="shared" si="0"/>
        <v>0</v>
      </c>
      <c r="H15" s="9">
        <f t="shared" si="1"/>
        <v>0</v>
      </c>
      <c r="I15" s="2">
        <f t="shared" si="2"/>
        <v>0</v>
      </c>
      <c r="J15" s="2">
        <f t="shared" si="5"/>
        <v>0</v>
      </c>
      <c r="K15" t="str">
        <f t="shared" si="6"/>
        <v/>
      </c>
      <c r="L15" s="3">
        <f>IF(AND($F$14=$F$15,$I$14&gt;SUM($K$14:K14),L14&gt;($J$14/7)),"",IF(AND(L14&lt;&gt;0,$D$14=$D$15,$J$15&gt;(SUM($K$14:K14))),"",(IF($I$15&gt;$J$15+(SUM($K$15:K15)),$J$15,$I$15-(SUM($K$15:K15))))))</f>
        <v>0</v>
      </c>
      <c r="M15" s="3">
        <f>IF(AND($F$14=$F$15,$I$14&gt;SUM($K$14:L14),M14&gt;($J$14/7)),"",IF(AND(M14&lt;&gt;0,$D$14=$D$15,$J$15&gt;(SUM($K$14:L14))),"",(IF($I$15&gt;$J$15+(SUM($K$15:L15)),$J$15,$I$15-(SUM($K$15:L15))))))</f>
        <v>0</v>
      </c>
      <c r="N15" s="3">
        <f>IF(AND($F$14=$F$15,$I$14&gt;SUM($K$14:M14),N14&gt;($J$14/7)),"",IF(AND(N14&lt;&gt;0,$D$14=$D$15,$J$15&gt;(SUM($K$14:M14))),"",(IF($I$15&gt;$J$15+(SUM($K$15:M15)),$J$15,$I$15-(SUM($K$15:M15))))))</f>
        <v>0</v>
      </c>
      <c r="O15" s="3">
        <f>IF(AND($F$14=$F$15,$I$14&gt;SUM($K$14:N14),O14&gt;($J$14/7)),"",IF(AND(O14&lt;&gt;0,$D$14=$D$15,$J$15&gt;(SUM($K$14:N14))),"",(IF($I$15&gt;$J$15+(SUM($K$15:N15)),$J$15,$I$15-(SUM($K$15:N15))))))</f>
        <v>0</v>
      </c>
      <c r="P15" s="3">
        <f>IF(AND($F$14=$F$15,$I$14&gt;SUM($K$14:O14),P14&gt;($J$14/7)),"",IF(AND(P14&lt;&gt;0,$D$14=$D$15,$J$15&gt;(SUM($K$14:O14))),"",(IF($I$15&gt;$J$15+(SUM($K$15:O15)),$J$15,$I$15-(SUM($K$15:O15))))))</f>
        <v>0</v>
      </c>
      <c r="Q15" s="3">
        <f>IF(AND($F$14=$F$15,$I$14&gt;SUM($K$14:P14),Q14&gt;($J$14/7)),"",IF(AND(Q14&lt;&gt;0,$D$14=$D$15,$J$15&gt;(SUM($K$14:P14))),"",(IF($I$15&gt;$J$15+(SUM($K$15:P15)),$J$15,$I$15-(SUM($K$15:P15))))))</f>
        <v>0</v>
      </c>
      <c r="R15" s="3">
        <f>IF(AND($F$14=$F$15,$I$14&gt;SUM($K$14:Q14),R14&gt;($J$14/7)),"",IF(AND(R14&lt;&gt;0,$D$14=$D$15,$J$15&gt;(SUM($K$14:Q14))),"",(IF($I$15&gt;$J$15+(SUM($K$15:Q15)),$J$15,$I$15-(SUM($K$15:Q15))))))</f>
        <v>0</v>
      </c>
      <c r="S15" s="3">
        <f>IF(AND($F$14=$F$15,$I$14&gt;SUM($K$14:R14),S14&gt;($J$14/7)),"",IF(AND(S14&lt;&gt;0,$D$14=$D$15,$J$15&gt;(SUM($K$14:R14))),"",(IF($I$15&gt;$J$15+(SUM($K$15:R15)),$J$15,$I$15-(SUM($K$15:R15))))))</f>
        <v>0</v>
      </c>
      <c r="T15" s="3">
        <f>IF(AND($F$14=$F$15,$I$14&gt;SUM($K$14:S14),T14&gt;($J$14/7)),"",IF(AND(T14&lt;&gt;0,$D$14=$D$15,$J$15&gt;(SUM($K$14:S14))),"",(IF($I$15&gt;$J$15+(SUM($K$15:S15)),$J$15,$I$15-(SUM($K$15:S15))))))</f>
        <v>0</v>
      </c>
      <c r="U15" s="3">
        <f>IF(AND($F$14=$F$15,$I$14&gt;SUM($K$14:T14),U14&gt;($J$14/7)),"",IF(AND(U14&lt;&gt;0,$D$14=$D$15,$J$15&gt;(SUM($K$14:T14))),"",(IF($I$15&gt;$J$15+(SUM($K$15:T15)),$J$15,$I$15-(SUM($K$15:T15))))))</f>
        <v>0</v>
      </c>
      <c r="V15" s="3">
        <f>IF(AND($F$14=$F$15,$I$14&gt;SUM($K$14:U14),V14&gt;($J$14/7)),"",IF(AND(V14&lt;&gt;0,$D$14=$D$15,$J$15&gt;(SUM($K$14:U14))),"",(IF($I$15&gt;$J$15+(SUM($K$15:U15)),$J$15,$I$15-(SUM($K$15:U15))))))</f>
        <v>0</v>
      </c>
      <c r="W15" s="3">
        <f>IF(AND($F$14=$F$15,$I$14&gt;SUM($K$14:V14),W14&gt;($J$14/7)),"",IF(AND(W14&lt;&gt;0,$D$14=$D$15,$J$15&gt;(SUM($K$14:V14))),"",(IF($I$15&gt;$J$15+(SUM($K$15:V15)),$J$15,$I$15-(SUM($K$15:V15))))))</f>
        <v>0</v>
      </c>
      <c r="X15" s="3">
        <f>IF(AND($F$14=$F$15,$I$14&gt;SUM($K$14:W14),X14&gt;($J$14/7)),"",IF(AND(X14&lt;&gt;0,$D$14=$D$15,$J$15&gt;(SUM($K$14:W14))),"",(IF($I$15&gt;$J$15+(SUM($K$15:W15)),$J$15,$I$15-(SUM($K$15:W15))))))</f>
        <v>0</v>
      </c>
      <c r="Y15" s="3">
        <f>IF(AND($F$14=$F$15,$I$14&gt;SUM($K$14:X14),Y14&gt;($J$14/7)),"",IF(AND(Y14&lt;&gt;0,$D$14=$D$15,$J$15&gt;(SUM($K$14:X14))),"",(IF($I$15&gt;$J$15+(SUM($K$15:X15)),$J$15,$I$15-(SUM($K$15:X15))))))</f>
        <v>0</v>
      </c>
      <c r="Z15" s="3">
        <f>IF(AND($F$14=$F$15,$I$14&gt;SUM($K$14:Y14),Z14&gt;($J$14/7)),"",IF(AND(Z14&lt;&gt;0,$D$14=$D$15,$J$15&gt;(SUM($K$14:Y14))),"",(IF($I$15&gt;$J$15+(SUM($K$15:Y15)),$J$15,$I$15-(SUM($K$15:Y15))))))</f>
        <v>0</v>
      </c>
      <c r="AA15" s="3">
        <f>IF(AND($F$14=$F$15,$I$14&gt;SUM($K$14:Z14),AA14&gt;($J$14/7)),"",IF(AND(AA14&lt;&gt;0,$D$14=$D$15,$J$15&gt;(SUM($K$14:Z14))),"",(IF($I$15&gt;$J$15+(SUM($K$15:Z15)),$J$15,$I$15-(SUM($K$15:Z15))))))</f>
        <v>0</v>
      </c>
      <c r="AB15" s="3">
        <f>IF(AND($F$14=$F$15,$I$14&gt;SUM($K$14:AA14),AB14&gt;($J$14/7)),"",IF(AND(AB14&lt;&gt;0,$D$14=$D$15,$J$15&gt;(SUM($K$14:AA14))),"",(IF($I$15&gt;$J$15+(SUM($K$15:AA15)),$J$15,$I$15-(SUM($K$15:AA15))))))</f>
        <v>0</v>
      </c>
      <c r="AC15" s="3">
        <f>IF(AND($F$14=$F$15,$I$14&gt;SUM($K$14:AB14),AC14&gt;($J$14/7)),"",IF(AND(AC14&lt;&gt;0,$D$14=$D$15,$J$15&gt;(SUM($K$14:AB14))),"",(IF($I$15&gt;$J$15+(SUM($K$15:AB15)),$J$15,$I$15-(SUM($K$15:AB15))))))</f>
        <v>0</v>
      </c>
      <c r="AD15" s="3">
        <f>IF(AND($F$14=$F$15,$I$14&gt;SUM($K$14:AC14),AD14&gt;($J$14/7)),"",IF(AND(AD14&lt;&gt;0,$D$14=$D$15,$J$15&gt;(SUM($K$14:AC14))),"",(IF($I$15&gt;$J$15+(SUM($K$15:AC15)),$J$15,$I$15-(SUM($K$15:AC15))))))</f>
        <v>0</v>
      </c>
      <c r="AE15" s="3">
        <f>IF(AND($F$14=$F$15,$I$14&gt;SUM($K$14:AD14),AE14&gt;($J$14/7)),"",IF(AND(AE14&lt;&gt;0,$D$14=$D$15,$J$15&gt;(SUM($K$14:AD14))),"",(IF($I$15&gt;$J$15+(SUM($K$15:AD15)),$J$15,$I$15-(SUM($K$15:AD15))))))</f>
        <v>0</v>
      </c>
      <c r="AF15" s="3">
        <f>IF(AND($F$14=$F$15,$I$14&gt;SUM($K$14:AE14),AF14&gt;($J$14/7)),"",IF(AND(AF14&lt;&gt;0,$D$14=$D$15,$J$15&gt;(SUM($K$14:AE14))),"",(IF($I$15&gt;$J$15+(SUM($K$15:AE15)),$J$15,$I$15-(SUM($K$15:AE15))))))</f>
        <v>0</v>
      </c>
      <c r="AG15" s="3">
        <f>IF(AND($F$14=$F$15,$I$14&gt;SUM($K$14:AF14),AG14&gt;($J$14/7)),"",IF(AND(AG14&lt;&gt;0,$D$14=$D$15,$J$15&gt;(SUM($K$14:AF14))),"",(IF($I$15&gt;$J$15+(SUM($K$15:AF15)),$J$15,$I$15-(SUM($K$15:AF15))))))</f>
        <v>0</v>
      </c>
      <c r="AH15" s="3">
        <f>IF(AND($F$14=$F$15,$I$14&gt;SUM($K$14:AG14),AH14&gt;($J$14/7)),"",IF(AND(AH14&lt;&gt;0,$D$14=$D$15,$J$15&gt;(SUM($K$14:AG14))),"",(IF($I$15&gt;$J$15+(SUM($K$15:AG15)),$J$15,$I$15-(SUM($K$15:AG15))))))</f>
        <v>0</v>
      </c>
      <c r="AI15" s="3">
        <f>IF(AND($F$14=$F$15,$I$14&gt;SUM($K$14:AH14),AI14&gt;($J$14/7)),"",IF(AND(AI14&lt;&gt;0,$D$14=$D$15,$J$15&gt;(SUM($K$14:AH14))),"",(IF($I$15&gt;$J$15+(SUM($K$15:AH15)),$J$15,$I$15-(SUM($K$15:AH15))))))</f>
        <v>0</v>
      </c>
      <c r="AJ15" s="3">
        <f>IF(AND($F$14=$F$15,$I$14&gt;SUM($K$14:AI14),AJ14&gt;($J$14/7)),"",IF(AND(AJ14&lt;&gt;0,$D$14=$D$15,$J$15&gt;(SUM($K$14:AI14))),"",(IF($I$15&gt;$J$15+(SUM($K$15:AI15)),$J$15,$I$15-(SUM($K$15:AI15))))))</f>
        <v>0</v>
      </c>
      <c r="AK15" s="3">
        <f>IF(AND($F$14=$F$15,$I$14&gt;SUM($K$14:AJ14),AK14&gt;($J$14/7)),"",IF(AND(AK14&lt;&gt;0,$D$14=$D$15,$J$15&gt;(SUM($K$14:AJ14))),"",(IF($I$15&gt;$J$15+(SUM($K$15:AJ15)),$J$15,$I$15-(SUM($K$15:AJ15))))))</f>
        <v>0</v>
      </c>
      <c r="AL15" s="3">
        <f>IF(AND($F$14=$F$15,$I$14&gt;SUM($K$14:AK14),AL14&gt;($J$14/7)),"",IF(AND(AL14&lt;&gt;0,$D$14=$D$15,$J$15&gt;(SUM($K$14:AK14))),"",(IF($I$15&gt;$J$15+(SUM($K$15:AK15)),$J$15,$I$15-(SUM($K$15:AK15))))))</f>
        <v>0</v>
      </c>
      <c r="AM15" s="3">
        <f>IF(AND($F$14=$F$15,$I$14&gt;SUM($K$14:AL14),AM14&gt;($J$14/7)),"",IF(AND(AM14&lt;&gt;0,$D$14=$D$15,$J$15&gt;(SUM($K$14:AL14))),"",(IF($I$15&gt;$J$15+(SUM($K$15:AL15)),$J$15,$I$15-(SUM($K$15:AL15))))))</f>
        <v>0</v>
      </c>
      <c r="AN15" s="3">
        <f>IF(AND($F$14=$F$15,$I$14&gt;SUM($K$14:AM14),AN14&gt;($J$14/7)),"",IF(AND(AN14&lt;&gt;0,$D$14=$D$15,$J$15&gt;(SUM($K$14:AM14))),"",(IF($I$15&gt;$J$15+(SUM($K$15:AM15)),$J$15,$I$15-(SUM($K$15:AM15))))))</f>
        <v>0</v>
      </c>
      <c r="AO15" s="3">
        <f>IF(AND($F$14=$F$15,$I$14&gt;SUM($K$14:AN14),AO14&gt;($J$14/7)),"",IF(AND(AO14&lt;&gt;0,$D$14=$D$15,$J$15&gt;(SUM($K$14:AN14))),"",(IF($I$15&gt;$J$15+(SUM($K$15:AN15)),$J$15,$I$15-(SUM($K$15:AN15))))))</f>
        <v>0</v>
      </c>
      <c r="AP15" s="3">
        <f>IF(AND($F$14=$F$15,$I$14&gt;SUM($K$14:AO14),AP14&gt;($J$14/7)),"",IF(AND(AP14&lt;&gt;0,$D$14=$D$15,$J$15&gt;(SUM($K$14:AO14))),"",(IF($I$15&gt;$J$15+(SUM($K$15:AO15)),$J$15,$I$15-(SUM($K$15:AO15))))))</f>
        <v>0</v>
      </c>
      <c r="AQ15" s="3">
        <f>IF(AND($F$14=$F$15,$I$14&gt;SUM($K$14:AP14),AQ14&gt;($J$14/7)),"",IF(AND(AQ14&lt;&gt;0,$D$14=$D$15,$J$15&gt;(SUM($K$14:AP14))),"",(IF($I$15&gt;$J$15+(SUM($K$15:AP15)),$J$15,$I$15-(SUM($K$15:AP15))))))</f>
        <v>0</v>
      </c>
      <c r="AR15" s="3">
        <f>IF(AND($F$14=$F$15,$I$14&gt;SUM($K$14:AQ14),AR14&gt;($J$14/7)),"",IF(AND(AR14&lt;&gt;0,$D$14=$D$15,$J$15&gt;(SUM($K$14:AQ14))),"",(IF($I$15&gt;$J$15+(SUM($K$15:AQ15)),$J$15,$I$15-(SUM($K$15:AQ15))))))</f>
        <v>0</v>
      </c>
      <c r="AS15" s="3">
        <f>IF(AND($F$14=$F$15,$I$14&gt;SUM($K$14:AR14),AS14&gt;($J$14/7)),"",IF(AND(AS14&lt;&gt;0,$D$14=$D$15,$J$15&gt;(SUM($K$14:AR14))),"",(IF($I$15&gt;$J$15+(SUM($K$15:AR15)),$J$15,$I$15-(SUM($K$15:AR15))))))</f>
        <v>0</v>
      </c>
      <c r="AT15" s="3">
        <f>IF(AND($F$14=$F$15,$I$14&gt;SUM($K$14:AS14),AT14&gt;($J$14/7)),"",IF(AND(AT14&lt;&gt;0,$D$14=$D$15,$J$15&gt;(SUM($K$14:AS14))),"",(IF($I$15&gt;$J$15+(SUM($K$15:AS15)),$J$15,$I$15-(SUM($K$15:AS15))))))</f>
        <v>0</v>
      </c>
      <c r="AU15" s="3">
        <f>IF(AND($F$14=$F$15,$I$14&gt;SUM($K$14:AT14),AU14&gt;($J$14/7)),"",IF(AND(AU14&lt;&gt;0,$D$14=$D$15,$J$15&gt;(SUM($K$14:AT14))),"",(IF($I$15&gt;$J$15+(SUM($K$15:AT15)),$J$15,$I$15-(SUM($K$15:AT15))))))</f>
        <v>0</v>
      </c>
      <c r="AV15" s="3">
        <f>IF(AND($F$14=$F$15,$I$14&gt;SUM($K$14:AU14),AV14&gt;($J$14/7)),"",IF(AND(AV14&lt;&gt;0,$D$14=$D$15,$J$15&gt;(SUM($K$14:AU14))),"",(IF($I$15&gt;$J$15+(SUM($K$15:AU15)),$J$15,$I$15-(SUM($K$15:AU15))))))</f>
        <v>0</v>
      </c>
      <c r="AW15" s="3">
        <f>IF(AND($F$14=$F$15,$I$14&gt;SUM($K$14:AV14),AW14&gt;($J$14/7)),"",IF(AND(AW14&lt;&gt;0,$D$14=$D$15,$J$15&gt;(SUM($K$14:AV14))),"",(IF($I$15&gt;$J$15+(SUM($K$15:AV15)),$J$15,$I$15-(SUM($K$15:AV15))))))</f>
        <v>0</v>
      </c>
      <c r="AX15" s="3">
        <f>IF(AND($F$14=$F$15,$I$14&gt;SUM($K$14:AW14),AX14&gt;($J$14/7)),"",IF(AND(AX14&lt;&gt;0,$D$14=$D$15,$J$15&gt;(SUM($K$14:AW14))),"",(IF($I$15&gt;$J$15+(SUM($K$15:AW15)),$J$15,$I$15-(SUM($K$15:AW15))))))</f>
        <v>0</v>
      </c>
      <c r="AY15" s="3">
        <f>IF(AND($F$14=$F$15,$I$14&gt;SUM($K$14:AX14),AY14&gt;($J$14/7)),"",IF(AND(AY14&lt;&gt;0,$D$14=$D$15,$J$15&gt;(SUM($K$14:AX14))),"",(IF($I$15&gt;$J$15+(SUM($K$15:AX15)),$J$15,$I$15-(SUM($K$15:AX15))))))</f>
        <v>0</v>
      </c>
      <c r="AZ15" s="3">
        <f>IF(AND($F$14=$F$15,$I$14&gt;SUM($K$14:AY14),AZ14&gt;($J$14/7)),"",IF(AND(AZ14&lt;&gt;0,$D$14=$D$15,$J$15&gt;(SUM($K$14:AY14))),"",(IF($I$15&gt;$J$15+(SUM($K$15:AY15)),$J$15,$I$15-(SUM($K$15:AY15))))))</f>
        <v>0</v>
      </c>
      <c r="BA15" s="3">
        <f>IF(AND($F$14=$F$15,$I$14&gt;SUM($K$14:AZ14),BA14&gt;($J$14/7)),"",IF(AND(BA14&lt;&gt;0,$D$14=$D$15,$J$15&gt;(SUM($K$14:AZ14))),"",(IF($I$15&gt;$J$15+(SUM($K$15:AZ15)),$J$15,$I$15-(SUM($K$15:AZ15))))))</f>
        <v>0</v>
      </c>
      <c r="BB15" s="3">
        <f>IF(AND($F$14=$F$15,$I$14&gt;SUM($K$14:BA14),BB14&gt;($J$14/7)),"",IF(AND(BB14&lt;&gt;0,$D$14=$D$15,$J$15&gt;(SUM($K$14:BA14))),"",(IF($I$15&gt;$J$15+(SUM($K$15:BA15)),$J$15,$I$15-(SUM($K$15:BA15))))))</f>
        <v>0</v>
      </c>
      <c r="BC15" s="3">
        <f>IF(AND($F$14=$F$15,$I$14&gt;SUM($K$14:BB14),BC14&gt;($J$14/7)),"",IF(AND(BC14&lt;&gt;0,$D$14=$D$15,$J$15&gt;(SUM($K$14:BB14))),"",(IF($I$15&gt;$J$15+(SUM($K$15:BB15)),$J$15,$I$15-(SUM($K$15:BB15))))))</f>
        <v>0</v>
      </c>
      <c r="BD15" s="3">
        <f>IF(AND($F$14=$F$15,$I$14&gt;SUM($K$14:BC14),BD14&gt;($J$14/7)),"",IF(AND(BD14&lt;&gt;0,$D$14=$D$15,$J$15&gt;(SUM($K$14:BC14))),"",(IF($I$15&gt;$J$15+(SUM($K$15:BC15)),$J$15,$I$15-(SUM($K$15:BC15))))))</f>
        <v>0</v>
      </c>
      <c r="BE15" s="3">
        <f>IF(AND($F$14=$F$15,$I$14&gt;SUM($K$14:BD14),BE14&gt;($J$14/7)),"",IF(AND(BE14&lt;&gt;0,$D$14=$D$15,$J$15&gt;(SUM($K$14:BD14))),"",(IF($I$15&gt;$J$15+(SUM($K$15:BD15)),$J$15,$I$15-(SUM($K$15:BD15))))))</f>
        <v>0</v>
      </c>
      <c r="BF15" s="3">
        <f>IF(AND($F$14=$F$15,$I$14&gt;SUM($K$14:BE14),BF14&gt;($J$14/7)),"",IF(AND(BF14&lt;&gt;0,$D$14=$D$15,$J$15&gt;(SUM($K$14:BE14))),"",(IF($I$15&gt;$J$15+(SUM($K$15:BE15)),$J$15,$I$15-(SUM($K$15:BE15))))))</f>
        <v>0</v>
      </c>
      <c r="BG15" s="3">
        <f>IF(AND($F$14=$F$15,$I$14&gt;SUM($K$14:BF14),BG14&gt;($J$14/7)),"",IF(AND(BG14&lt;&gt;0,$D$14=$D$15,$J$15&gt;(SUM($K$14:BF14))),"",(IF($I$15&gt;$J$15+(SUM($K$15:BF15)),$J$15,$I$15-(SUM($K$15:BF15))))))</f>
        <v>0</v>
      </c>
      <c r="BH15" s="3">
        <f>IF(AND($F$14=$F$15,$I$14&gt;SUM($K$14:BG14),BH14&gt;($J$14/7)),"",IF(AND(BH14&lt;&gt;0,$D$14=$D$15,$J$15&gt;(SUM($K$14:BG14))),"",(IF($I$15&gt;$J$15+(SUM($K$15:BG15)),$J$15,$I$15-(SUM($K$15:BG15))))))</f>
        <v>0</v>
      </c>
      <c r="BI15" s="3">
        <f>IF(AND($F$14=$F$15,$I$14&gt;SUM($K$14:BH14),BI14&gt;($J$14/7)),"",IF(AND(BI14&lt;&gt;0,$D$14=$D$15,$J$15&gt;(SUM($K$14:BH14))),"",(IF($I$15&gt;$J$15+(SUM($K$15:BH15)),$J$15,$I$15-(SUM($K$15:BH15))))))</f>
        <v>0</v>
      </c>
      <c r="BJ15" s="3">
        <f>IF(AND($F$14=$F$15,$I$14&gt;SUM($K$14:BI14),BJ14&gt;($J$14/7)),"",IF(AND(BJ14&lt;&gt;0,$D$14=$D$15,$J$15&gt;(SUM($K$14:BI14))),"",(IF($I$15&gt;$J$15+(SUM($K$15:BI15)),$J$15,$I$15-(SUM($K$15:BI15))))))</f>
        <v>0</v>
      </c>
      <c r="BK15" s="3">
        <f>IF(AND($F$14=$F$15,$I$14&gt;SUM($K$14:BJ14),BK14&gt;($J$14/7)),"",IF(AND(BK14&lt;&gt;0,$D$14=$D$15,$J$15&gt;(SUM($K$14:BJ14))),"",(IF($I$15&gt;$J$15+(SUM($K$15:BJ15)),$J$15,$I$15-(SUM($K$15:BJ15))))))</f>
        <v>0</v>
      </c>
      <c r="BL15" s="3">
        <f>IF(AND($F$14=$F$15,$I$14&gt;SUM($K$14:BK14),BL14&gt;($J$14/7)),"",IF(AND(BL14&lt;&gt;0,$D$14=$D$15,$J$15&gt;(SUM($K$14:BK14))),"",(IF($I$15&gt;$J$15+(SUM($K$15:BK15)),$J$15,$I$15-(SUM($K$15:BK15))))))</f>
        <v>0</v>
      </c>
      <c r="BM15" s="3">
        <f>IF(AND($F$14=$F$15,$I$14&gt;SUM($K$14:BL14),BM14&gt;($J$14/7)),"",IF(AND(BM14&lt;&gt;0,$D$14=$D$15,$J$15&gt;(SUM($K$14:BL14))),"",(IF($I$15&gt;$J$15+(SUM($K$15:BL15)),$J$15,$I$15-(SUM($K$15:BL15))))))</f>
        <v>0</v>
      </c>
      <c r="BN15" s="3">
        <f>IF(AND($F$14=$F$15,$I$14&gt;SUM($K$14:BM14),BN14&gt;($J$14/7)),"",IF(AND(BN14&lt;&gt;0,$D$14=$D$15,$J$15&gt;(SUM($K$14:BM14))),"",(IF($I$15&gt;$J$15+(SUM($K$15:BM15)),$J$15,$I$15-(SUM($K$15:BM15))))))</f>
        <v>0</v>
      </c>
      <c r="BO15" s="3">
        <f>IF(AND($F$14=$F$15,$I$14&gt;SUM($K$14:BN14),BO14&gt;($J$14/7)),"",IF(AND(BO14&lt;&gt;0,$D$14=$D$15,$J$15&gt;(SUM($K$14:BN14))),"",(IF($I$15&gt;$J$15+(SUM($K$15:BN15)),$J$15,$I$15-(SUM($K$15:BN15))))))</f>
        <v>0</v>
      </c>
      <c r="BP15" s="3">
        <f>IF(AND($F$14=$F$15,$I$14&gt;SUM($K$14:BO14),BP14&gt;($J$14/7)),"",IF(AND(BP14&lt;&gt;0,$D$14=$D$15,$J$15&gt;(SUM($K$14:BO14))),"",(IF($I$15&gt;$J$15+(SUM($K$15:BO15)),$J$15,$I$15-(SUM($K$15:BO15))))))</f>
        <v>0</v>
      </c>
      <c r="BQ15" s="3">
        <f>IF(AND($F$14=$F$15,$I$14&gt;SUM($K$14:BP14),BQ14&gt;($J$14/7)),"",IF(AND(BQ14&lt;&gt;0,$D$14=$D$15,$J$15&gt;(SUM($K$14:BP14))),"",(IF($I$15&gt;$J$15+(SUM($K$15:BP15)),$J$15,$I$15-(SUM($K$15:BP15))))))</f>
        <v>0</v>
      </c>
      <c r="BR15" s="3">
        <f>IF(AND($F$14=$F$15,$I$14&gt;SUM($K$14:BQ14),BR14&gt;($J$14/7)),"",IF(AND(BR14&lt;&gt;0,$D$14=$D$15,$J$15&gt;(SUM($K$14:BQ14))),"",(IF($I$15&gt;$J$15+(SUM($K$15:BQ15)),$J$15,$I$15-(SUM($K$15:BQ15))))))</f>
        <v>0</v>
      </c>
      <c r="BS15" s="3">
        <f>IF(AND($F$14=$F$15,$I$14&gt;SUM($K$14:BR14),BS14&gt;($J$14/7)),"",IF(AND(BS14&lt;&gt;0,$D$14=$D$15,$J$15&gt;(SUM($K$14:BR14))),"",(IF($I$15&gt;$J$15+(SUM($K$15:BR15)),$J$15,$I$15-(SUM($K$15:BR15))))))</f>
        <v>0</v>
      </c>
      <c r="BT15" s="3">
        <f>IF(AND($F$14=$F$15,$I$14&gt;SUM($K$14:BS14),BT14&gt;($J$14/7)),"",IF(AND(BT14&lt;&gt;0,$D$14=$D$15,$J$15&gt;(SUM($K$14:BS14))),"",(IF($I$15&gt;$J$15+(SUM($K$15:BS15)),$J$15,$I$15-(SUM($K$15:BS15))))))</f>
        <v>0</v>
      </c>
      <c r="BU15" s="3">
        <f>IF(AND($F$14=$F$15,$I$14&gt;SUM($K$14:BT14),BU14&gt;($J$14/7)),"",IF(AND(BU14&lt;&gt;0,$D$14=$D$15,$J$15&gt;(SUM($K$14:BT14))),"",(IF($I$15&gt;$J$15+(SUM($K$15:BT15)),$J$15,$I$15-(SUM($K$15:BT15))))))</f>
        <v>0</v>
      </c>
      <c r="BV15" s="3">
        <f>IF(AND($F$14=$F$15,$I$14&gt;SUM($K$14:BU14),BV14&gt;($J$14/7)),"",IF(AND(BV14&lt;&gt;0,$D$14=$D$15,$J$15&gt;(SUM($K$14:BU14))),"",(IF($I$15&gt;$J$15+(SUM($K$15:BU15)),$J$15,$I$15-(SUM($K$15:BU15))))))</f>
        <v>0</v>
      </c>
      <c r="BW15" s="3">
        <f>IF(AND($F$14=$F$15,$I$14&gt;SUM($K$14:BV14),BW14&gt;($J$14/7)),"",IF(AND(BW14&lt;&gt;0,$D$14=$D$15,$J$15&gt;(SUM($K$14:BV14))),"",(IF($I$15&gt;$J$15+(SUM($K$15:BV15)),$J$15,$I$15-(SUM($K$15:BV15))))))</f>
        <v>0</v>
      </c>
      <c r="BX15" s="3">
        <f>IF(AND($F$14=$F$15,$I$14&gt;SUM($K$14:BW14),BX14&gt;($J$14/7)),"",IF(AND(BX14&lt;&gt;0,$D$14=$D$15,$J$15&gt;(SUM($K$14:BW14))),"",(IF($I$15&gt;$J$15+(SUM($K$15:BW15)),$J$15,$I$15-(SUM($K$15:BW15))))))</f>
        <v>0</v>
      </c>
      <c r="BY15" s="3">
        <f>IF(AND($F$14=$F$15,$I$14&gt;SUM($K$14:BX14),BY14&gt;($J$14/7)),"",IF(AND(BY14&lt;&gt;0,$D$14=$D$15,$J$15&gt;(SUM($K$14:BX14))),"",(IF($I$15&gt;$J$15+(SUM($K$15:BX15)),$J$15,$I$15-(SUM($K$15:BX15))))))</f>
        <v>0</v>
      </c>
      <c r="BZ15" s="3">
        <f>IF(AND($F$14=$F$15,$I$14&gt;SUM($K$14:BY14),BZ14&gt;($J$14/7)),"",IF(AND(BZ14&lt;&gt;0,$D$14=$D$15,$J$15&gt;(SUM($K$14:BY14))),"",(IF($I$15&gt;$J$15+(SUM($K$15:BY15)),$J$15,$I$15-(SUM($K$15:BY15))))))</f>
        <v>0</v>
      </c>
      <c r="CA15" s="3">
        <f>IF(AND($F$14=$F$15,$I$14&gt;SUM($K$14:BZ14),CA14&gt;($J$14/7)),"",IF(AND(CA14&lt;&gt;0,$D$14=$D$15,$J$15&gt;(SUM($K$14:BZ14))),"",(IF($I$15&gt;$J$15+(SUM($K$15:BZ15)),$J$15,$I$15-(SUM($K$15:BZ15))))))</f>
        <v>0</v>
      </c>
      <c r="CB15" s="3">
        <f>IF(AND($F$14=$F$15,$I$14&gt;SUM($K$14:CA14),CB14&gt;($J$14/7)),"",IF(AND(CB14&lt;&gt;0,$D$14=$D$15,$J$15&gt;(SUM($K$14:CA14))),"",(IF($I$15&gt;$J$15+(SUM($K$15:CA15)),$J$15,$I$15-(SUM($K$15:CA15))))))</f>
        <v>0</v>
      </c>
      <c r="CC15" s="3">
        <f>IF(AND($F$14=$F$15,$I$14&gt;SUM($K$14:CB14),CC14&gt;($J$14/7)),"",IF(AND(CC14&lt;&gt;0,$D$14=$D$15,$J$15&gt;(SUM($K$14:CB14))),"",(IF($I$15&gt;$J$15+(SUM($K$15:CB15)),$J$15,$I$15-(SUM($K$15:CB15))))))</f>
        <v>0</v>
      </c>
      <c r="CD15" s="3">
        <f>IF(AND($F$14=$F$15,$I$14&gt;SUM($K$14:CC14),CD14&gt;($J$14/7)),"",IF(AND(CD14&lt;&gt;0,$D$14=$D$15,$J$15&gt;(SUM($K$14:CC14))),"",(IF($I$15&gt;$J$15+(SUM($K$15:CC15)),$J$15,$I$15-(SUM($K$15:CC15))))))</f>
        <v>0</v>
      </c>
      <c r="CE15" s="3">
        <f>IF(AND($F$14=$F$15,$I$14&gt;SUM($K$14:CD14),CE14&gt;($J$14/7)),"",IF(AND(CE14&lt;&gt;0,$D$14=$D$15,$J$15&gt;(SUM($K$14:CD14))),"",(IF($I$15&gt;$J$15+(SUM($K$15:CD15)),$J$15,$I$15-(SUM($K$15:CD15))))))</f>
        <v>0</v>
      </c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</row>
    <row r="16" spans="1:251" x14ac:dyDescent="0.25">
      <c r="A16" s="6">
        <v>14</v>
      </c>
      <c r="B16" t="str">
        <f t="shared" si="3"/>
        <v/>
      </c>
      <c r="C16" t="str">
        <f t="shared" si="4"/>
        <v>0</v>
      </c>
      <c r="E16" s="101"/>
      <c r="F16" s="27"/>
      <c r="G16" s="2">
        <f t="shared" si="0"/>
        <v>0</v>
      </c>
      <c r="H16" s="9">
        <f t="shared" si="1"/>
        <v>0</v>
      </c>
      <c r="I16" s="2">
        <f t="shared" si="2"/>
        <v>0</v>
      </c>
      <c r="J16" s="2">
        <f t="shared" si="5"/>
        <v>0</v>
      </c>
      <c r="K16" t="str">
        <f t="shared" si="6"/>
        <v/>
      </c>
      <c r="L16" s="3">
        <f>IF(AND($F$15=$F$16,$I$15&gt;SUM($K$15:K15),L15&gt;($J$15/7)),"",IF(AND(L15&lt;&gt;0,$D$15=$D$16,$J$16&gt;(SUM($K$15:K15))),"",(IF($I$16&gt;$J$16+(SUM($K$16:K16)),$J$16,$I$16-(SUM($K$16:K16))))))</f>
        <v>0</v>
      </c>
      <c r="M16" s="3">
        <f>IF(AND($F$15=$F$16,$I$15&gt;SUM($K$15:L15),M15&gt;($J$15/7)),"",IF(AND(M15&lt;&gt;0,$D$15=$D$16,$J$16&gt;(SUM($K$15:L15))),"",(IF($I$16&gt;$J$16+(SUM($K$16:L16)),$J$16,$I$16-(SUM($K$16:L16))))))</f>
        <v>0</v>
      </c>
      <c r="N16" s="3">
        <f>IF(AND($F$15=$F$16,$I$15&gt;SUM($K$15:M15),N15&gt;($J$15/7)),"",IF(AND(N15&lt;&gt;0,$D$15=$D$16,$J$16&gt;(SUM($K$15:M15))),"",(IF($I$16&gt;$J$16+(SUM($K$16:M16)),$J$16,$I$16-(SUM($K$16:M16))))))</f>
        <v>0</v>
      </c>
      <c r="O16" s="3">
        <f>IF(AND($F$15=$F$16,$I$15&gt;SUM($K$15:N15),O15&gt;($J$15/7)),"",IF(AND(O15&lt;&gt;0,$D$15=$D$16,$J$16&gt;(SUM($K$15:N15))),"",(IF($I$16&gt;$J$16+(SUM($K$16:N16)),$J$16,$I$16-(SUM($K$16:N16))))))</f>
        <v>0</v>
      </c>
      <c r="P16" s="3">
        <f>IF(AND($F$15=$F$16,$I$15&gt;SUM($K$15:O15),P15&gt;($J$15/7)),"",IF(AND(P15&lt;&gt;0,$D$15=$D$16,$J$16&gt;(SUM($K$15:O15))),"",(IF($I$16&gt;$J$16+(SUM($K$16:O16)),$J$16,$I$16-(SUM($K$16:O16))))))</f>
        <v>0</v>
      </c>
      <c r="Q16" s="3">
        <f>IF(AND($F$15=$F$16,$I$15&gt;SUM($K$15:P15),Q15&gt;($J$15/7)),"",IF(AND(Q15&lt;&gt;0,$D$15=$D$16,$J$16&gt;(SUM($K$15:P15))),"",(IF($I$16&gt;$J$16+(SUM($K$16:P16)),$J$16,$I$16-(SUM($K$16:P16))))))</f>
        <v>0</v>
      </c>
      <c r="R16" s="3">
        <f>IF(AND($F$15=$F$16,$I$15&gt;SUM($K$15:Q15),R15&gt;($J$15/7)),"",IF(AND(R15&lt;&gt;0,$D$15=$D$16,$J$16&gt;(SUM($K$15:Q15))),"",(IF($I$16&gt;$J$16+(SUM($K$16:Q16)),$J$16,$I$16-(SUM($K$16:Q16))))))</f>
        <v>0</v>
      </c>
      <c r="S16" s="3">
        <f>IF(AND($F$15=$F$16,$I$15&gt;SUM($K$15:R15),S15&gt;($J$15/7)),"",IF(AND(S15&lt;&gt;0,$D$15=$D$16,$J$16&gt;(SUM($K$15:R15))),"",(IF($I$16&gt;$J$16+(SUM($K$16:R16)),$J$16,$I$16-(SUM($K$16:R16))))))</f>
        <v>0</v>
      </c>
      <c r="T16" s="3">
        <f>IF(AND($F$15=$F$16,$I$15&gt;SUM($K$15:S15),T15&gt;($J$15/7)),"",IF(AND(T15&lt;&gt;0,$D$15=$D$16,$J$16&gt;(SUM($K$15:S15))),"",(IF($I$16&gt;$J$16+(SUM($K$16:S16)),$J$16,$I$16-(SUM($K$16:S16))))))</f>
        <v>0</v>
      </c>
      <c r="U16" s="3">
        <f>IF(AND($F$15=$F$16,$I$15&gt;SUM($K$15:T15),U15&gt;($J$15/7)),"",IF(AND(U15&lt;&gt;0,$D$15=$D$16,$J$16&gt;(SUM($K$15:T15))),"",(IF($I$16&gt;$J$16+(SUM($K$16:T16)),$J$16,$I$16-(SUM($K$16:T16))))))</f>
        <v>0</v>
      </c>
      <c r="V16" s="3">
        <f>IF(AND($F$15=$F$16,$I$15&gt;SUM($K$15:U15),V15&gt;($J$15/7)),"",IF(AND(V15&lt;&gt;0,$D$15=$D$16,$J$16&gt;(SUM($K$15:U15))),"",(IF($I$16&gt;$J$16+(SUM($K$16:U16)),$J$16,$I$16-(SUM($K$16:U16))))))</f>
        <v>0</v>
      </c>
      <c r="W16" s="3">
        <f>IF(AND($F$15=$F$16,$I$15&gt;SUM($K$15:V15),W15&gt;($J$15/7)),"",IF(AND(W15&lt;&gt;0,$D$15=$D$16,$J$16&gt;(SUM($K$15:V15))),"",(IF($I$16&gt;$J$16+(SUM($K$16:V16)),$J$16,$I$16-(SUM($K$16:V16))))))</f>
        <v>0</v>
      </c>
      <c r="X16" s="3">
        <f>IF(AND($F$15=$F$16,$I$15&gt;SUM($K$15:W15),X15&gt;($J$15/7)),"",IF(AND(X15&lt;&gt;0,$D$15=$D$16,$J$16&gt;(SUM($K$15:W15))),"",(IF($I$16&gt;$J$16+(SUM($K$16:W16)),$J$16,$I$16-(SUM($K$16:W16))))))</f>
        <v>0</v>
      </c>
      <c r="Y16" s="3">
        <f>IF(AND($F$15=$F$16,$I$15&gt;SUM($K$15:X15),Y15&gt;($J$15/7)),"",IF(AND(Y15&lt;&gt;0,$D$15=$D$16,$J$16&gt;(SUM($K$15:X15))),"",(IF($I$16&gt;$J$16+(SUM($K$16:X16)),$J$16,$I$16-(SUM($K$16:X16))))))</f>
        <v>0</v>
      </c>
      <c r="Z16" s="3">
        <f>IF(AND($F$15=$F$16,$I$15&gt;SUM($K$15:Y15),Z15&gt;($J$15/7)),"",IF(AND(Z15&lt;&gt;0,$D$15=$D$16,$J$16&gt;(SUM($K$15:Y15))),"",(IF($I$16&gt;$J$16+(SUM($K$16:Y16)),$J$16,$I$16-(SUM($K$16:Y16))))))</f>
        <v>0</v>
      </c>
      <c r="AA16" s="3">
        <f>IF(AND($F$15=$F$16,$I$15&gt;SUM($K$15:Z15),AA15&gt;($J$15/7)),"",IF(AND(AA15&lt;&gt;0,$D$15=$D$16,$J$16&gt;(SUM($K$15:Z15))),"",(IF($I$16&gt;$J$16+(SUM($K$16:Z16)),$J$16,$I$16-(SUM($K$16:Z16))))))</f>
        <v>0</v>
      </c>
      <c r="AB16" s="3">
        <f>IF(AND($F$15=$F$16,$I$15&gt;SUM($K$15:AA15),AB15&gt;($J$15/7)),"",IF(AND(AB15&lt;&gt;0,$D$15=$D$16,$J$16&gt;(SUM($K$15:AA15))),"",(IF($I$16&gt;$J$16+(SUM($K$16:AA16)),$J$16,$I$16-(SUM($K$16:AA16))))))</f>
        <v>0</v>
      </c>
      <c r="AC16" s="3">
        <f>IF(AND($F$15=$F$16,$I$15&gt;SUM($K$15:AB15),AC15&gt;($J$15/7)),"",IF(AND(AC15&lt;&gt;0,$D$15=$D$16,$J$16&gt;(SUM($K$15:AB15))),"",(IF($I$16&gt;$J$16+(SUM($K$16:AB16)),$J$16,$I$16-(SUM($K$16:AB16))))))</f>
        <v>0</v>
      </c>
      <c r="AD16" s="3">
        <f>IF(AND($F$15=$F$16,$I$15&gt;SUM($K$15:AC15),AD15&gt;($J$15/7)),"",IF(AND(AD15&lt;&gt;0,$D$15=$D$16,$J$16&gt;(SUM($K$15:AC15))),"",(IF($I$16&gt;$J$16+(SUM($K$16:AC16)),$J$16,$I$16-(SUM($K$16:AC16))))))</f>
        <v>0</v>
      </c>
      <c r="AE16" s="3">
        <f>IF(AND($F$15=$F$16,$I$15&gt;SUM($K$15:AD15),AE15&gt;($J$15/7)),"",IF(AND(AE15&lt;&gt;0,$D$15=$D$16,$J$16&gt;(SUM($K$15:AD15))),"",(IF($I$16&gt;$J$16+(SUM($K$16:AD16)),$J$16,$I$16-(SUM($K$16:AD16))))))</f>
        <v>0</v>
      </c>
      <c r="AF16" s="3">
        <f>IF(AND($F$15=$F$16,$I$15&gt;SUM($K$15:AE15),AF15&gt;($J$15/7)),"",IF(AND(AF15&lt;&gt;0,$D$15=$D$16,$J$16&gt;(SUM($K$15:AE15))),"",(IF($I$16&gt;$J$16+(SUM($K$16:AE16)),$J$16,$I$16-(SUM($K$16:AE16))))))</f>
        <v>0</v>
      </c>
      <c r="AG16" s="3">
        <f>IF(AND($F$15=$F$16,$I$15&gt;SUM($K$15:AF15),AG15&gt;($J$15/7)),"",IF(AND(AG15&lt;&gt;0,$D$15=$D$16,$J$16&gt;(SUM($K$15:AF15))),"",(IF($I$16&gt;$J$16+(SUM($K$16:AF16)),$J$16,$I$16-(SUM($K$16:AF16))))))</f>
        <v>0</v>
      </c>
      <c r="AH16" s="3">
        <f>IF(AND($F$15=$F$16,$I$15&gt;SUM($K$15:AG15),AH15&gt;($J$15/7)),"",IF(AND(AH15&lt;&gt;0,$D$15=$D$16,$J$16&gt;(SUM($K$15:AG15))),"",(IF($I$16&gt;$J$16+(SUM($K$16:AG16)),$J$16,$I$16-(SUM($K$16:AG16))))))</f>
        <v>0</v>
      </c>
      <c r="AI16" s="3">
        <f>IF(AND($F$15=$F$16,$I$15&gt;SUM($K$15:AH15),AI15&gt;($J$15/7)),"",IF(AND(AI15&lt;&gt;0,$D$15=$D$16,$J$16&gt;(SUM($K$15:AH15))),"",(IF($I$16&gt;$J$16+(SUM($K$16:AH16)),$J$16,$I$16-(SUM($K$16:AH16))))))</f>
        <v>0</v>
      </c>
      <c r="AJ16" s="3">
        <f>IF(AND($F$15=$F$16,$I$15&gt;SUM($K$15:AI15),AJ15&gt;($J$15/7)),"",IF(AND(AJ15&lt;&gt;0,$D$15=$D$16,$J$16&gt;(SUM($K$15:AI15))),"",(IF($I$16&gt;$J$16+(SUM($K$16:AI16)),$J$16,$I$16-(SUM($K$16:AI16))))))</f>
        <v>0</v>
      </c>
      <c r="AK16" s="3">
        <f>IF(AND($F$15=$F$16,$I$15&gt;SUM($K$15:AJ15),AK15&gt;($J$15/7)),"",IF(AND(AK15&lt;&gt;0,$D$15=$D$16,$J$16&gt;(SUM($K$15:AJ15))),"",(IF($I$16&gt;$J$16+(SUM($K$16:AJ16)),$J$16,$I$16-(SUM($K$16:AJ16))))))</f>
        <v>0</v>
      </c>
      <c r="AL16" s="3">
        <f>IF(AND($F$15=$F$16,$I$15&gt;SUM($K$15:AK15),AL15&gt;($J$15/7)),"",IF(AND(AL15&lt;&gt;0,$D$15=$D$16,$J$16&gt;(SUM($K$15:AK15))),"",(IF($I$16&gt;$J$16+(SUM($K$16:AK16)),$J$16,$I$16-(SUM($K$16:AK16))))))</f>
        <v>0</v>
      </c>
      <c r="AM16" s="3">
        <f>IF(AND($F$15=$F$16,$I$15&gt;SUM($K$15:AL15),AM15&gt;($J$15/7)),"",IF(AND(AM15&lt;&gt;0,$D$15=$D$16,$J$16&gt;(SUM($K$15:AL15))),"",(IF($I$16&gt;$J$16+(SUM($K$16:AL16)),$J$16,$I$16-(SUM($K$16:AL16))))))</f>
        <v>0</v>
      </c>
      <c r="AN16" s="3">
        <f>IF(AND($F$15=$F$16,$I$15&gt;SUM($K$15:AM15),AN15&gt;($J$15/7)),"",IF(AND(AN15&lt;&gt;0,$D$15=$D$16,$J$16&gt;(SUM($K$15:AM15))),"",(IF($I$16&gt;$J$16+(SUM($K$16:AM16)),$J$16,$I$16-(SUM($K$16:AM16))))))</f>
        <v>0</v>
      </c>
      <c r="AO16" s="3">
        <f>IF(AND($F$15=$F$16,$I$15&gt;SUM($K$15:AN15),AO15&gt;($J$15/7)),"",IF(AND(AO15&lt;&gt;0,$D$15=$D$16,$J$16&gt;(SUM($K$15:AN15))),"",(IF($I$16&gt;$J$16+(SUM($K$16:AN16)),$J$16,$I$16-(SUM($K$16:AN16))))))</f>
        <v>0</v>
      </c>
      <c r="AP16" s="3">
        <f>IF(AND($F$15=$F$16,$I$15&gt;SUM($K$15:AO15),AP15&gt;($J$15/7)),"",IF(AND(AP15&lt;&gt;0,$D$15=$D$16,$J$16&gt;(SUM($K$15:AO15))),"",(IF($I$16&gt;$J$16+(SUM($K$16:AO16)),$J$16,$I$16-(SUM($K$16:AO16))))))</f>
        <v>0</v>
      </c>
      <c r="AQ16" s="3">
        <f>IF(AND($F$15=$F$16,$I$15&gt;SUM($K$15:AP15),AQ15&gt;($J$15/7)),"",IF(AND(AQ15&lt;&gt;0,$D$15=$D$16,$J$16&gt;(SUM($K$15:AP15))),"",(IF($I$16&gt;$J$16+(SUM($K$16:AP16)),$J$16,$I$16-(SUM($K$16:AP16))))))</f>
        <v>0</v>
      </c>
      <c r="AR16" s="3">
        <f>IF(AND($F$15=$F$16,$I$15&gt;SUM($K$15:AQ15),AR15&gt;($J$15/7)),"",IF(AND(AR15&lt;&gt;0,$D$15=$D$16,$J$16&gt;(SUM($K$15:AQ15))),"",(IF($I$16&gt;$J$16+(SUM($K$16:AQ16)),$J$16,$I$16-(SUM($K$16:AQ16))))))</f>
        <v>0</v>
      </c>
      <c r="AS16" s="3">
        <f>IF(AND($F$15=$F$16,$I$15&gt;SUM($K$15:AR15),AS15&gt;($J$15/7)),"",IF(AND(AS15&lt;&gt;0,$D$15=$D$16,$J$16&gt;(SUM($K$15:AR15))),"",(IF($I$16&gt;$J$16+(SUM($K$16:AR16)),$J$16,$I$16-(SUM($K$16:AR16))))))</f>
        <v>0</v>
      </c>
      <c r="AT16" s="3">
        <f>IF(AND($F$15=$F$16,$I$15&gt;SUM($K$15:AS15),AT15&gt;($J$15/7)),"",IF(AND(AT15&lt;&gt;0,$D$15=$D$16,$J$16&gt;(SUM($K$15:AS15))),"",(IF($I$16&gt;$J$16+(SUM($K$16:AS16)),$J$16,$I$16-(SUM($K$16:AS16))))))</f>
        <v>0</v>
      </c>
      <c r="AU16" s="3">
        <f>IF(AND($F$15=$F$16,$I$15&gt;SUM($K$15:AT15),AU15&gt;($J$15/7)),"",IF(AND(AU15&lt;&gt;0,$D$15=$D$16,$J$16&gt;(SUM($K$15:AT15))),"",(IF($I$16&gt;$J$16+(SUM($K$16:AT16)),$J$16,$I$16-(SUM($K$16:AT16))))))</f>
        <v>0</v>
      </c>
      <c r="AV16" s="3">
        <f>IF(AND($F$15=$F$16,$I$15&gt;SUM($K$15:AU15),AV15&gt;($J$15/7)),"",IF(AND(AV15&lt;&gt;0,$D$15=$D$16,$J$16&gt;(SUM($K$15:AU15))),"",(IF($I$16&gt;$J$16+(SUM($K$16:AU16)),$J$16,$I$16-(SUM($K$16:AU16))))))</f>
        <v>0</v>
      </c>
      <c r="AW16" s="3">
        <f>IF(AND($F$15=$F$16,$I$15&gt;SUM($K$15:AV15),AW15&gt;($J$15/7)),"",IF(AND(AW15&lt;&gt;0,$D$15=$D$16,$J$16&gt;(SUM($K$15:AV15))),"",(IF($I$16&gt;$J$16+(SUM($K$16:AV16)),$J$16,$I$16-(SUM($K$16:AV16))))))</f>
        <v>0</v>
      </c>
      <c r="AX16" s="3">
        <f>IF(AND($F$15=$F$16,$I$15&gt;SUM($K$15:AW15),AX15&gt;($J$15/7)),"",IF(AND(AX15&lt;&gt;0,$D$15=$D$16,$J$16&gt;(SUM($K$15:AW15))),"",(IF($I$16&gt;$J$16+(SUM($K$16:AW16)),$J$16,$I$16-(SUM($K$16:AW16))))))</f>
        <v>0</v>
      </c>
      <c r="AY16" s="3">
        <f>IF(AND($F$15=$F$16,$I$15&gt;SUM($K$15:AX15),AY15&gt;($J$15/7)),"",IF(AND(AY15&lt;&gt;0,$D$15=$D$16,$J$16&gt;(SUM($K$15:AX15))),"",(IF($I$16&gt;$J$16+(SUM($K$16:AX16)),$J$16,$I$16-(SUM($K$16:AX16))))))</f>
        <v>0</v>
      </c>
      <c r="AZ16" s="3">
        <f>IF(AND($F$15=$F$16,$I$15&gt;SUM($K$15:AY15),AZ15&gt;($J$15/7)),"",IF(AND(AZ15&lt;&gt;0,$D$15=$D$16,$J$16&gt;(SUM($K$15:AY15))),"",(IF($I$16&gt;$J$16+(SUM($K$16:AY16)),$J$16,$I$16-(SUM($K$16:AY16))))))</f>
        <v>0</v>
      </c>
      <c r="BA16" s="3">
        <f>IF(AND($F$15=$F$16,$I$15&gt;SUM($K$15:AZ15),BA15&gt;($J$15/7)),"",IF(AND(BA15&lt;&gt;0,$D$15=$D$16,$J$16&gt;(SUM($K$15:AZ15))),"",(IF($I$16&gt;$J$16+(SUM($K$16:AZ16)),$J$16,$I$16-(SUM($K$16:AZ16))))))</f>
        <v>0</v>
      </c>
      <c r="BB16" s="3">
        <f>IF(AND($F$15=$F$16,$I$15&gt;SUM($K$15:BA15),BB15&gt;($J$15/7)),"",IF(AND(BB15&lt;&gt;0,$D$15=$D$16,$J$16&gt;(SUM($K$15:BA15))),"",(IF($I$16&gt;$J$16+(SUM($K$16:BA16)),$J$16,$I$16-(SUM($K$16:BA16))))))</f>
        <v>0</v>
      </c>
      <c r="BC16" s="3">
        <f>IF(AND($F$15=$F$16,$I$15&gt;SUM($K$15:BB15),BC15&gt;($J$15/7)),"",IF(AND(BC15&lt;&gt;0,$D$15=$D$16,$J$16&gt;(SUM($K$15:BB15))),"",(IF($I$16&gt;$J$16+(SUM($K$16:BB16)),$J$16,$I$16-(SUM($K$16:BB16))))))</f>
        <v>0</v>
      </c>
      <c r="BD16" s="3">
        <f>IF(AND($F$15=$F$16,$I$15&gt;SUM($K$15:BC15),BD15&gt;($J$15/7)),"",IF(AND(BD15&lt;&gt;0,$D$15=$D$16,$J$16&gt;(SUM($K$15:BC15))),"",(IF($I$16&gt;$J$16+(SUM($K$16:BC16)),$J$16,$I$16-(SUM($K$16:BC16))))))</f>
        <v>0</v>
      </c>
      <c r="BE16" s="3">
        <f>IF(AND($F$15=$F$16,$I$15&gt;SUM($K$15:BD15),BE15&gt;($J$15/7)),"",IF(AND(BE15&lt;&gt;0,$D$15=$D$16,$J$16&gt;(SUM($K$15:BD15))),"",(IF($I$16&gt;$J$16+(SUM($K$16:BD16)),$J$16,$I$16-(SUM($K$16:BD16))))))</f>
        <v>0</v>
      </c>
      <c r="BF16" s="3">
        <f>IF(AND($F$15=$F$16,$I$15&gt;SUM($K$15:BE15),BF15&gt;($J$15/7)),"",IF(AND(BF15&lt;&gt;0,$D$15=$D$16,$J$16&gt;(SUM($K$15:BE15))),"",(IF($I$16&gt;$J$16+(SUM($K$16:BE16)),$J$16,$I$16-(SUM($K$16:BE16))))))</f>
        <v>0</v>
      </c>
      <c r="BG16" s="3">
        <f>IF(AND($F$15=$F$16,$I$15&gt;SUM($K$15:BF15),BG15&gt;($J$15/7)),"",IF(AND(BG15&lt;&gt;0,$D$15=$D$16,$J$16&gt;(SUM($K$15:BF15))),"",(IF($I$16&gt;$J$16+(SUM($K$16:BF16)),$J$16,$I$16-(SUM($K$16:BF16))))))</f>
        <v>0</v>
      </c>
      <c r="BH16" s="3">
        <f>IF(AND($F$15=$F$16,$I$15&gt;SUM($K$15:BG15),BH15&gt;($J$15/7)),"",IF(AND(BH15&lt;&gt;0,$D$15=$D$16,$J$16&gt;(SUM($K$15:BG15))),"",(IF($I$16&gt;$J$16+(SUM($K$16:BG16)),$J$16,$I$16-(SUM($K$16:BG16))))))</f>
        <v>0</v>
      </c>
      <c r="BI16" s="3">
        <f>IF(AND($F$15=$F$16,$I$15&gt;SUM($K$15:BH15),BI15&gt;($J$15/7)),"",IF(AND(BI15&lt;&gt;0,$D$15=$D$16,$J$16&gt;(SUM($K$15:BH15))),"",(IF($I$16&gt;$J$16+(SUM($K$16:BH16)),$J$16,$I$16-(SUM($K$16:BH16))))))</f>
        <v>0</v>
      </c>
      <c r="BJ16" s="3">
        <f>IF(AND($F$15=$F$16,$I$15&gt;SUM($K$15:BI15),BJ15&gt;($J$15/7)),"",IF(AND(BJ15&lt;&gt;0,$D$15=$D$16,$J$16&gt;(SUM($K$15:BI15))),"",(IF($I$16&gt;$J$16+(SUM($K$16:BI16)),$J$16,$I$16-(SUM($K$16:BI16))))))</f>
        <v>0</v>
      </c>
      <c r="BK16" s="3">
        <f>IF(AND($F$15=$F$16,$I$15&gt;SUM($K$15:BJ15),BK15&gt;($J$15/7)),"",IF(AND(BK15&lt;&gt;0,$D$15=$D$16,$J$16&gt;(SUM($K$15:BJ15))),"",(IF($I$16&gt;$J$16+(SUM($K$16:BJ16)),$J$16,$I$16-(SUM($K$16:BJ16))))))</f>
        <v>0</v>
      </c>
      <c r="BL16" s="3">
        <f>IF(AND($F$15=$F$16,$I$15&gt;SUM($K$15:BK15),BL15&gt;($J$15/7)),"",IF(AND(BL15&lt;&gt;0,$D$15=$D$16,$J$16&gt;(SUM($K$15:BK15))),"",(IF($I$16&gt;$J$16+(SUM($K$16:BK16)),$J$16,$I$16-(SUM($K$16:BK16))))))</f>
        <v>0</v>
      </c>
      <c r="BM16" s="3">
        <f>IF(AND($F$15=$F$16,$I$15&gt;SUM($K$15:BL15),BM15&gt;($J$15/7)),"",IF(AND(BM15&lt;&gt;0,$D$15=$D$16,$J$16&gt;(SUM($K$15:BL15))),"",(IF($I$16&gt;$J$16+(SUM($K$16:BL16)),$J$16,$I$16-(SUM($K$16:BL16))))))</f>
        <v>0</v>
      </c>
      <c r="BN16" s="3">
        <f>IF(AND($F$15=$F$16,$I$15&gt;SUM($K$15:BM15),BN15&gt;($J$15/7)),"",IF(AND(BN15&lt;&gt;0,$D$15=$D$16,$J$16&gt;(SUM($K$15:BM15))),"",(IF($I$16&gt;$J$16+(SUM($K$16:BM16)),$J$16,$I$16-(SUM($K$16:BM16))))))</f>
        <v>0</v>
      </c>
      <c r="BO16" s="3">
        <f>IF(AND($F$15=$F$16,$I$15&gt;SUM($K$15:BN15),BO15&gt;($J$15/7)),"",IF(AND(BO15&lt;&gt;0,$D$15=$D$16,$J$16&gt;(SUM($K$15:BN15))),"",(IF($I$16&gt;$J$16+(SUM($K$16:BN16)),$J$16,$I$16-(SUM($K$16:BN16))))))</f>
        <v>0</v>
      </c>
      <c r="BP16" s="3">
        <f>IF(AND($F$15=$F$16,$I$15&gt;SUM($K$15:BO15),BP15&gt;($J$15/7)),"",IF(AND(BP15&lt;&gt;0,$D$15=$D$16,$J$16&gt;(SUM($K$15:BO15))),"",(IF($I$16&gt;$J$16+(SUM($K$16:BO16)),$J$16,$I$16-(SUM($K$16:BO16))))))</f>
        <v>0</v>
      </c>
      <c r="BQ16" s="3">
        <f>IF(AND($F$15=$F$16,$I$15&gt;SUM($K$15:BP15),BQ15&gt;($J$15/7)),"",IF(AND(BQ15&lt;&gt;0,$D$15=$D$16,$J$16&gt;(SUM($K$15:BP15))),"",(IF($I$16&gt;$J$16+(SUM($K$16:BP16)),$J$16,$I$16-(SUM($K$16:BP16))))))</f>
        <v>0</v>
      </c>
      <c r="BR16" s="3">
        <f>IF(AND($F$15=$F$16,$I$15&gt;SUM($K$15:BQ15),BR15&gt;($J$15/7)),"",IF(AND(BR15&lt;&gt;0,$D$15=$D$16,$J$16&gt;(SUM($K$15:BQ15))),"",(IF($I$16&gt;$J$16+(SUM($K$16:BQ16)),$J$16,$I$16-(SUM($K$16:BQ16))))))</f>
        <v>0</v>
      </c>
      <c r="BS16" s="3">
        <f>IF(AND($F$15=$F$16,$I$15&gt;SUM($K$15:BR15),BS15&gt;($J$15/7)),"",IF(AND(BS15&lt;&gt;0,$D$15=$D$16,$J$16&gt;(SUM($K$15:BR15))),"",(IF($I$16&gt;$J$16+(SUM($K$16:BR16)),$J$16,$I$16-(SUM($K$16:BR16))))))</f>
        <v>0</v>
      </c>
      <c r="BT16" s="3">
        <f>IF(AND($F$15=$F$16,$I$15&gt;SUM($K$15:BS15),BT15&gt;($J$15/7)),"",IF(AND(BT15&lt;&gt;0,$D$15=$D$16,$J$16&gt;(SUM($K$15:BS15))),"",(IF($I$16&gt;$J$16+(SUM($K$16:BS16)),$J$16,$I$16-(SUM($K$16:BS16))))))</f>
        <v>0</v>
      </c>
      <c r="BU16" s="3">
        <f>IF(AND($F$15=$F$16,$I$15&gt;SUM($K$15:BT15),BU15&gt;($J$15/7)),"",IF(AND(BU15&lt;&gt;0,$D$15=$D$16,$J$16&gt;(SUM($K$15:BT15))),"",(IF($I$16&gt;$J$16+(SUM($K$16:BT16)),$J$16,$I$16-(SUM($K$16:BT16))))))</f>
        <v>0</v>
      </c>
      <c r="BV16" s="3">
        <f>IF(AND($F$15=$F$16,$I$15&gt;SUM($K$15:BU15),BV15&gt;($J$15/7)),"",IF(AND(BV15&lt;&gt;0,$D$15=$D$16,$J$16&gt;(SUM($K$15:BU15))),"",(IF($I$16&gt;$J$16+(SUM($K$16:BU16)),$J$16,$I$16-(SUM($K$16:BU16))))))</f>
        <v>0</v>
      </c>
      <c r="BW16" s="3">
        <f>IF(AND($F$15=$F$16,$I$15&gt;SUM($K$15:BV15),BW15&gt;($J$15/7)),"",IF(AND(BW15&lt;&gt;0,$D$15=$D$16,$J$16&gt;(SUM($K$15:BV15))),"",(IF($I$16&gt;$J$16+(SUM($K$16:BV16)),$J$16,$I$16-(SUM($K$16:BV16))))))</f>
        <v>0</v>
      </c>
      <c r="BX16" s="3">
        <f>IF(AND($F$15=$F$16,$I$15&gt;SUM($K$15:BW15),BX15&gt;($J$15/7)),"",IF(AND(BX15&lt;&gt;0,$D$15=$D$16,$J$16&gt;(SUM($K$15:BW15))),"",(IF($I$16&gt;$J$16+(SUM($K$16:BW16)),$J$16,$I$16-(SUM($K$16:BW16))))))</f>
        <v>0</v>
      </c>
      <c r="BY16" s="3">
        <f>IF(AND($F$15=$F$16,$I$15&gt;SUM($K$15:BX15),BY15&gt;($J$15/7)),"",IF(AND(BY15&lt;&gt;0,$D$15=$D$16,$J$16&gt;(SUM($K$15:BX15))),"",(IF($I$16&gt;$J$16+(SUM($K$16:BX16)),$J$16,$I$16-(SUM($K$16:BX16))))))</f>
        <v>0</v>
      </c>
      <c r="BZ16" s="3">
        <f>IF(AND($F$15=$F$16,$I$15&gt;SUM($K$15:BY15),BZ15&gt;($J$15/7)),"",IF(AND(BZ15&lt;&gt;0,$D$15=$D$16,$J$16&gt;(SUM($K$15:BY15))),"",(IF($I$16&gt;$J$16+(SUM($K$16:BY16)),$J$16,$I$16-(SUM($K$16:BY16))))))</f>
        <v>0</v>
      </c>
      <c r="CA16" s="3">
        <f>IF(AND($F$15=$F$16,$I$15&gt;SUM($K$15:BZ15),CA15&gt;($J$15/7)),"",IF(AND(CA15&lt;&gt;0,$D$15=$D$16,$J$16&gt;(SUM($K$15:BZ15))),"",(IF($I$16&gt;$J$16+(SUM($K$16:BZ16)),$J$16,$I$16-(SUM($K$16:BZ16))))))</f>
        <v>0</v>
      </c>
      <c r="CB16" s="3">
        <f>IF(AND($F$15=$F$16,$I$15&gt;SUM($K$15:CA15),CB15&gt;($J$15/7)),"",IF(AND(CB15&lt;&gt;0,$D$15=$D$16,$J$16&gt;(SUM($K$15:CA15))),"",(IF($I$16&gt;$J$16+(SUM($K$16:CA16)),$J$16,$I$16-(SUM($K$16:CA16))))))</f>
        <v>0</v>
      </c>
      <c r="CC16" s="3">
        <f>IF(AND($F$15=$F$16,$I$15&gt;SUM($K$15:CB15),CC15&gt;($J$15/7)),"",IF(AND(CC15&lt;&gt;0,$D$15=$D$16,$J$16&gt;(SUM($K$15:CB15))),"",(IF($I$16&gt;$J$16+(SUM($K$16:CB16)),$J$16,$I$16-(SUM($K$16:CB16))))))</f>
        <v>0</v>
      </c>
      <c r="CD16" s="3">
        <f>IF(AND($F$15=$F$16,$I$15&gt;SUM($K$15:CC15),CD15&gt;($J$15/7)),"",IF(AND(CD15&lt;&gt;0,$D$15=$D$16,$J$16&gt;(SUM($K$15:CC15))),"",(IF($I$16&gt;$J$16+(SUM($K$16:CC16)),$J$16,$I$16-(SUM($K$16:CC16))))))</f>
        <v>0</v>
      </c>
      <c r="CE16" s="3">
        <f>IF(AND($F$15=$F$16,$I$15&gt;SUM($K$15:CD15),CE15&gt;($J$15/7)),"",IF(AND(CE15&lt;&gt;0,$D$15=$D$16,$J$16&gt;(SUM($K$15:CD15))),"",(IF($I$16&gt;$J$16+(SUM($K$16:CD16)),$J$16,$I$16-(SUM($K$16:CD16))))))</f>
        <v>0</v>
      </c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</row>
    <row r="17" spans="1:164" x14ac:dyDescent="0.25">
      <c r="A17" s="6">
        <v>15</v>
      </c>
      <c r="B17" t="str">
        <f t="shared" si="3"/>
        <v/>
      </c>
      <c r="C17" t="str">
        <f t="shared" si="4"/>
        <v>0</v>
      </c>
      <c r="E17" s="101"/>
      <c r="F17" s="27"/>
      <c r="G17" s="2">
        <f t="shared" si="0"/>
        <v>0</v>
      </c>
      <c r="H17" s="9">
        <f t="shared" si="1"/>
        <v>0</v>
      </c>
      <c r="I17" s="2">
        <f t="shared" si="2"/>
        <v>0</v>
      </c>
      <c r="J17" s="2">
        <f t="shared" si="5"/>
        <v>0</v>
      </c>
      <c r="K17" t="str">
        <f t="shared" si="6"/>
        <v/>
      </c>
      <c r="L17" s="3">
        <f>IF(AND($F$16=$F$17,$I$16&gt;SUM($K$16:K16),L16&gt;($J$16/7)),"",IF(AND(L16&lt;&gt;0,$D$16=$D$17,$J$17&gt;(SUM($K$16:K16))),"",(IF($I$17&gt;$J$17+(SUM($K$17:K17)),$J$17,$I$17-(SUM($K$17:K17))))))</f>
        <v>0</v>
      </c>
      <c r="M17" s="3">
        <f>IF(AND($F$16=$F$17,$I$16&gt;SUM($K$16:L16),M16&gt;($J$16/7)),"",IF(AND(M16&lt;&gt;0,$D$16=$D$17,$J$17&gt;(SUM($K$16:L16))),"",(IF($I$17&gt;$J$17+(SUM($K$17:L17)),$J$17,$I$17-(SUM($K$17:L17))))))</f>
        <v>0</v>
      </c>
      <c r="N17" s="3">
        <f>IF(AND($F$16=$F$17,$I$16&gt;SUM($K$16:M16),N16&gt;($J$16/7)),"",IF(AND(N16&lt;&gt;0,$D$16=$D$17,$J$17&gt;(SUM($K$16:M16))),"",(IF($I$17&gt;$J$17+(SUM($K$17:M17)),$J$17,$I$17-(SUM($K$17:M17))))))</f>
        <v>0</v>
      </c>
      <c r="O17" s="3">
        <f>IF(AND($F$16=$F$17,$I$16&gt;SUM($K$16:N16),O16&gt;($J$16/7)),"",IF(AND(O16&lt;&gt;0,$D$16=$D$17,$J$17&gt;(SUM($K$16:N16))),"",(IF($I$17&gt;$J$17+(SUM($K$17:N17)),$J$17,$I$17-(SUM($K$17:N17))))))</f>
        <v>0</v>
      </c>
      <c r="P17" s="3">
        <f>IF(AND($F$16=$F$17,$I$16&gt;SUM($K$16:O16),P16&gt;($J$16/7)),"",IF(AND(P16&lt;&gt;0,$D$16=$D$17,$J$17&gt;(SUM($K$16:O16))),"",(IF($I$17&gt;$J$17+(SUM($K$17:O17)),$J$17,$I$17-(SUM($K$17:O17))))))</f>
        <v>0</v>
      </c>
      <c r="Q17" s="3">
        <f>IF(AND($F$16=$F$17,$I$16&gt;SUM($K$16:P16),Q16&gt;($J$16/7)),"",IF(AND(Q16&lt;&gt;0,$D$16=$D$17,$J$17&gt;(SUM($K$16:P16))),"",(IF($I$17&gt;$J$17+(SUM($K$17:P17)),$J$17,$I$17-(SUM($K$17:P17))))))</f>
        <v>0</v>
      </c>
      <c r="R17" s="3">
        <f>IF(AND($F$16=$F$17,$I$16&gt;SUM($K$16:Q16),R16&gt;($J$16/7)),"",IF(AND(R16&lt;&gt;0,$D$16=$D$17,$J$17&gt;(SUM($K$16:Q16))),"",(IF($I$17&gt;$J$17+(SUM($K$17:Q17)),$J$17,$I$17-(SUM($K$17:Q17))))))</f>
        <v>0</v>
      </c>
      <c r="S17" s="3">
        <f>IF(AND($F$16=$F$17,$I$16&gt;SUM($K$16:R16),S16&gt;($J$16/7)),"",IF(AND(S16&lt;&gt;0,$D$16=$D$17,$J$17&gt;(SUM($K$16:R16))),"",(IF($I$17&gt;$J$17+(SUM($K$17:R17)),$J$17,$I$17-(SUM($K$17:R17))))))</f>
        <v>0</v>
      </c>
      <c r="T17" s="3">
        <f>IF(AND($F$16=$F$17,$I$16&gt;SUM($K$16:S16),T16&gt;($J$16/7)),"",IF(AND(T16&lt;&gt;0,$D$16=$D$17,$J$17&gt;(SUM($K$16:S16))),"",(IF($I$17&gt;$J$17+(SUM($K$17:S17)),$J$17,$I$17-(SUM($K$17:S17))))))</f>
        <v>0</v>
      </c>
      <c r="U17" s="3">
        <f>IF(AND($F$16=$F$17,$I$16&gt;SUM($K$16:T16),U16&gt;($J$16/7)),"",IF(AND(U16&lt;&gt;0,$D$16=$D$17,$J$17&gt;(SUM($K$16:T16))),"",(IF($I$17&gt;$J$17+(SUM($K$17:T17)),$J$17,$I$17-(SUM($K$17:T17))))))</f>
        <v>0</v>
      </c>
      <c r="V17" s="3">
        <f>IF(AND($F$16=$F$17,$I$16&gt;SUM($K$16:U16),V16&gt;($J$16/7)),"",IF(AND(V16&lt;&gt;0,$D$16=$D$17,$J$17&gt;(SUM($K$16:U16))),"",(IF($I$17&gt;$J$17+(SUM($K$17:U17)),$J$17,$I$17-(SUM($K$17:U17))))))</f>
        <v>0</v>
      </c>
      <c r="W17" s="3">
        <f>IF(AND($F$16=$F$17,$I$16&gt;SUM($K$16:V16),W16&gt;($J$16/7)),"",IF(AND(W16&lt;&gt;0,$D$16=$D$17,$J$17&gt;(SUM($K$16:V16))),"",(IF($I$17&gt;$J$17+(SUM($K$17:V17)),$J$17,$I$17-(SUM($K$17:V17))))))</f>
        <v>0</v>
      </c>
      <c r="X17" s="3">
        <f>IF(AND($F$16=$F$17,$I$16&gt;SUM($K$16:W16),X16&gt;($J$16/7)),"",IF(AND(X16&lt;&gt;0,$D$16=$D$17,$J$17&gt;(SUM($K$16:W16))),"",(IF($I$17&gt;$J$17+(SUM($K$17:W17)),$J$17,$I$17-(SUM($K$17:W17))))))</f>
        <v>0</v>
      </c>
      <c r="Y17" s="3">
        <f>IF(AND($F$16=$F$17,$I$16&gt;SUM($K$16:X16),Y16&gt;($J$16/7)),"",IF(AND(Y16&lt;&gt;0,$D$16=$D$17,$J$17&gt;(SUM($K$16:X16))),"",(IF($I$17&gt;$J$17+(SUM($K$17:X17)),$J$17,$I$17-(SUM($K$17:X17))))))</f>
        <v>0</v>
      </c>
      <c r="Z17" s="3">
        <f>IF(AND($F$16=$F$17,$I$16&gt;SUM($K$16:Y16),Z16&gt;($J$16/7)),"",IF(AND(Z16&lt;&gt;0,$D$16=$D$17,$J$17&gt;(SUM($K$16:Y16))),"",(IF($I$17&gt;$J$17+(SUM($K$17:Y17)),$J$17,$I$17-(SUM($K$17:Y17))))))</f>
        <v>0</v>
      </c>
      <c r="AA17" s="3">
        <f>IF(AND($F$16=$F$17,$I$16&gt;SUM($K$16:Z16),AA16&gt;($J$16/7)),"",IF(AND(AA16&lt;&gt;0,$D$16=$D$17,$J$17&gt;(SUM($K$16:Z16))),"",(IF($I$17&gt;$J$17+(SUM($K$17:Z17)),$J$17,$I$17-(SUM($K$17:Z17))))))</f>
        <v>0</v>
      </c>
      <c r="AB17" s="3">
        <f>IF(AND($F$16=$F$17,$I$16&gt;SUM($K$16:AA16),AB16&gt;($J$16/7)),"",IF(AND(AB16&lt;&gt;0,$D$16=$D$17,$J$17&gt;(SUM($K$16:AA16))),"",(IF($I$17&gt;$J$17+(SUM($K$17:AA17)),$J$17,$I$17-(SUM($K$17:AA17))))))</f>
        <v>0</v>
      </c>
      <c r="AC17" s="3">
        <f>IF(AND($F$16=$F$17,$I$16&gt;SUM($K$16:AB16),AC16&gt;($J$16/7)),"",IF(AND(AC16&lt;&gt;0,$D$16=$D$17,$J$17&gt;(SUM($K$16:AB16))),"",(IF($I$17&gt;$J$17+(SUM($K$17:AB17)),$J$17,$I$17-(SUM($K$17:AB17))))))</f>
        <v>0</v>
      </c>
      <c r="AD17" s="3">
        <f>IF(AND($F$16=$F$17,$I$16&gt;SUM($K$16:AC16),AD16&gt;($J$16/7)),"",IF(AND(AD16&lt;&gt;0,$D$16=$D$17,$J$17&gt;(SUM($K$16:AC16))),"",(IF($I$17&gt;$J$17+(SUM($K$17:AC17)),$J$17,$I$17-(SUM($K$17:AC17))))))</f>
        <v>0</v>
      </c>
      <c r="AE17" s="3">
        <f>IF(AND($F$16=$F$17,$I$16&gt;SUM($K$16:AD16),AE16&gt;($J$16/7)),"",IF(AND(AE16&lt;&gt;0,$D$16=$D$17,$J$17&gt;(SUM($K$16:AD16))),"",(IF($I$17&gt;$J$17+(SUM($K$17:AD17)),$J$17,$I$17-(SUM($K$17:AD17))))))</f>
        <v>0</v>
      </c>
      <c r="AF17" s="3">
        <f>IF(AND($F$16=$F$17,$I$16&gt;SUM($K$16:AE16),AF16&gt;($J$16/7)),"",IF(AND(AF16&lt;&gt;0,$D$16=$D$17,$J$17&gt;(SUM($K$16:AE16))),"",(IF($I$17&gt;$J$17+(SUM($K$17:AE17)),$J$17,$I$17-(SUM($K$17:AE17))))))</f>
        <v>0</v>
      </c>
      <c r="AG17" s="3">
        <f>IF(AND($F$16=$F$17,$I$16&gt;SUM($K$16:AF16),AG16&gt;($J$16/7)),"",IF(AND(AG16&lt;&gt;0,$D$16=$D$17,$J$17&gt;(SUM($K$16:AF16))),"",(IF($I$17&gt;$J$17+(SUM($K$17:AF17)),$J$17,$I$17-(SUM($K$17:AF17))))))</f>
        <v>0</v>
      </c>
      <c r="AH17" s="3">
        <f>IF(AND($F$16=$F$17,$I$16&gt;SUM($K$16:AG16),AH16&gt;($J$16/7)),"",IF(AND(AH16&lt;&gt;0,$D$16=$D$17,$J$17&gt;(SUM($K$16:AG16))),"",(IF($I$17&gt;$J$17+(SUM($K$17:AG17)),$J$17,$I$17-(SUM($K$17:AG17))))))</f>
        <v>0</v>
      </c>
      <c r="AI17" s="3">
        <f>IF(AND($F$16=$F$17,$I$16&gt;SUM($K$16:AH16),AI16&gt;($J$16/7)),"",IF(AND(AI16&lt;&gt;0,$D$16=$D$17,$J$17&gt;(SUM($K$16:AH16))),"",(IF($I$17&gt;$J$17+(SUM($K$17:AH17)),$J$17,$I$17-(SUM($K$17:AH17))))))</f>
        <v>0</v>
      </c>
      <c r="AJ17" s="3">
        <f>IF(AND($F$16=$F$17,$I$16&gt;SUM($K$16:AI16),AJ16&gt;($J$16/7)),"",IF(AND(AJ16&lt;&gt;0,$D$16=$D$17,$J$17&gt;(SUM($K$16:AI16))),"",(IF($I$17&gt;$J$17+(SUM($K$17:AI17)),$J$17,$I$17-(SUM($K$17:AI17))))))</f>
        <v>0</v>
      </c>
      <c r="AK17" s="3">
        <f>IF(AND($F$16=$F$17,$I$16&gt;SUM($K$16:AJ16),AK16&gt;($J$16/7)),"",IF(AND(AK16&lt;&gt;0,$D$16=$D$17,$J$17&gt;(SUM($K$16:AJ16))),"",(IF($I$17&gt;$J$17+(SUM($K$17:AJ17)),$J$17,$I$17-(SUM($K$17:AJ17))))))</f>
        <v>0</v>
      </c>
      <c r="AL17" s="3">
        <f>IF(AND($F$16=$F$17,$I$16&gt;SUM($K$16:AK16),AL16&gt;($J$16/7)),"",IF(AND(AL16&lt;&gt;0,$D$16=$D$17,$J$17&gt;(SUM($K$16:AK16))),"",(IF($I$17&gt;$J$17+(SUM($K$17:AK17)),$J$17,$I$17-(SUM($K$17:AK17))))))</f>
        <v>0</v>
      </c>
      <c r="AM17" s="3">
        <f>IF(AND($F$16=$F$17,$I$16&gt;SUM($K$16:AL16),AM16&gt;($J$16/7)),"",IF(AND(AM16&lt;&gt;0,$D$16=$D$17,$J$17&gt;(SUM($K$16:AL16))),"",(IF($I$17&gt;$J$17+(SUM($K$17:AL17)),$J$17,$I$17-(SUM($K$17:AL17))))))</f>
        <v>0</v>
      </c>
      <c r="AN17" s="3">
        <f>IF(AND($F$16=$F$17,$I$16&gt;SUM($K$16:AM16),AN16&gt;($J$16/7)),"",IF(AND(AN16&lt;&gt;0,$D$16=$D$17,$J$17&gt;(SUM($K$16:AM16))),"",(IF($I$17&gt;$J$17+(SUM($K$17:AM17)),$J$17,$I$17-(SUM($K$17:AM17))))))</f>
        <v>0</v>
      </c>
      <c r="AO17" s="3">
        <f>IF(AND($F$16=$F$17,$I$16&gt;SUM($K$16:AN16),AO16&gt;($J$16/7)),"",IF(AND(AO16&lt;&gt;0,$D$16=$D$17,$J$17&gt;(SUM($K$16:AN16))),"",(IF($I$17&gt;$J$17+(SUM($K$17:AN17)),$J$17,$I$17-(SUM($K$17:AN17))))))</f>
        <v>0</v>
      </c>
      <c r="AP17" s="3">
        <f>IF(AND($F$16=$F$17,$I$16&gt;SUM($K$16:AO16),AP16&gt;($J$16/7)),"",IF(AND(AP16&lt;&gt;0,$D$16=$D$17,$J$17&gt;(SUM($K$16:AO16))),"",(IF($I$17&gt;$J$17+(SUM($K$17:AO17)),$J$17,$I$17-(SUM($K$17:AO17))))))</f>
        <v>0</v>
      </c>
      <c r="AQ17" s="3">
        <f>IF(AND($F$16=$F$17,$I$16&gt;SUM($K$16:AP16),AQ16&gt;($J$16/7)),"",IF(AND(AQ16&lt;&gt;0,$D$16=$D$17,$J$17&gt;(SUM($K$16:AP16))),"",(IF($I$17&gt;$J$17+(SUM($K$17:AP17)),$J$17,$I$17-(SUM($K$17:AP17))))))</f>
        <v>0</v>
      </c>
      <c r="AR17" s="3">
        <f>IF(AND($F$16=$F$17,$I$16&gt;SUM($K$16:AQ16),AR16&gt;($J$16/7)),"",IF(AND(AR16&lt;&gt;0,$D$16=$D$17,$J$17&gt;(SUM($K$16:AQ16))),"",(IF($I$17&gt;$J$17+(SUM($K$17:AQ17)),$J$17,$I$17-(SUM($K$17:AQ17))))))</f>
        <v>0</v>
      </c>
      <c r="AS17" s="3">
        <f>IF(AND($F$16=$F$17,$I$16&gt;SUM($K$16:AR16),AS16&gt;($J$16/7)),"",IF(AND(AS16&lt;&gt;0,$D$16=$D$17,$J$17&gt;(SUM($K$16:AR16))),"",(IF($I$17&gt;$J$17+(SUM($K$17:AR17)),$J$17,$I$17-(SUM($K$17:AR17))))))</f>
        <v>0</v>
      </c>
      <c r="AT17" s="3">
        <f>IF(AND($F$16=$F$17,$I$16&gt;SUM($K$16:AS16),AT16&gt;($J$16/7)),"",IF(AND(AT16&lt;&gt;0,$D$16=$D$17,$J$17&gt;(SUM($K$16:AS16))),"",(IF($I$17&gt;$J$17+(SUM($K$17:AS17)),$J$17,$I$17-(SUM($K$17:AS17))))))</f>
        <v>0</v>
      </c>
      <c r="AU17" s="3">
        <f>IF(AND($F$16=$F$17,$I$16&gt;SUM($K$16:AT16),AU16&gt;($J$16/7)),"",IF(AND(AU16&lt;&gt;0,$D$16=$D$17,$J$17&gt;(SUM($K$16:AT16))),"",(IF($I$17&gt;$J$17+(SUM($K$17:AT17)),$J$17,$I$17-(SUM($K$17:AT17))))))</f>
        <v>0</v>
      </c>
      <c r="AV17" s="3">
        <f>IF(AND($F$16=$F$17,$I$16&gt;SUM($K$16:AU16),AV16&gt;($J$16/7)),"",IF(AND(AV16&lt;&gt;0,$D$16=$D$17,$J$17&gt;(SUM($K$16:AU16))),"",(IF($I$17&gt;$J$17+(SUM($K$17:AU17)),$J$17,$I$17-(SUM($K$17:AU17))))))</f>
        <v>0</v>
      </c>
      <c r="AW17" s="3">
        <f>IF(AND($F$16=$F$17,$I$16&gt;SUM($K$16:AV16),AW16&gt;($J$16/7)),"",IF(AND(AW16&lt;&gt;0,$D$16=$D$17,$J$17&gt;(SUM($K$16:AV16))),"",(IF($I$17&gt;$J$17+(SUM($K$17:AV17)),$J$17,$I$17-(SUM($K$17:AV17))))))</f>
        <v>0</v>
      </c>
      <c r="AX17" s="3">
        <f>IF(AND($F$16=$F$17,$I$16&gt;SUM($K$16:AW16),AX16&gt;($J$16/7)),"",IF(AND(AX16&lt;&gt;0,$D$16=$D$17,$J$17&gt;(SUM($K$16:AW16))),"",(IF($I$17&gt;$J$17+(SUM($K$17:AW17)),$J$17,$I$17-(SUM($K$17:AW17))))))</f>
        <v>0</v>
      </c>
      <c r="AY17" s="3">
        <f>IF(AND($F$16=$F$17,$I$16&gt;SUM($K$16:AX16),AY16&gt;($J$16/7)),"",IF(AND(AY16&lt;&gt;0,$D$16=$D$17,$J$17&gt;(SUM($K$16:AX16))),"",(IF($I$17&gt;$J$17+(SUM($K$17:AX17)),$J$17,$I$17-(SUM($K$17:AX17))))))</f>
        <v>0</v>
      </c>
      <c r="AZ17" s="3">
        <f>IF(AND($F$16=$F$17,$I$16&gt;SUM($K$16:AY16),AZ16&gt;($J$16/7)),"",IF(AND(AZ16&lt;&gt;0,$D$16=$D$17,$J$17&gt;(SUM($K$16:AY16))),"",(IF($I$17&gt;$J$17+(SUM($K$17:AY17)),$J$17,$I$17-(SUM($K$17:AY17))))))</f>
        <v>0</v>
      </c>
      <c r="BA17" s="3">
        <f>IF(AND($F$16=$F$17,$I$16&gt;SUM($K$16:AZ16),BA16&gt;($J$16/7)),"",IF(AND(BA16&lt;&gt;0,$D$16=$D$17,$J$17&gt;(SUM($K$16:AZ16))),"",(IF($I$17&gt;$J$17+(SUM($K$17:AZ17)),$J$17,$I$17-(SUM($K$17:AZ17))))))</f>
        <v>0</v>
      </c>
      <c r="BB17" s="3">
        <f>IF(AND($F$16=$F$17,$I$16&gt;SUM($K$16:BA16),BB16&gt;($J$16/7)),"",IF(AND(BB16&lt;&gt;0,$D$16=$D$17,$J$17&gt;(SUM($K$16:BA16))),"",(IF($I$17&gt;$J$17+(SUM($K$17:BA17)),$J$17,$I$17-(SUM($K$17:BA17))))))</f>
        <v>0</v>
      </c>
      <c r="BC17" s="3">
        <f>IF(AND($F$16=$F$17,$I$16&gt;SUM($K$16:BB16),BC16&gt;($J$16/7)),"",IF(AND(BC16&lt;&gt;0,$D$16=$D$17,$J$17&gt;(SUM($K$16:BB16))),"",(IF($I$17&gt;$J$17+(SUM($K$17:BB17)),$J$17,$I$17-(SUM($K$17:BB17))))))</f>
        <v>0</v>
      </c>
      <c r="BD17" s="3">
        <f>IF(AND($F$16=$F$17,$I$16&gt;SUM($K$16:BC16),BD16&gt;($J$16/7)),"",IF(AND(BD16&lt;&gt;0,$D$16=$D$17,$J$17&gt;(SUM($K$16:BC16))),"",(IF($I$17&gt;$J$17+(SUM($K$17:BC17)),$J$17,$I$17-(SUM($K$17:BC17))))))</f>
        <v>0</v>
      </c>
      <c r="BE17" s="3">
        <f>IF(AND($F$16=$F$17,$I$16&gt;SUM($K$16:BD16),BE16&gt;($J$16/7)),"",IF(AND(BE16&lt;&gt;0,$D$16=$D$17,$J$17&gt;(SUM($K$16:BD16))),"",(IF($I$17&gt;$J$17+(SUM($K$17:BD17)),$J$17,$I$17-(SUM($K$17:BD17))))))</f>
        <v>0</v>
      </c>
      <c r="BF17" s="3">
        <f>IF(AND($F$16=$F$17,$I$16&gt;SUM($K$16:BE16),BF16&gt;($J$16/7)),"",IF(AND(BF16&lt;&gt;0,$D$16=$D$17,$J$17&gt;(SUM($K$16:BE16))),"",(IF($I$17&gt;$J$17+(SUM($K$17:BE17)),$J$17,$I$17-(SUM($K$17:BE17))))))</f>
        <v>0</v>
      </c>
      <c r="BG17" s="3">
        <f>IF(AND($F$16=$F$17,$I$16&gt;SUM($K$16:BF16),BG16&gt;($J$16/7)),"",IF(AND(BG16&lt;&gt;0,$D$16=$D$17,$J$17&gt;(SUM($K$16:BF16))),"",(IF($I$17&gt;$J$17+(SUM($K$17:BF17)),$J$17,$I$17-(SUM($K$17:BF17))))))</f>
        <v>0</v>
      </c>
      <c r="BH17" s="3">
        <f>IF(AND($F$16=$F$17,$I$16&gt;SUM($K$16:BG16),BH16&gt;($J$16/7)),"",IF(AND(BH16&lt;&gt;0,$D$16=$D$17,$J$17&gt;(SUM($K$16:BG16))),"",(IF($I$17&gt;$J$17+(SUM($K$17:BG17)),$J$17,$I$17-(SUM($K$17:BG17))))))</f>
        <v>0</v>
      </c>
      <c r="BI17" s="3">
        <f>IF(AND($F$16=$F$17,$I$16&gt;SUM($K$16:BH16),BI16&gt;($J$16/7)),"",IF(AND(BI16&lt;&gt;0,$D$16=$D$17,$J$17&gt;(SUM($K$16:BH16))),"",(IF($I$17&gt;$J$17+(SUM($K$17:BH17)),$J$17,$I$17-(SUM($K$17:BH17))))))</f>
        <v>0</v>
      </c>
      <c r="BJ17" s="3">
        <f>IF(AND($F$16=$F$17,$I$16&gt;SUM($K$16:BI16),BJ16&gt;($J$16/7)),"",IF(AND(BJ16&lt;&gt;0,$D$16=$D$17,$J$17&gt;(SUM($K$16:BI16))),"",(IF($I$17&gt;$J$17+(SUM($K$17:BI17)),$J$17,$I$17-(SUM($K$17:BI17))))))</f>
        <v>0</v>
      </c>
      <c r="BK17" s="3">
        <f>IF(AND($F$16=$F$17,$I$16&gt;SUM($K$16:BJ16),BK16&gt;($J$16/7)),"",IF(AND(BK16&lt;&gt;0,$D$16=$D$17,$J$17&gt;(SUM($K$16:BJ16))),"",(IF($I$17&gt;$J$17+(SUM($K$17:BJ17)),$J$17,$I$17-(SUM($K$17:BJ17))))))</f>
        <v>0</v>
      </c>
      <c r="BL17" s="3">
        <f>IF(AND($F$16=$F$17,$I$16&gt;SUM($K$16:BK16),BL16&gt;($J$16/7)),"",IF(AND(BL16&lt;&gt;0,$D$16=$D$17,$J$17&gt;(SUM($K$16:BK16))),"",(IF($I$17&gt;$J$17+(SUM($K$17:BK17)),$J$17,$I$17-(SUM($K$17:BK17))))))</f>
        <v>0</v>
      </c>
      <c r="BM17" s="3">
        <f>IF(AND($F$16=$F$17,$I$16&gt;SUM($K$16:BL16),BM16&gt;($J$16/7)),"",IF(AND(BM16&lt;&gt;0,$D$16=$D$17,$J$17&gt;(SUM($K$16:BL16))),"",(IF($I$17&gt;$J$17+(SUM($K$17:BL17)),$J$17,$I$17-(SUM($K$17:BL17))))))</f>
        <v>0</v>
      </c>
      <c r="BN17" s="3">
        <f>IF(AND($F$16=$F$17,$I$16&gt;SUM($K$16:BM16),BN16&gt;($J$16/7)),"",IF(AND(BN16&lt;&gt;0,$D$16=$D$17,$J$17&gt;(SUM($K$16:BM16))),"",(IF($I$17&gt;$J$17+(SUM($K$17:BM17)),$J$17,$I$17-(SUM($K$17:BM17))))))</f>
        <v>0</v>
      </c>
      <c r="BO17" s="3">
        <f>IF(AND($F$16=$F$17,$I$16&gt;SUM($K$16:BN16),BO16&gt;($J$16/7)),"",IF(AND(BO16&lt;&gt;0,$D$16=$D$17,$J$17&gt;(SUM($K$16:BN16))),"",(IF($I$17&gt;$J$17+(SUM($K$17:BN17)),$J$17,$I$17-(SUM($K$17:BN17))))))</f>
        <v>0</v>
      </c>
      <c r="BP17" s="3">
        <f>IF(AND($F$16=$F$17,$I$16&gt;SUM($K$16:BO16),BP16&gt;($J$16/7)),"",IF(AND(BP16&lt;&gt;0,$D$16=$D$17,$J$17&gt;(SUM($K$16:BO16))),"",(IF($I$17&gt;$J$17+(SUM($K$17:BO17)),$J$17,$I$17-(SUM($K$17:BO17))))))</f>
        <v>0</v>
      </c>
      <c r="BQ17" s="3">
        <f>IF(AND($F$16=$F$17,$I$16&gt;SUM($K$16:BP16),BQ16&gt;($J$16/7)),"",IF(AND(BQ16&lt;&gt;0,$D$16=$D$17,$J$17&gt;(SUM($K$16:BP16))),"",(IF($I$17&gt;$J$17+(SUM($K$17:BP17)),$J$17,$I$17-(SUM($K$17:BP17))))))</f>
        <v>0</v>
      </c>
      <c r="BR17" s="3">
        <f>IF(AND($F$16=$F$17,$I$16&gt;SUM($K$16:BQ16),BR16&gt;($J$16/7)),"",IF(AND(BR16&lt;&gt;0,$D$16=$D$17,$J$17&gt;(SUM($K$16:BQ16))),"",(IF($I$17&gt;$J$17+(SUM($K$17:BQ17)),$J$17,$I$17-(SUM($K$17:BQ17))))))</f>
        <v>0</v>
      </c>
      <c r="BS17" s="3">
        <f>IF(AND($F$16=$F$17,$I$16&gt;SUM($K$16:BR16),BS16&gt;($J$16/7)),"",IF(AND(BS16&lt;&gt;0,$D$16=$D$17,$J$17&gt;(SUM($K$16:BR16))),"",(IF($I$17&gt;$J$17+(SUM($K$17:BR17)),$J$17,$I$17-(SUM($K$17:BR17))))))</f>
        <v>0</v>
      </c>
      <c r="BT17" s="3">
        <f>IF(AND($F$16=$F$17,$I$16&gt;SUM($K$16:BS16),BT16&gt;($J$16/7)),"",IF(AND(BT16&lt;&gt;0,$D$16=$D$17,$J$17&gt;(SUM($K$16:BS16))),"",(IF($I$17&gt;$J$17+(SUM($K$17:BS17)),$J$17,$I$17-(SUM($K$17:BS17))))))</f>
        <v>0</v>
      </c>
      <c r="BU17" s="3">
        <f>IF(AND($F$16=$F$17,$I$16&gt;SUM($K$16:BT16),BU16&gt;($J$16/7)),"",IF(AND(BU16&lt;&gt;0,$D$16=$D$17,$J$17&gt;(SUM($K$16:BT16))),"",(IF($I$17&gt;$J$17+(SUM($K$17:BT17)),$J$17,$I$17-(SUM($K$17:BT17))))))</f>
        <v>0</v>
      </c>
      <c r="BV17" s="3">
        <f>IF(AND($F$16=$F$17,$I$16&gt;SUM($K$16:BU16),BV16&gt;($J$16/7)),"",IF(AND(BV16&lt;&gt;0,$D$16=$D$17,$J$17&gt;(SUM($K$16:BU16))),"",(IF($I$17&gt;$J$17+(SUM($K$17:BU17)),$J$17,$I$17-(SUM($K$17:BU17))))))</f>
        <v>0</v>
      </c>
      <c r="BW17" s="3">
        <f>IF(AND($F$16=$F$17,$I$16&gt;SUM($K$16:BV16),BW16&gt;($J$16/7)),"",IF(AND(BW16&lt;&gt;0,$D$16=$D$17,$J$17&gt;(SUM($K$16:BV16))),"",(IF($I$17&gt;$J$17+(SUM($K$17:BV17)),$J$17,$I$17-(SUM($K$17:BV17))))))</f>
        <v>0</v>
      </c>
      <c r="BX17" s="3">
        <f>IF(AND($F$16=$F$17,$I$16&gt;SUM($K$16:BW16),BX16&gt;($J$16/7)),"",IF(AND(BX16&lt;&gt;0,$D$16=$D$17,$J$17&gt;(SUM($K$16:BW16))),"",(IF($I$17&gt;$J$17+(SUM($K$17:BW17)),$J$17,$I$17-(SUM($K$17:BW17))))))</f>
        <v>0</v>
      </c>
      <c r="BY17" s="3">
        <f>IF(AND($F$16=$F$17,$I$16&gt;SUM($K$16:BX16),BY16&gt;($J$16/7)),"",IF(AND(BY16&lt;&gt;0,$D$16=$D$17,$J$17&gt;(SUM($K$16:BX16))),"",(IF($I$17&gt;$J$17+(SUM($K$17:BX17)),$J$17,$I$17-(SUM($K$17:BX17))))))</f>
        <v>0</v>
      </c>
      <c r="BZ17" s="3">
        <f>IF(AND($F$16=$F$17,$I$16&gt;SUM($K$16:BY16),BZ16&gt;($J$16/7)),"",IF(AND(BZ16&lt;&gt;0,$D$16=$D$17,$J$17&gt;(SUM($K$16:BY16))),"",(IF($I$17&gt;$J$17+(SUM($K$17:BY17)),$J$17,$I$17-(SUM($K$17:BY17))))))</f>
        <v>0</v>
      </c>
      <c r="CA17" s="3">
        <f>IF(AND($F$16=$F$17,$I$16&gt;SUM($K$16:BZ16),CA16&gt;($J$16/7)),"",IF(AND(CA16&lt;&gt;0,$D$16=$D$17,$J$17&gt;(SUM($K$16:BZ16))),"",(IF($I$17&gt;$J$17+(SUM($K$17:BZ17)),$J$17,$I$17-(SUM($K$17:BZ17))))))</f>
        <v>0</v>
      </c>
      <c r="CB17" s="3">
        <f>IF(AND($F$16=$F$17,$I$16&gt;SUM($K$16:CA16),CB16&gt;($J$16/7)),"",IF(AND(CB16&lt;&gt;0,$D$16=$D$17,$J$17&gt;(SUM($K$16:CA16))),"",(IF($I$17&gt;$J$17+(SUM($K$17:CA17)),$J$17,$I$17-(SUM($K$17:CA17))))))</f>
        <v>0</v>
      </c>
      <c r="CC17" s="3">
        <f>IF(AND($F$16=$F$17,$I$16&gt;SUM($K$16:CB16),CC16&gt;($J$16/7)),"",IF(AND(CC16&lt;&gt;0,$D$16=$D$17,$J$17&gt;(SUM($K$16:CB16))),"",(IF($I$17&gt;$J$17+(SUM($K$17:CB17)),$J$17,$I$17-(SUM($K$17:CB17))))))</f>
        <v>0</v>
      </c>
      <c r="CD17" s="3">
        <f>IF(AND($F$16=$F$17,$I$16&gt;SUM($K$16:CC16),CD16&gt;($J$16/7)),"",IF(AND(CD16&lt;&gt;0,$D$16=$D$17,$J$17&gt;(SUM($K$16:CC16))),"",(IF($I$17&gt;$J$17+(SUM($K$17:CC17)),$J$17,$I$17-(SUM($K$17:CC17))))))</f>
        <v>0</v>
      </c>
      <c r="CE17" s="3">
        <f>IF(AND($F$16=$F$17,$I$16&gt;SUM($K$16:CD16),CE16&gt;($J$16/7)),"",IF(AND(CE16&lt;&gt;0,$D$16=$D$17,$J$17&gt;(SUM($K$16:CD16))),"",(IF($I$17&gt;$J$17+(SUM($K$17:CD17)),$J$17,$I$17-(SUM($K$17:CD17))))))</f>
        <v>0</v>
      </c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</row>
    <row r="18" spans="1:164" x14ac:dyDescent="0.25">
      <c r="A18" s="6">
        <v>16</v>
      </c>
      <c r="B18" t="str">
        <f t="shared" si="3"/>
        <v/>
      </c>
      <c r="C18" t="str">
        <f t="shared" si="4"/>
        <v>0</v>
      </c>
      <c r="E18" s="101"/>
      <c r="F18" s="27"/>
      <c r="G18" s="2">
        <f t="shared" si="0"/>
        <v>0</v>
      </c>
      <c r="H18" s="9">
        <f t="shared" si="1"/>
        <v>0</v>
      </c>
      <c r="I18" s="2">
        <f t="shared" si="2"/>
        <v>0</v>
      </c>
      <c r="J18" s="2">
        <f t="shared" si="5"/>
        <v>0</v>
      </c>
      <c r="K18" t="str">
        <f t="shared" si="6"/>
        <v/>
      </c>
      <c r="L18" s="3">
        <f>IF(AND($F$17=$F$18,$I$17&gt;SUM($K$17:K17),L17&gt;($J$17/7)),"",IF(AND(L17&lt;&gt;0,$D$17=$D$18,$J$18&gt;(SUM($K$17:K17))),"",(IF($I$18&gt;$J$18+(SUM($K$18:K18)),$J$18,$I$18-(SUM($K$18:K18))))))</f>
        <v>0</v>
      </c>
      <c r="M18" s="3">
        <f>IF(AND($F$17=$F$18,$I$17&gt;SUM($K$17:L17),M17&gt;($J$17/7)),"",IF(AND(M17&lt;&gt;0,$D$17=$D$18,$J$18&gt;(SUM($K$17:L17))),"",(IF($I$18&gt;$J$18+(SUM($K$18:L18)),$J$18,$I$18-(SUM($K$18:L18))))))</f>
        <v>0</v>
      </c>
      <c r="N18" s="3">
        <f>IF(AND($F$17=$F$18,$I$17&gt;SUM($K$17:M17),N17&gt;($J$17/7)),"",IF(AND(N17&lt;&gt;0,$D$17=$D$18,$J$18&gt;(SUM($K$17:M17))),"",(IF($I$18&gt;$J$18+(SUM($K$18:M18)),$J$18,$I$18-(SUM($K$18:M18))))))</f>
        <v>0</v>
      </c>
      <c r="O18" s="3">
        <f>IF(AND($F$17=$F$18,$I$17&gt;SUM($K$17:N17),O17&gt;($J$17/7)),"",IF(AND(O17&lt;&gt;0,$D$17=$D$18,$J$18&gt;(SUM($K$17:N17))),"",(IF($I$18&gt;$J$18+(SUM($K$18:N18)),$J$18,$I$18-(SUM($K$18:N18))))))</f>
        <v>0</v>
      </c>
      <c r="P18" s="3">
        <f>IF(AND($F$17=$F$18,$I$17&gt;SUM($K$17:O17),P17&gt;($J$17/7)),"",IF(AND(P17&lt;&gt;0,$D$17=$D$18,$J$18&gt;(SUM($K$17:O17))),"",(IF($I$18&gt;$J$18+(SUM($K$18:O18)),$J$18,$I$18-(SUM($K$18:O18))))))</f>
        <v>0</v>
      </c>
      <c r="Q18" s="3">
        <f>IF(AND($F$17=$F$18,$I$17&gt;SUM($K$17:P17),Q17&gt;($J$17/7)),"",IF(AND(Q17&lt;&gt;0,$D$17=$D$18,$J$18&gt;(SUM($K$17:P17))),"",(IF($I$18&gt;$J$18+(SUM($K$18:P18)),$J$18,$I$18-(SUM($K$18:P18))))))</f>
        <v>0</v>
      </c>
      <c r="R18" s="3">
        <f>IF(AND($F$17=$F$18,$I$17&gt;SUM($K$17:Q17),R17&gt;($J$17/7)),"",IF(AND(R17&lt;&gt;0,$D$17=$D$18,$J$18&gt;(SUM($K$17:Q17))),"",(IF($I$18&gt;$J$18+(SUM($K$18:Q18)),$J$18,$I$18-(SUM($K$18:Q18))))))</f>
        <v>0</v>
      </c>
      <c r="S18" s="3">
        <f>IF(AND($F$17=$F$18,$I$17&gt;SUM($K$17:R17),S17&gt;($J$17/7)),"",IF(AND(S17&lt;&gt;0,$D$17=$D$18,$J$18&gt;(SUM($K$17:R17))),"",(IF($I$18&gt;$J$18+(SUM($K$18:R18)),$J$18,$I$18-(SUM($K$18:R18))))))</f>
        <v>0</v>
      </c>
      <c r="T18" s="3">
        <f>IF(AND($F$17=$F$18,$I$17&gt;SUM($K$17:S17),T17&gt;($J$17/7)),"",IF(AND(T17&lt;&gt;0,$D$17=$D$18,$J$18&gt;(SUM($K$17:S17))),"",(IF($I$18&gt;$J$18+(SUM($K$18:S18)),$J$18,$I$18-(SUM($K$18:S18))))))</f>
        <v>0</v>
      </c>
      <c r="U18" s="3">
        <f>IF(AND($F$17=$F$18,$I$17&gt;SUM($K$17:T17),U17&gt;($J$17/7)),"",IF(AND(U17&lt;&gt;0,$D$17=$D$18,$J$18&gt;(SUM($K$17:T17))),"",(IF($I$18&gt;$J$18+(SUM($K$18:T18)),$J$18,$I$18-(SUM($K$18:T18))))))</f>
        <v>0</v>
      </c>
      <c r="V18" s="3">
        <f>IF(AND($F$17=$F$18,$I$17&gt;SUM($K$17:U17),V17&gt;($J$17/7)),"",IF(AND(V17&lt;&gt;0,$D$17=$D$18,$J$18&gt;(SUM($K$17:U17))),"",(IF($I$18&gt;$J$18+(SUM($K$18:U18)),$J$18,$I$18-(SUM($K$18:U18))))))</f>
        <v>0</v>
      </c>
      <c r="W18" s="3">
        <f>IF(AND($F$17=$F$18,$I$17&gt;SUM($K$17:V17),W17&gt;($J$17/7)),"",IF(AND(W17&lt;&gt;0,$D$17=$D$18,$J$18&gt;(SUM($K$17:V17))),"",(IF($I$18&gt;$J$18+(SUM($K$18:V18)),$J$18,$I$18-(SUM($K$18:V18))))))</f>
        <v>0</v>
      </c>
      <c r="X18" s="3">
        <f>IF(AND($F$17=$F$18,$I$17&gt;SUM($K$17:W17),X17&gt;($J$17/7)),"",IF(AND(X17&lt;&gt;0,$D$17=$D$18,$J$18&gt;(SUM($K$17:W17))),"",(IF($I$18&gt;$J$18+(SUM($K$18:W18)),$J$18,$I$18-(SUM($K$18:W18))))))</f>
        <v>0</v>
      </c>
      <c r="Y18" s="3">
        <f>IF(AND($F$17=$F$18,$I$17&gt;SUM($K$17:X17),Y17&gt;($J$17/7)),"",IF(AND(Y17&lt;&gt;0,$D$17=$D$18,$J$18&gt;(SUM($K$17:X17))),"",(IF($I$18&gt;$J$18+(SUM($K$18:X18)),$J$18,$I$18-(SUM($K$18:X18))))))</f>
        <v>0</v>
      </c>
      <c r="Z18" s="3">
        <f>IF(AND($F$17=$F$18,$I$17&gt;SUM($K$17:Y17),Z17&gt;($J$17/7)),"",IF(AND(Z17&lt;&gt;0,$D$17=$D$18,$J$18&gt;(SUM($K$17:Y17))),"",(IF($I$18&gt;$J$18+(SUM($K$18:Y18)),$J$18,$I$18-(SUM($K$18:Y18))))))</f>
        <v>0</v>
      </c>
      <c r="AA18" s="3">
        <f>IF(AND($F$17=$F$18,$I$17&gt;SUM($K$17:Z17),AA17&gt;($J$17/7)),"",IF(AND(AA17&lt;&gt;0,$D$17=$D$18,$J$18&gt;(SUM($K$17:Z17))),"",(IF($I$18&gt;$J$18+(SUM($K$18:Z18)),$J$18,$I$18-(SUM($K$18:Z18))))))</f>
        <v>0</v>
      </c>
      <c r="AB18" s="3">
        <f>IF(AND($F$17=$F$18,$I$17&gt;SUM($K$17:AA17),AB17&gt;($J$17/7)),"",IF(AND(AB17&lt;&gt;0,$D$17=$D$18,$J$18&gt;(SUM($K$17:AA17))),"",(IF($I$18&gt;$J$18+(SUM($K$18:AA18)),$J$18,$I$18-(SUM($K$18:AA18))))))</f>
        <v>0</v>
      </c>
      <c r="AC18" s="3">
        <f>IF(AND($F$17=$F$18,$I$17&gt;SUM($K$17:AB17),AC17&gt;($J$17/7)),"",IF(AND(AC17&lt;&gt;0,$D$17=$D$18,$J$18&gt;(SUM($K$17:AB17))),"",(IF($I$18&gt;$J$18+(SUM($K$18:AB18)),$J$18,$I$18-(SUM($K$18:AB18))))))</f>
        <v>0</v>
      </c>
      <c r="AD18" s="3">
        <f>IF(AND($F$17=$F$18,$I$17&gt;SUM($K$17:AC17),AD17&gt;($J$17/7)),"",IF(AND(AD17&lt;&gt;0,$D$17=$D$18,$J$18&gt;(SUM($K$17:AC17))),"",(IF($I$18&gt;$J$18+(SUM($K$18:AC18)),$J$18,$I$18-(SUM($K$18:AC18))))))</f>
        <v>0</v>
      </c>
      <c r="AE18" s="3">
        <f>IF(AND($F$17=$F$18,$I$17&gt;SUM($K$17:AD17),AE17&gt;($J$17/7)),"",IF(AND(AE17&lt;&gt;0,$D$17=$D$18,$J$18&gt;(SUM($K$17:AD17))),"",(IF($I$18&gt;$J$18+(SUM($K$18:AD18)),$J$18,$I$18-(SUM($K$18:AD18))))))</f>
        <v>0</v>
      </c>
      <c r="AF18" s="3">
        <f>IF(AND($F$17=$F$18,$I$17&gt;SUM($K$17:AE17),AF17&gt;($J$17/7)),"",IF(AND(AF17&lt;&gt;0,$D$17=$D$18,$J$18&gt;(SUM($K$17:AE17))),"",(IF($I$18&gt;$J$18+(SUM($K$18:AE18)),$J$18,$I$18-(SUM($K$18:AE18))))))</f>
        <v>0</v>
      </c>
      <c r="AG18" s="3">
        <f>IF(AND($F$17=$F$18,$I$17&gt;SUM($K$17:AF17),AG17&gt;($J$17/7)),"",IF(AND(AG17&lt;&gt;0,$D$17=$D$18,$J$18&gt;(SUM($K$17:AF17))),"",(IF($I$18&gt;$J$18+(SUM($K$18:AF18)),$J$18,$I$18-(SUM($K$18:AF18))))))</f>
        <v>0</v>
      </c>
      <c r="AH18" s="3">
        <f>IF(AND($F$17=$F$18,$I$17&gt;SUM($K$17:AG17),AH17&gt;($J$17/7)),"",IF(AND(AH17&lt;&gt;0,$D$17=$D$18,$J$18&gt;(SUM($K$17:AG17))),"",(IF($I$18&gt;$J$18+(SUM($K$18:AG18)),$J$18,$I$18-(SUM($K$18:AG18))))))</f>
        <v>0</v>
      </c>
      <c r="AI18" s="3">
        <f>IF(AND($F$17=$F$18,$I$17&gt;SUM($K$17:AH17),AI17&gt;($J$17/7)),"",IF(AND(AI17&lt;&gt;0,$D$17=$D$18,$J$18&gt;(SUM($K$17:AH17))),"",(IF($I$18&gt;$J$18+(SUM($K$18:AH18)),$J$18,$I$18-(SUM($K$18:AH18))))))</f>
        <v>0</v>
      </c>
      <c r="AJ18" s="3">
        <f>IF(AND($F$17=$F$18,$I$17&gt;SUM($K$17:AI17),AJ17&gt;($J$17/7)),"",IF(AND(AJ17&lt;&gt;0,$D$17=$D$18,$J$18&gt;(SUM($K$17:AI17))),"",(IF($I$18&gt;$J$18+(SUM($K$18:AI18)),$J$18,$I$18-(SUM($K$18:AI18))))))</f>
        <v>0</v>
      </c>
      <c r="AK18" s="3">
        <f>IF(AND($F$17=$F$18,$I$17&gt;SUM($K$17:AJ17),AK17&gt;($J$17/7)),"",IF(AND(AK17&lt;&gt;0,$D$17=$D$18,$J$18&gt;(SUM($K$17:AJ17))),"",(IF($I$18&gt;$J$18+(SUM($K$18:AJ18)),$J$18,$I$18-(SUM($K$18:AJ18))))))</f>
        <v>0</v>
      </c>
      <c r="AL18" s="3">
        <f>IF(AND($F$17=$F$18,$I$17&gt;SUM($K$17:AK17),AL17&gt;($J$17/7)),"",IF(AND(AL17&lt;&gt;0,$D$17=$D$18,$J$18&gt;(SUM($K$17:AK17))),"",(IF($I$18&gt;$J$18+(SUM($K$18:AK18)),$J$18,$I$18-(SUM($K$18:AK18))))))</f>
        <v>0</v>
      </c>
      <c r="AM18" s="3">
        <f>IF(AND($F$17=$F$18,$I$17&gt;SUM($K$17:AL17),AM17&gt;($J$17/7)),"",IF(AND(AM17&lt;&gt;0,$D$17=$D$18,$J$18&gt;(SUM($K$17:AL17))),"",(IF($I$18&gt;$J$18+(SUM($K$18:AL18)),$J$18,$I$18-(SUM($K$18:AL18))))))</f>
        <v>0</v>
      </c>
      <c r="AN18" s="3">
        <f>IF(AND($F$17=$F$18,$I$17&gt;SUM($K$17:AM17),AN17&gt;($J$17/7)),"",IF(AND(AN17&lt;&gt;0,$D$17=$D$18,$J$18&gt;(SUM($K$17:AM17))),"",(IF($I$18&gt;$J$18+(SUM($K$18:AM18)),$J$18,$I$18-(SUM($K$18:AM18))))))</f>
        <v>0</v>
      </c>
      <c r="AO18" s="3">
        <f>IF(AND($F$17=$F$18,$I$17&gt;SUM($K$17:AN17),AO17&gt;($J$17/7)),"",IF(AND(AO17&lt;&gt;0,$D$17=$D$18,$J$18&gt;(SUM($K$17:AN17))),"",(IF($I$18&gt;$J$18+(SUM($K$18:AN18)),$J$18,$I$18-(SUM($K$18:AN18))))))</f>
        <v>0</v>
      </c>
      <c r="AP18" s="3">
        <f>IF(AND($F$17=$F$18,$I$17&gt;SUM($K$17:AO17),AP17&gt;($J$17/7)),"",IF(AND(AP17&lt;&gt;0,$D$17=$D$18,$J$18&gt;(SUM($K$17:AO17))),"",(IF($I$18&gt;$J$18+(SUM($K$18:AO18)),$J$18,$I$18-(SUM($K$18:AO18))))))</f>
        <v>0</v>
      </c>
      <c r="AQ18" s="3">
        <f>IF(AND($F$17=$F$18,$I$17&gt;SUM($K$17:AP17),AQ17&gt;($J$17/7)),"",IF(AND(AQ17&lt;&gt;0,$D$17=$D$18,$J$18&gt;(SUM($K$17:AP17))),"",(IF($I$18&gt;$J$18+(SUM($K$18:AP18)),$J$18,$I$18-(SUM($K$18:AP18))))))</f>
        <v>0</v>
      </c>
      <c r="AR18" s="3">
        <f>IF(AND($F$17=$F$18,$I$17&gt;SUM($K$17:AQ17),AR17&gt;($J$17/7)),"",IF(AND(AR17&lt;&gt;0,$D$17=$D$18,$J$18&gt;(SUM($K$17:AQ17))),"",(IF($I$18&gt;$J$18+(SUM($K$18:AQ18)),$J$18,$I$18-(SUM($K$18:AQ18))))))</f>
        <v>0</v>
      </c>
      <c r="AS18" s="3">
        <f>IF(AND($F$17=$F$18,$I$17&gt;SUM($K$17:AR17),AS17&gt;($J$17/7)),"",IF(AND(AS17&lt;&gt;0,$D$17=$D$18,$J$18&gt;(SUM($K$17:AR17))),"",(IF($I$18&gt;$J$18+(SUM($K$18:AR18)),$J$18,$I$18-(SUM($K$18:AR18))))))</f>
        <v>0</v>
      </c>
      <c r="AT18" s="3">
        <f>IF(AND($F$17=$F$18,$I$17&gt;SUM($K$17:AS17),AT17&gt;($J$17/7)),"",IF(AND(AT17&lt;&gt;0,$D$17=$D$18,$J$18&gt;(SUM($K$17:AS17))),"",(IF($I$18&gt;$J$18+(SUM($K$18:AS18)),$J$18,$I$18-(SUM($K$18:AS18))))))</f>
        <v>0</v>
      </c>
      <c r="AU18" s="3">
        <f>IF(AND($F$17=$F$18,$I$17&gt;SUM($K$17:AT17),AU17&gt;($J$17/7)),"",IF(AND(AU17&lt;&gt;0,$D$17=$D$18,$J$18&gt;(SUM($K$17:AT17))),"",(IF($I$18&gt;$J$18+(SUM($K$18:AT18)),$J$18,$I$18-(SUM($K$18:AT18))))))</f>
        <v>0</v>
      </c>
      <c r="AV18" s="3">
        <f>IF(AND($F$17=$F$18,$I$17&gt;SUM($K$17:AU17),AV17&gt;($J$17/7)),"",IF(AND(AV17&lt;&gt;0,$D$17=$D$18,$J$18&gt;(SUM($K$17:AU17))),"",(IF($I$18&gt;$J$18+(SUM($K$18:AU18)),$J$18,$I$18-(SUM($K$18:AU18))))))</f>
        <v>0</v>
      </c>
      <c r="AW18" s="3">
        <f>IF(AND($F$17=$F$18,$I$17&gt;SUM($K$17:AV17),AW17&gt;($J$17/7)),"",IF(AND(AW17&lt;&gt;0,$D$17=$D$18,$J$18&gt;(SUM($K$17:AV17))),"",(IF($I$18&gt;$J$18+(SUM($K$18:AV18)),$J$18,$I$18-(SUM($K$18:AV18))))))</f>
        <v>0</v>
      </c>
      <c r="AX18" s="3">
        <f>IF(AND($F$17=$F$18,$I$17&gt;SUM($K$17:AW17),AX17&gt;($J$17/7)),"",IF(AND(AX17&lt;&gt;0,$D$17=$D$18,$J$18&gt;(SUM($K$17:AW17))),"",(IF($I$18&gt;$J$18+(SUM($K$18:AW18)),$J$18,$I$18-(SUM($K$18:AW18))))))</f>
        <v>0</v>
      </c>
      <c r="AY18" s="3">
        <f>IF(AND($F$17=$F$18,$I$17&gt;SUM($K$17:AX17),AY17&gt;($J$17/7)),"",IF(AND(AY17&lt;&gt;0,$D$17=$D$18,$J$18&gt;(SUM($K$17:AX17))),"",(IF($I$18&gt;$J$18+(SUM($K$18:AX18)),$J$18,$I$18-(SUM($K$18:AX18))))))</f>
        <v>0</v>
      </c>
      <c r="AZ18" s="3">
        <f>IF(AND($F$17=$F$18,$I$17&gt;SUM($K$17:AY17),AZ17&gt;($J$17/7)),"",IF(AND(AZ17&lt;&gt;0,$D$17=$D$18,$J$18&gt;(SUM($K$17:AY17))),"",(IF($I$18&gt;$J$18+(SUM($K$18:AY18)),$J$18,$I$18-(SUM($K$18:AY18))))))</f>
        <v>0</v>
      </c>
      <c r="BA18" s="3">
        <f>IF(AND($F$17=$F$18,$I$17&gt;SUM($K$17:AZ17),BA17&gt;($J$17/7)),"",IF(AND(BA17&lt;&gt;0,$D$17=$D$18,$J$18&gt;(SUM($K$17:AZ17))),"",(IF($I$18&gt;$J$18+(SUM($K$18:AZ18)),$J$18,$I$18-(SUM($K$18:AZ18))))))</f>
        <v>0</v>
      </c>
      <c r="BB18" s="3">
        <f>IF(AND($F$17=$F$18,$I$17&gt;SUM($K$17:BA17),BB17&gt;($J$17/7)),"",IF(AND(BB17&lt;&gt;0,$D$17=$D$18,$J$18&gt;(SUM($K$17:BA17))),"",(IF($I$18&gt;$J$18+(SUM($K$18:BA18)),$J$18,$I$18-(SUM($K$18:BA18))))))</f>
        <v>0</v>
      </c>
      <c r="BC18" s="3">
        <f>IF(AND($F$17=$F$18,$I$17&gt;SUM($K$17:BB17),BC17&gt;($J$17/7)),"",IF(AND(BC17&lt;&gt;0,$D$17=$D$18,$J$18&gt;(SUM($K$17:BB17))),"",(IF($I$18&gt;$J$18+(SUM($K$18:BB18)),$J$18,$I$18-(SUM($K$18:BB18))))))</f>
        <v>0</v>
      </c>
      <c r="BD18" s="3">
        <f>IF(AND($F$17=$F$18,$I$17&gt;SUM($K$17:BC17),BD17&gt;($J$17/7)),"",IF(AND(BD17&lt;&gt;0,$D$17=$D$18,$J$18&gt;(SUM($K$17:BC17))),"",(IF($I$18&gt;$J$18+(SUM($K$18:BC18)),$J$18,$I$18-(SUM($K$18:BC18))))))</f>
        <v>0</v>
      </c>
      <c r="BE18" s="3">
        <f>IF(AND($F$17=$F$18,$I$17&gt;SUM($K$17:BD17),BE17&gt;($J$17/7)),"",IF(AND(BE17&lt;&gt;0,$D$17=$D$18,$J$18&gt;(SUM($K$17:BD17))),"",(IF($I$18&gt;$J$18+(SUM($K$18:BD18)),$J$18,$I$18-(SUM($K$18:BD18))))))</f>
        <v>0</v>
      </c>
      <c r="BF18" s="3">
        <f>IF(AND($F$17=$F$18,$I$17&gt;SUM($K$17:BE17),BF17&gt;($J$17/7)),"",IF(AND(BF17&lt;&gt;0,$D$17=$D$18,$J$18&gt;(SUM($K$17:BE17))),"",(IF($I$18&gt;$J$18+(SUM($K$18:BE18)),$J$18,$I$18-(SUM($K$18:BE18))))))</f>
        <v>0</v>
      </c>
      <c r="BG18" s="3">
        <f>IF(AND($F$17=$F$18,$I$17&gt;SUM($K$17:BF17),BG17&gt;($J$17/7)),"",IF(AND(BG17&lt;&gt;0,$D$17=$D$18,$J$18&gt;(SUM($K$17:BF17))),"",(IF($I$18&gt;$J$18+(SUM($K$18:BF18)),$J$18,$I$18-(SUM($K$18:BF18))))))</f>
        <v>0</v>
      </c>
      <c r="BH18" s="3">
        <f>IF(AND($F$17=$F$18,$I$17&gt;SUM($K$17:BG17),BH17&gt;($J$17/7)),"",IF(AND(BH17&lt;&gt;0,$D$17=$D$18,$J$18&gt;(SUM($K$17:BG17))),"",(IF($I$18&gt;$J$18+(SUM($K$18:BG18)),$J$18,$I$18-(SUM($K$18:BG18))))))</f>
        <v>0</v>
      </c>
      <c r="BI18" s="3">
        <f>IF(AND($F$17=$F$18,$I$17&gt;SUM($K$17:BH17),BI17&gt;($J$17/7)),"",IF(AND(BI17&lt;&gt;0,$D$17=$D$18,$J$18&gt;(SUM($K$17:BH17))),"",(IF($I$18&gt;$J$18+(SUM($K$18:BH18)),$J$18,$I$18-(SUM($K$18:BH18))))))</f>
        <v>0</v>
      </c>
      <c r="BJ18" s="3">
        <f>IF(AND($F$17=$F$18,$I$17&gt;SUM($K$17:BI17),BJ17&gt;($J$17/7)),"",IF(AND(BJ17&lt;&gt;0,$D$17=$D$18,$J$18&gt;(SUM($K$17:BI17))),"",(IF($I$18&gt;$J$18+(SUM($K$18:BI18)),$J$18,$I$18-(SUM($K$18:BI18))))))</f>
        <v>0</v>
      </c>
      <c r="BK18" s="3">
        <f>IF(AND($F$17=$F$18,$I$17&gt;SUM($K$17:BJ17),BK17&gt;($J$17/7)),"",IF(AND(BK17&lt;&gt;0,$D$17=$D$18,$J$18&gt;(SUM($K$17:BJ17))),"",(IF($I$18&gt;$J$18+(SUM($K$18:BJ18)),$J$18,$I$18-(SUM($K$18:BJ18))))))</f>
        <v>0</v>
      </c>
      <c r="BL18" s="3">
        <f>IF(AND($F$17=$F$18,$I$17&gt;SUM($K$17:BK17),BL17&gt;($J$17/7)),"",IF(AND(BL17&lt;&gt;0,$D$17=$D$18,$J$18&gt;(SUM($K$17:BK17))),"",(IF($I$18&gt;$J$18+(SUM($K$18:BK18)),$J$18,$I$18-(SUM($K$18:BK18))))))</f>
        <v>0</v>
      </c>
      <c r="BM18" s="3">
        <f>IF(AND($F$17=$F$18,$I$17&gt;SUM($K$17:BL17),BM17&gt;($J$17/7)),"",IF(AND(BM17&lt;&gt;0,$D$17=$D$18,$J$18&gt;(SUM($K$17:BL17))),"",(IF($I$18&gt;$J$18+(SUM($K$18:BL18)),$J$18,$I$18-(SUM($K$18:BL18))))))</f>
        <v>0</v>
      </c>
      <c r="BN18" s="3">
        <f>IF(AND($F$17=$F$18,$I$17&gt;SUM($K$17:BM17),BN17&gt;($J$17/7)),"",IF(AND(BN17&lt;&gt;0,$D$17=$D$18,$J$18&gt;(SUM($K$17:BM17))),"",(IF($I$18&gt;$J$18+(SUM($K$18:BM18)),$J$18,$I$18-(SUM($K$18:BM18))))))</f>
        <v>0</v>
      </c>
      <c r="BO18" s="3">
        <f>IF(AND($F$17=$F$18,$I$17&gt;SUM($K$17:BN17),BO17&gt;($J$17/7)),"",IF(AND(BO17&lt;&gt;0,$D$17=$D$18,$J$18&gt;(SUM($K$17:BN17))),"",(IF($I$18&gt;$J$18+(SUM($K$18:BN18)),$J$18,$I$18-(SUM($K$18:BN18))))))</f>
        <v>0</v>
      </c>
      <c r="BP18" s="3">
        <f>IF(AND($F$17=$F$18,$I$17&gt;SUM($K$17:BO17),BP17&gt;($J$17/7)),"",IF(AND(BP17&lt;&gt;0,$D$17=$D$18,$J$18&gt;(SUM($K$17:BO17))),"",(IF($I$18&gt;$J$18+(SUM($K$18:BO18)),$J$18,$I$18-(SUM($K$18:BO18))))))</f>
        <v>0</v>
      </c>
      <c r="BQ18" s="3">
        <f>IF(AND($F$17=$F$18,$I$17&gt;SUM($K$17:BP17),BQ17&gt;($J$17/7)),"",IF(AND(BQ17&lt;&gt;0,$D$17=$D$18,$J$18&gt;(SUM($K$17:BP17))),"",(IF($I$18&gt;$J$18+(SUM($K$18:BP18)),$J$18,$I$18-(SUM($K$18:BP18))))))</f>
        <v>0</v>
      </c>
      <c r="BR18" s="3">
        <f>IF(AND($F$17=$F$18,$I$17&gt;SUM($K$17:BQ17),BR17&gt;($J$17/7)),"",IF(AND(BR17&lt;&gt;0,$D$17=$D$18,$J$18&gt;(SUM($K$17:BQ17))),"",(IF($I$18&gt;$J$18+(SUM($K$18:BQ18)),$J$18,$I$18-(SUM($K$18:BQ18))))))</f>
        <v>0</v>
      </c>
      <c r="BS18" s="3">
        <f>IF(AND($F$17=$F$18,$I$17&gt;SUM($K$17:BR17),BS17&gt;($J$17/7)),"",IF(AND(BS17&lt;&gt;0,$D$17=$D$18,$J$18&gt;(SUM($K$17:BR17))),"",(IF($I$18&gt;$J$18+(SUM($K$18:BR18)),$J$18,$I$18-(SUM($K$18:BR18))))))</f>
        <v>0</v>
      </c>
      <c r="BT18" s="3">
        <f>IF(AND($F$17=$F$18,$I$17&gt;SUM($K$17:BS17),BT17&gt;($J$17/7)),"",IF(AND(BT17&lt;&gt;0,$D$17=$D$18,$J$18&gt;(SUM($K$17:BS17))),"",(IF($I$18&gt;$J$18+(SUM($K$18:BS18)),$J$18,$I$18-(SUM($K$18:BS18))))))</f>
        <v>0</v>
      </c>
      <c r="BU18" s="3">
        <f>IF(AND($F$17=$F$18,$I$17&gt;SUM($K$17:BT17),BU17&gt;($J$17/7)),"",IF(AND(BU17&lt;&gt;0,$D$17=$D$18,$J$18&gt;(SUM($K$17:BT17))),"",(IF($I$18&gt;$J$18+(SUM($K$18:BT18)),$J$18,$I$18-(SUM($K$18:BT18))))))</f>
        <v>0</v>
      </c>
      <c r="BV18" s="3">
        <f>IF(AND($F$17=$F$18,$I$17&gt;SUM($K$17:BU17),BV17&gt;($J$17/7)),"",IF(AND(BV17&lt;&gt;0,$D$17=$D$18,$J$18&gt;(SUM($K$17:BU17))),"",(IF($I$18&gt;$J$18+(SUM($K$18:BU18)),$J$18,$I$18-(SUM($K$18:BU18))))))</f>
        <v>0</v>
      </c>
      <c r="BW18" s="3">
        <f>IF(AND($F$17=$F$18,$I$17&gt;SUM($K$17:BV17),BW17&gt;($J$17/7)),"",IF(AND(BW17&lt;&gt;0,$D$17=$D$18,$J$18&gt;(SUM($K$17:BV17))),"",(IF($I$18&gt;$J$18+(SUM($K$18:BV18)),$J$18,$I$18-(SUM($K$18:BV18))))))</f>
        <v>0</v>
      </c>
      <c r="BX18" s="3">
        <f>IF(AND($F$17=$F$18,$I$17&gt;SUM($K$17:BW17),BX17&gt;($J$17/7)),"",IF(AND(BX17&lt;&gt;0,$D$17=$D$18,$J$18&gt;(SUM($K$17:BW17))),"",(IF($I$18&gt;$J$18+(SUM($K$18:BW18)),$J$18,$I$18-(SUM($K$18:BW18))))))</f>
        <v>0</v>
      </c>
      <c r="BY18" s="3">
        <f>IF(AND($F$17=$F$18,$I$17&gt;SUM($K$17:BX17),BY17&gt;($J$17/7)),"",IF(AND(BY17&lt;&gt;0,$D$17=$D$18,$J$18&gt;(SUM($K$17:BX17))),"",(IF($I$18&gt;$J$18+(SUM($K$18:BX18)),$J$18,$I$18-(SUM($K$18:BX18))))))</f>
        <v>0</v>
      </c>
      <c r="BZ18" s="3">
        <f>IF(AND($F$17=$F$18,$I$17&gt;SUM($K$17:BY17),BZ17&gt;($J$17/7)),"",IF(AND(BZ17&lt;&gt;0,$D$17=$D$18,$J$18&gt;(SUM($K$17:BY17))),"",(IF($I$18&gt;$J$18+(SUM($K$18:BY18)),$J$18,$I$18-(SUM($K$18:BY18))))))</f>
        <v>0</v>
      </c>
      <c r="CA18" s="3">
        <f>IF(AND($F$17=$F$18,$I$17&gt;SUM($K$17:BZ17),CA17&gt;($J$17/7)),"",IF(AND(CA17&lt;&gt;0,$D$17=$D$18,$J$18&gt;(SUM($K$17:BZ17))),"",(IF($I$18&gt;$J$18+(SUM($K$18:BZ18)),$J$18,$I$18-(SUM($K$18:BZ18))))))</f>
        <v>0</v>
      </c>
      <c r="CB18" s="3">
        <f>IF(AND($F$17=$F$18,$I$17&gt;SUM($K$17:CA17),CB17&gt;($J$17/7)),"",IF(AND(CB17&lt;&gt;0,$D$17=$D$18,$J$18&gt;(SUM($K$17:CA17))),"",(IF($I$18&gt;$J$18+(SUM($K$18:CA18)),$J$18,$I$18-(SUM($K$18:CA18))))))</f>
        <v>0</v>
      </c>
      <c r="CC18" s="3">
        <f>IF(AND($F$17=$F$18,$I$17&gt;SUM($K$17:CB17),CC17&gt;($J$17/7)),"",IF(AND(CC17&lt;&gt;0,$D$17=$D$18,$J$18&gt;(SUM($K$17:CB17))),"",(IF($I$18&gt;$J$18+(SUM($K$18:CB18)),$J$18,$I$18-(SUM($K$18:CB18))))))</f>
        <v>0</v>
      </c>
      <c r="CD18" s="3">
        <f>IF(AND($F$17=$F$18,$I$17&gt;SUM($K$17:CC17),CD17&gt;($J$17/7)),"",IF(AND(CD17&lt;&gt;0,$D$17=$D$18,$J$18&gt;(SUM($K$17:CC17))),"",(IF($I$18&gt;$J$18+(SUM($K$18:CC18)),$J$18,$I$18-(SUM($K$18:CC18))))))</f>
        <v>0</v>
      </c>
      <c r="CE18" s="3">
        <f>IF(AND($F$17=$F$18,$I$17&gt;SUM($K$17:CD17),CE17&gt;($J$17/7)),"",IF(AND(CE17&lt;&gt;0,$D$17=$D$18,$J$18&gt;(SUM($K$17:CD17))),"",(IF($I$18&gt;$J$18+(SUM($K$18:CD18)),$J$18,$I$18-(SUM($K$18:CD18))))))</f>
        <v>0</v>
      </c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</row>
    <row r="19" spans="1:164" x14ac:dyDescent="0.25">
      <c r="A19" s="6">
        <v>17</v>
      </c>
      <c r="B19" t="str">
        <f t="shared" si="3"/>
        <v/>
      </c>
      <c r="C19" t="str">
        <f t="shared" si="4"/>
        <v>0</v>
      </c>
      <c r="E19" s="101"/>
      <c r="F19" s="27"/>
      <c r="G19" s="2">
        <f t="shared" si="0"/>
        <v>0</v>
      </c>
      <c r="H19" s="9">
        <f t="shared" si="1"/>
        <v>0</v>
      </c>
      <c r="I19" s="2">
        <f t="shared" si="2"/>
        <v>0</v>
      </c>
      <c r="J19" s="2">
        <f t="shared" si="5"/>
        <v>0</v>
      </c>
      <c r="K19" t="str">
        <f t="shared" si="6"/>
        <v/>
      </c>
      <c r="L19" s="3">
        <f>IF(AND($F$18=$F$19,$I$18&gt;SUM($K$18:K18),L18&gt;($J$18/7)),"",IF(AND(L18&lt;&gt;0,$D$18=$D$19,$J$19&gt;(SUM($K$18:K18))),"",(IF($I$19&gt;$J$19+(SUM($K$19:K19)),$J$19,$I$19-(SUM($K$19:K19))))))</f>
        <v>0</v>
      </c>
      <c r="M19" s="3">
        <f>IF(AND($F$18=$F$19,$I$18&gt;SUM($K$18:L18),M18&gt;($J$18/7)),"",IF(AND(M18&lt;&gt;0,$D$18=$D$19,$J$19&gt;(SUM($K$18:L18))),"",(IF($I$19&gt;$J$19+(SUM($K$19:L19)),$J$19,$I$19-(SUM($K$19:L19))))))</f>
        <v>0</v>
      </c>
      <c r="N19" s="3">
        <f>IF(AND($F$18=$F$19,$I$18&gt;SUM($K$18:M18),N18&gt;($J$18/7)),"",IF(AND(N18&lt;&gt;0,$D$18=$D$19,$J$19&gt;(SUM($K$18:M18))),"",(IF($I$19&gt;$J$19+(SUM($K$19:M19)),$J$19,$I$19-(SUM($K$19:M19))))))</f>
        <v>0</v>
      </c>
      <c r="O19" s="3">
        <f>IF(AND($F$18=$F$19,$I$18&gt;SUM($K$18:N18),O18&gt;($J$18/7)),"",IF(AND(O18&lt;&gt;0,$D$18=$D$19,$J$19&gt;(SUM($K$18:N18))),"",(IF($I$19&gt;$J$19+(SUM($K$19:N19)),$J$19,$I$19-(SUM($K$19:N19))))))</f>
        <v>0</v>
      </c>
      <c r="P19" s="3">
        <f>IF(AND($F$18=$F$19,$I$18&gt;SUM($K$18:O18),P18&gt;($J$18/7)),"",IF(AND(P18&lt;&gt;0,$D$18=$D$19,$J$19&gt;(SUM($K$18:O18))),"",(IF($I$19&gt;$J$19+(SUM($K$19:O19)),$J$19,$I$19-(SUM($K$19:O19))))))</f>
        <v>0</v>
      </c>
      <c r="Q19" s="3">
        <f>IF(AND($F$18=$F$19,$I$18&gt;SUM($K$18:P18),Q18&gt;($J$18/7)),"",IF(AND(Q18&lt;&gt;0,$D$18=$D$19,$J$19&gt;(SUM($K$18:P18))),"",(IF($I$19&gt;$J$19+(SUM($K$19:P19)),$J$19,$I$19-(SUM($K$19:P19))))))</f>
        <v>0</v>
      </c>
      <c r="R19" s="3">
        <f>IF(AND($F$18=$F$19,$I$18&gt;SUM($K$18:Q18),R18&gt;($J$18/7)),"",IF(AND(R18&lt;&gt;0,$D$18=$D$19,$J$19&gt;(SUM($K$18:Q18))),"",(IF($I$19&gt;$J$19+(SUM($K$19:Q19)),$J$19,$I$19-(SUM($K$19:Q19))))))</f>
        <v>0</v>
      </c>
      <c r="S19" s="3">
        <f>IF(AND($F$18=$F$19,$I$18&gt;SUM($K$18:R18),S18&gt;($J$18/7)),"",IF(AND(S18&lt;&gt;0,$D$18=$D$19,$J$19&gt;(SUM($K$18:R18))),"",(IF($I$19&gt;$J$19+(SUM($K$19:R19)),$J$19,$I$19-(SUM($K$19:R19))))))</f>
        <v>0</v>
      </c>
      <c r="T19" s="3">
        <f>IF(AND($F$18=$F$19,$I$18&gt;SUM($K$18:S18),T18&gt;($J$18/7)),"",IF(AND(T18&lt;&gt;0,$D$18=$D$19,$J$19&gt;(SUM($K$18:S18))),"",(IF($I$19&gt;$J$19+(SUM($K$19:S19)),$J$19,$I$19-(SUM($K$19:S19))))))</f>
        <v>0</v>
      </c>
      <c r="U19" s="3">
        <f>IF(AND($F$18=$F$19,$I$18&gt;SUM($K$18:T18),U18&gt;($J$18/7)),"",IF(AND(U18&lt;&gt;0,$D$18=$D$19,$J$19&gt;(SUM($K$18:T18))),"",(IF($I$19&gt;$J$19+(SUM($K$19:T19)),$J$19,$I$19-(SUM($K$19:T19))))))</f>
        <v>0</v>
      </c>
      <c r="V19" s="3">
        <f>IF(AND($F$18=$F$19,$I$18&gt;SUM($K$18:U18),V18&gt;($J$18/7)),"",IF(AND(V18&lt;&gt;0,$D$18=$D$19,$J$19&gt;(SUM($K$18:U18))),"",(IF($I$19&gt;$J$19+(SUM($K$19:U19)),$J$19,$I$19-(SUM($K$19:U19))))))</f>
        <v>0</v>
      </c>
      <c r="W19" s="3">
        <f>IF(AND($F$18=$F$19,$I$18&gt;SUM($K$18:V18),W18&gt;($J$18/7)),"",IF(AND(W18&lt;&gt;0,$D$18=$D$19,$J$19&gt;(SUM($K$18:V18))),"",(IF($I$19&gt;$J$19+(SUM($K$19:V19)),$J$19,$I$19-(SUM($K$19:V19))))))</f>
        <v>0</v>
      </c>
      <c r="X19" s="3">
        <f>IF(AND($F$18=$F$19,$I$18&gt;SUM($K$18:W18),X18&gt;($J$18/7)),"",IF(AND(X18&lt;&gt;0,$D$18=$D$19,$J$19&gt;(SUM($K$18:W18))),"",(IF($I$19&gt;$J$19+(SUM($K$19:W19)),$J$19,$I$19-(SUM($K$19:W19))))))</f>
        <v>0</v>
      </c>
      <c r="Y19" s="3">
        <f>IF(AND($F$18=$F$19,$I$18&gt;SUM($K$18:X18),Y18&gt;($J$18/7)),"",IF(AND(Y18&lt;&gt;0,$D$18=$D$19,$J$19&gt;(SUM($K$18:X18))),"",(IF($I$19&gt;$J$19+(SUM($K$19:X19)),$J$19,$I$19-(SUM($K$19:X19))))))</f>
        <v>0</v>
      </c>
      <c r="Z19" s="3">
        <f>IF(AND($F$18=$F$19,$I$18&gt;SUM($K$18:Y18),Z18&gt;($J$18/7)),"",IF(AND(Z18&lt;&gt;0,$D$18=$D$19,$J$19&gt;(SUM($K$18:Y18))),"",(IF($I$19&gt;$J$19+(SUM($K$19:Y19)),$J$19,$I$19-(SUM($K$19:Y19))))))</f>
        <v>0</v>
      </c>
      <c r="AA19" s="3">
        <f>IF(AND($F$18=$F$19,$I$18&gt;SUM($K$18:Z18),AA18&gt;($J$18/7)),"",IF(AND(AA18&lt;&gt;0,$D$18=$D$19,$J$19&gt;(SUM($K$18:Z18))),"",(IF($I$19&gt;$J$19+(SUM($K$19:Z19)),$J$19,$I$19-(SUM($K$19:Z19))))))</f>
        <v>0</v>
      </c>
      <c r="AB19" s="3">
        <f>IF(AND($F$18=$F$19,$I$18&gt;SUM($K$18:AA18),AB18&gt;($J$18/7)),"",IF(AND(AB18&lt;&gt;0,$D$18=$D$19,$J$19&gt;(SUM($K$18:AA18))),"",(IF($I$19&gt;$J$19+(SUM($K$19:AA19)),$J$19,$I$19-(SUM($K$19:AA19))))))</f>
        <v>0</v>
      </c>
      <c r="AC19" s="3">
        <f>IF(AND($F$18=$F$19,$I$18&gt;SUM($K$18:AB18),AC18&gt;($J$18/7)),"",IF(AND(AC18&lt;&gt;0,$D$18=$D$19,$J$19&gt;(SUM($K$18:AB18))),"",(IF($I$19&gt;$J$19+(SUM($K$19:AB19)),$J$19,$I$19-(SUM($K$19:AB19))))))</f>
        <v>0</v>
      </c>
      <c r="AD19" s="3">
        <f>IF(AND($F$18=$F$19,$I$18&gt;SUM($K$18:AC18),AD18&gt;($J$18/7)),"",IF(AND(AD18&lt;&gt;0,$D$18=$D$19,$J$19&gt;(SUM($K$18:AC18))),"",(IF($I$19&gt;$J$19+(SUM($K$19:AC19)),$J$19,$I$19-(SUM($K$19:AC19))))))</f>
        <v>0</v>
      </c>
      <c r="AE19" s="3">
        <f>IF(AND($F$18=$F$19,$I$18&gt;SUM($K$18:AD18),AE18&gt;($J$18/7)),"",IF(AND(AE18&lt;&gt;0,$D$18=$D$19,$J$19&gt;(SUM($K$18:AD18))),"",(IF($I$19&gt;$J$19+(SUM($K$19:AD19)),$J$19,$I$19-(SUM($K$19:AD19))))))</f>
        <v>0</v>
      </c>
      <c r="AF19" s="3">
        <f>IF(AND($F$18=$F$19,$I$18&gt;SUM($K$18:AE18),AF18&gt;($J$18/7)),"",IF(AND(AF18&lt;&gt;0,$D$18=$D$19,$J$19&gt;(SUM($K$18:AE18))),"",(IF($I$19&gt;$J$19+(SUM($K$19:AE19)),$J$19,$I$19-(SUM($K$19:AE19))))))</f>
        <v>0</v>
      </c>
      <c r="AG19" s="3">
        <f>IF(AND($F$18=$F$19,$I$18&gt;SUM($K$18:AF18),AG18&gt;($J$18/7)),"",IF(AND(AG18&lt;&gt;0,$D$18=$D$19,$J$19&gt;(SUM($K$18:AF18))),"",(IF($I$19&gt;$J$19+(SUM($K$19:AF19)),$J$19,$I$19-(SUM($K$19:AF19))))))</f>
        <v>0</v>
      </c>
      <c r="AH19" s="3">
        <f>IF(AND($F$18=$F$19,$I$18&gt;SUM($K$18:AG18),AH18&gt;($J$18/7)),"",IF(AND(AH18&lt;&gt;0,$D$18=$D$19,$J$19&gt;(SUM($K$18:AG18))),"",(IF($I$19&gt;$J$19+(SUM($K$19:AG19)),$J$19,$I$19-(SUM($K$19:AG19))))))</f>
        <v>0</v>
      </c>
      <c r="AI19" s="3">
        <f>IF(AND($F$18=$F$19,$I$18&gt;SUM($K$18:AH18),AI18&gt;($J$18/7)),"",IF(AND(AI18&lt;&gt;0,$D$18=$D$19,$J$19&gt;(SUM($K$18:AH18))),"",(IF($I$19&gt;$J$19+(SUM($K$19:AH19)),$J$19,$I$19-(SUM($K$19:AH19))))))</f>
        <v>0</v>
      </c>
      <c r="AJ19" s="3">
        <f>IF(AND($F$18=$F$19,$I$18&gt;SUM($K$18:AI18),AJ18&gt;($J$18/7)),"",IF(AND(AJ18&lt;&gt;0,$D$18=$D$19,$J$19&gt;(SUM($K$18:AI18))),"",(IF($I$19&gt;$J$19+(SUM($K$19:AI19)),$J$19,$I$19-(SUM($K$19:AI19))))))</f>
        <v>0</v>
      </c>
      <c r="AK19" s="3">
        <f>IF(AND($F$18=$F$19,$I$18&gt;SUM($K$18:AJ18),AK18&gt;($J$18/7)),"",IF(AND(AK18&lt;&gt;0,$D$18=$D$19,$J$19&gt;(SUM($K$18:AJ18))),"",(IF($I$19&gt;$J$19+(SUM($K$19:AJ19)),$J$19,$I$19-(SUM($K$19:AJ19))))))</f>
        <v>0</v>
      </c>
      <c r="AL19" s="3">
        <f>IF(AND($F$18=$F$19,$I$18&gt;SUM($K$18:AK18),AL18&gt;($J$18/7)),"",IF(AND(AL18&lt;&gt;0,$D$18=$D$19,$J$19&gt;(SUM($K$18:AK18))),"",(IF($I$19&gt;$J$19+(SUM($K$19:AK19)),$J$19,$I$19-(SUM($K$19:AK19))))))</f>
        <v>0</v>
      </c>
      <c r="AM19" s="3">
        <f>IF(AND($F$18=$F$19,$I$18&gt;SUM($K$18:AL18),AM18&gt;($J$18/7)),"",IF(AND(AM18&lt;&gt;0,$D$18=$D$19,$J$19&gt;(SUM($K$18:AL18))),"",(IF($I$19&gt;$J$19+(SUM($K$19:AL19)),$J$19,$I$19-(SUM($K$19:AL19))))))</f>
        <v>0</v>
      </c>
      <c r="AN19" s="3">
        <f>IF(AND($F$18=$F$19,$I$18&gt;SUM($K$18:AM18),AN18&gt;($J$18/7)),"",IF(AND(AN18&lt;&gt;0,$D$18=$D$19,$J$19&gt;(SUM($K$18:AM18))),"",(IF($I$19&gt;$J$19+(SUM($K$19:AM19)),$J$19,$I$19-(SUM($K$19:AM19))))))</f>
        <v>0</v>
      </c>
      <c r="AO19" s="3">
        <f>IF(AND($F$18=$F$19,$I$18&gt;SUM($K$18:AN18),AO18&gt;($J$18/7)),"",IF(AND(AO18&lt;&gt;0,$D$18=$D$19,$J$19&gt;(SUM($K$18:AN18))),"",(IF($I$19&gt;$J$19+(SUM($K$19:AN19)),$J$19,$I$19-(SUM($K$19:AN19))))))</f>
        <v>0</v>
      </c>
      <c r="AP19" s="3">
        <f>IF(AND($F$18=$F$19,$I$18&gt;SUM($K$18:AO18),AP18&gt;($J$18/7)),"",IF(AND(AP18&lt;&gt;0,$D$18=$D$19,$J$19&gt;(SUM($K$18:AO18))),"",(IF($I$19&gt;$J$19+(SUM($K$19:AO19)),$J$19,$I$19-(SUM($K$19:AO19))))))</f>
        <v>0</v>
      </c>
      <c r="AQ19" s="3">
        <f>IF(AND($F$18=$F$19,$I$18&gt;SUM($K$18:AP18),AQ18&gt;($J$18/7)),"",IF(AND(AQ18&lt;&gt;0,$D$18=$D$19,$J$19&gt;(SUM($K$18:AP18))),"",(IF($I$19&gt;$J$19+(SUM($K$19:AP19)),$J$19,$I$19-(SUM($K$19:AP19))))))</f>
        <v>0</v>
      </c>
      <c r="AR19" s="3">
        <f>IF(AND($F$18=$F$19,$I$18&gt;SUM($K$18:AQ18),AR18&gt;($J$18/7)),"",IF(AND(AR18&lt;&gt;0,$D$18=$D$19,$J$19&gt;(SUM($K$18:AQ18))),"",(IF($I$19&gt;$J$19+(SUM($K$19:AQ19)),$J$19,$I$19-(SUM($K$19:AQ19))))))</f>
        <v>0</v>
      </c>
      <c r="AS19" s="3">
        <f>IF(AND($F$18=$F$19,$I$18&gt;SUM($K$18:AR18),AS18&gt;($J$18/7)),"",IF(AND(AS18&lt;&gt;0,$D$18=$D$19,$J$19&gt;(SUM($K$18:AR18))),"",(IF($I$19&gt;$J$19+(SUM($K$19:AR19)),$J$19,$I$19-(SUM($K$19:AR19))))))</f>
        <v>0</v>
      </c>
      <c r="AT19" s="3">
        <f>IF(AND($F$18=$F$19,$I$18&gt;SUM($K$18:AS18),AT18&gt;($J$18/7)),"",IF(AND(AT18&lt;&gt;0,$D$18=$D$19,$J$19&gt;(SUM($K$18:AS18))),"",(IF($I$19&gt;$J$19+(SUM($K$19:AS19)),$J$19,$I$19-(SUM($K$19:AS19))))))</f>
        <v>0</v>
      </c>
      <c r="AU19" s="3">
        <f>IF(AND($F$18=$F$19,$I$18&gt;SUM($K$18:AT18),AU18&gt;($J$18/7)),"",IF(AND(AU18&lt;&gt;0,$D$18=$D$19,$J$19&gt;(SUM($K$18:AT18))),"",(IF($I$19&gt;$J$19+(SUM($K$19:AT19)),$J$19,$I$19-(SUM($K$19:AT19))))))</f>
        <v>0</v>
      </c>
      <c r="AV19" s="3">
        <f>IF(AND($F$18=$F$19,$I$18&gt;SUM($K$18:AU18),AV18&gt;($J$18/7)),"",IF(AND(AV18&lt;&gt;0,$D$18=$D$19,$J$19&gt;(SUM($K$18:AU18))),"",(IF($I$19&gt;$J$19+(SUM($K$19:AU19)),$J$19,$I$19-(SUM($K$19:AU19))))))</f>
        <v>0</v>
      </c>
      <c r="AW19" s="3">
        <f>IF(AND($F$18=$F$19,$I$18&gt;SUM($K$18:AV18),AW18&gt;($J$18/7)),"",IF(AND(AW18&lt;&gt;0,$D$18=$D$19,$J$19&gt;(SUM($K$18:AV18))),"",(IF($I$19&gt;$J$19+(SUM($K$19:AV19)),$J$19,$I$19-(SUM($K$19:AV19))))))</f>
        <v>0</v>
      </c>
      <c r="AX19" s="3">
        <f>IF(AND($F$18=$F$19,$I$18&gt;SUM($K$18:AW18),AX18&gt;($J$18/7)),"",IF(AND(AX18&lt;&gt;0,$D$18=$D$19,$J$19&gt;(SUM($K$18:AW18))),"",(IF($I$19&gt;$J$19+(SUM($K$19:AW19)),$J$19,$I$19-(SUM($K$19:AW19))))))</f>
        <v>0</v>
      </c>
      <c r="AY19" s="3">
        <f>IF(AND($F$18=$F$19,$I$18&gt;SUM($K$18:AX18),AY18&gt;($J$18/7)),"",IF(AND(AY18&lt;&gt;0,$D$18=$D$19,$J$19&gt;(SUM($K$18:AX18))),"",(IF($I$19&gt;$J$19+(SUM($K$19:AX19)),$J$19,$I$19-(SUM($K$19:AX19))))))</f>
        <v>0</v>
      </c>
      <c r="AZ19" s="3">
        <f>IF(AND($F$18=$F$19,$I$18&gt;SUM($K$18:AY18),AZ18&gt;($J$18/7)),"",IF(AND(AZ18&lt;&gt;0,$D$18=$D$19,$J$19&gt;(SUM($K$18:AY18))),"",(IF($I$19&gt;$J$19+(SUM($K$19:AY19)),$J$19,$I$19-(SUM($K$19:AY19))))))</f>
        <v>0</v>
      </c>
      <c r="BA19" s="3">
        <f>IF(AND($F$18=$F$19,$I$18&gt;SUM($K$18:AZ18),BA18&gt;($J$18/7)),"",IF(AND(BA18&lt;&gt;0,$D$18=$D$19,$J$19&gt;(SUM($K$18:AZ18))),"",(IF($I$19&gt;$J$19+(SUM($K$19:AZ19)),$J$19,$I$19-(SUM($K$19:AZ19))))))</f>
        <v>0</v>
      </c>
      <c r="BB19" s="3">
        <f>IF(AND($F$18=$F$19,$I$18&gt;SUM($K$18:BA18),BB18&gt;($J$18/7)),"",IF(AND(BB18&lt;&gt;0,$D$18=$D$19,$J$19&gt;(SUM($K$18:BA18))),"",(IF($I$19&gt;$J$19+(SUM($K$19:BA19)),$J$19,$I$19-(SUM($K$19:BA19))))))</f>
        <v>0</v>
      </c>
      <c r="BC19" s="3">
        <f>IF(AND($F$18=$F$19,$I$18&gt;SUM($K$18:BB18),BC18&gt;($J$18/7)),"",IF(AND(BC18&lt;&gt;0,$D$18=$D$19,$J$19&gt;(SUM($K$18:BB18))),"",(IF($I$19&gt;$J$19+(SUM($K$19:BB19)),$J$19,$I$19-(SUM($K$19:BB19))))))</f>
        <v>0</v>
      </c>
      <c r="BD19" s="3">
        <f>IF(AND($F$18=$F$19,$I$18&gt;SUM($K$18:BC18),BD18&gt;($J$18/7)),"",IF(AND(BD18&lt;&gt;0,$D$18=$D$19,$J$19&gt;(SUM($K$18:BC18))),"",(IF($I$19&gt;$J$19+(SUM($K$19:BC19)),$J$19,$I$19-(SUM($K$19:BC19))))))</f>
        <v>0</v>
      </c>
      <c r="BE19" s="3">
        <f>IF(AND($F$18=$F$19,$I$18&gt;SUM($K$18:BD18),BE18&gt;($J$18/7)),"",IF(AND(BE18&lt;&gt;0,$D$18=$D$19,$J$19&gt;(SUM($K$18:BD18))),"",(IF($I$19&gt;$J$19+(SUM($K$19:BD19)),$J$19,$I$19-(SUM($K$19:BD19))))))</f>
        <v>0</v>
      </c>
      <c r="BF19" s="3">
        <f>IF(AND($F$18=$F$19,$I$18&gt;SUM($K$18:BE18),BF18&gt;($J$18/7)),"",IF(AND(BF18&lt;&gt;0,$D$18=$D$19,$J$19&gt;(SUM($K$18:BE18))),"",(IF($I$19&gt;$J$19+(SUM($K$19:BE19)),$J$19,$I$19-(SUM($K$19:BE19))))))</f>
        <v>0</v>
      </c>
      <c r="BG19" s="3">
        <f>IF(AND($F$18=$F$19,$I$18&gt;SUM($K$18:BF18),BG18&gt;($J$18/7)),"",IF(AND(BG18&lt;&gt;0,$D$18=$D$19,$J$19&gt;(SUM($K$18:BF18))),"",(IF($I$19&gt;$J$19+(SUM($K$19:BF19)),$J$19,$I$19-(SUM($K$19:BF19))))))</f>
        <v>0</v>
      </c>
      <c r="BH19" s="3">
        <f>IF(AND($F$18=$F$19,$I$18&gt;SUM($K$18:BG18),BH18&gt;($J$18/7)),"",IF(AND(BH18&lt;&gt;0,$D$18=$D$19,$J$19&gt;(SUM($K$18:BG18))),"",(IF($I$19&gt;$J$19+(SUM($K$19:BG19)),$J$19,$I$19-(SUM($K$19:BG19))))))</f>
        <v>0</v>
      </c>
      <c r="BI19" s="3">
        <f>IF(AND($F$18=$F$19,$I$18&gt;SUM($K$18:BH18),BI18&gt;($J$18/7)),"",IF(AND(BI18&lt;&gt;0,$D$18=$D$19,$J$19&gt;(SUM($K$18:BH18))),"",(IF($I$19&gt;$J$19+(SUM($K$19:BH19)),$J$19,$I$19-(SUM($K$19:BH19))))))</f>
        <v>0</v>
      </c>
      <c r="BJ19" s="3">
        <f>IF(AND($F$18=$F$19,$I$18&gt;SUM($K$18:BI18),BJ18&gt;($J$18/7)),"",IF(AND(BJ18&lt;&gt;0,$D$18=$D$19,$J$19&gt;(SUM($K$18:BI18))),"",(IF($I$19&gt;$J$19+(SUM($K$19:BI19)),$J$19,$I$19-(SUM($K$19:BI19))))))</f>
        <v>0</v>
      </c>
      <c r="BK19" s="3">
        <f>IF(AND($F$18=$F$19,$I$18&gt;SUM($K$18:BJ18),BK18&gt;($J$18/7)),"",IF(AND(BK18&lt;&gt;0,$D$18=$D$19,$J$19&gt;(SUM($K$18:BJ18))),"",(IF($I$19&gt;$J$19+(SUM($K$19:BJ19)),$J$19,$I$19-(SUM($K$19:BJ19))))))</f>
        <v>0</v>
      </c>
      <c r="BL19" s="3">
        <f>IF(AND($F$18=$F$19,$I$18&gt;SUM($K$18:BK18),BL18&gt;($J$18/7)),"",IF(AND(BL18&lt;&gt;0,$D$18=$D$19,$J$19&gt;(SUM($K$18:BK18))),"",(IF($I$19&gt;$J$19+(SUM($K$19:BK19)),$J$19,$I$19-(SUM($K$19:BK19))))))</f>
        <v>0</v>
      </c>
      <c r="BM19" s="3">
        <f>IF(AND($F$18=$F$19,$I$18&gt;SUM($K$18:BL18),BM18&gt;($J$18/7)),"",IF(AND(BM18&lt;&gt;0,$D$18=$D$19,$J$19&gt;(SUM($K$18:BL18))),"",(IF($I$19&gt;$J$19+(SUM($K$19:BL19)),$J$19,$I$19-(SUM($K$19:BL19))))))</f>
        <v>0</v>
      </c>
      <c r="BN19" s="3">
        <f>IF(AND($F$18=$F$19,$I$18&gt;SUM($K$18:BM18),BN18&gt;($J$18/7)),"",IF(AND(BN18&lt;&gt;0,$D$18=$D$19,$J$19&gt;(SUM($K$18:BM18))),"",(IF($I$19&gt;$J$19+(SUM($K$19:BM19)),$J$19,$I$19-(SUM($K$19:BM19))))))</f>
        <v>0</v>
      </c>
      <c r="BO19" s="3">
        <f>IF(AND($F$18=$F$19,$I$18&gt;SUM($K$18:BN18),BO18&gt;($J$18/7)),"",IF(AND(BO18&lt;&gt;0,$D$18=$D$19,$J$19&gt;(SUM($K$18:BN18))),"",(IF($I$19&gt;$J$19+(SUM($K$19:BN19)),$J$19,$I$19-(SUM($K$19:BN19))))))</f>
        <v>0</v>
      </c>
      <c r="BP19" s="3">
        <f>IF(AND($F$18=$F$19,$I$18&gt;SUM($K$18:BO18),BP18&gt;($J$18/7)),"",IF(AND(BP18&lt;&gt;0,$D$18=$D$19,$J$19&gt;(SUM($K$18:BO18))),"",(IF($I$19&gt;$J$19+(SUM($K$19:BO19)),$J$19,$I$19-(SUM($K$19:BO19))))))</f>
        <v>0</v>
      </c>
      <c r="BQ19" s="3">
        <f>IF(AND($F$18=$F$19,$I$18&gt;SUM($K$18:BP18),BQ18&gt;($J$18/7)),"",IF(AND(BQ18&lt;&gt;0,$D$18=$D$19,$J$19&gt;(SUM($K$18:BP18))),"",(IF($I$19&gt;$J$19+(SUM($K$19:BP19)),$J$19,$I$19-(SUM($K$19:BP19))))))</f>
        <v>0</v>
      </c>
      <c r="BR19" s="3">
        <f>IF(AND($F$18=$F$19,$I$18&gt;SUM($K$18:BQ18),BR18&gt;($J$18/7)),"",IF(AND(BR18&lt;&gt;0,$D$18=$D$19,$J$19&gt;(SUM($K$18:BQ18))),"",(IF($I$19&gt;$J$19+(SUM($K$19:BQ19)),$J$19,$I$19-(SUM($K$19:BQ19))))))</f>
        <v>0</v>
      </c>
      <c r="BS19" s="3">
        <f>IF(AND($F$18=$F$19,$I$18&gt;SUM($K$18:BR18),BS18&gt;($J$18/7)),"",IF(AND(BS18&lt;&gt;0,$D$18=$D$19,$J$19&gt;(SUM($K$18:BR18))),"",(IF($I$19&gt;$J$19+(SUM($K$19:BR19)),$J$19,$I$19-(SUM($K$19:BR19))))))</f>
        <v>0</v>
      </c>
      <c r="BT19" s="3">
        <f>IF(AND($F$18=$F$19,$I$18&gt;SUM($K$18:BS18),BT18&gt;($J$18/7)),"",IF(AND(BT18&lt;&gt;0,$D$18=$D$19,$J$19&gt;(SUM($K$18:BS18))),"",(IF($I$19&gt;$J$19+(SUM($K$19:BS19)),$J$19,$I$19-(SUM($K$19:BS19))))))</f>
        <v>0</v>
      </c>
      <c r="BU19" s="3">
        <f>IF(AND($F$18=$F$19,$I$18&gt;SUM($K$18:BT18),BU18&gt;($J$18/7)),"",IF(AND(BU18&lt;&gt;0,$D$18=$D$19,$J$19&gt;(SUM($K$18:BT18))),"",(IF($I$19&gt;$J$19+(SUM($K$19:BT19)),$J$19,$I$19-(SUM($K$19:BT19))))))</f>
        <v>0</v>
      </c>
      <c r="BV19" s="3">
        <f>IF(AND($F$18=$F$19,$I$18&gt;SUM($K$18:BU18),BV18&gt;($J$18/7)),"",IF(AND(BV18&lt;&gt;0,$D$18=$D$19,$J$19&gt;(SUM($K$18:BU18))),"",(IF($I$19&gt;$J$19+(SUM($K$19:BU19)),$J$19,$I$19-(SUM($K$19:BU19))))))</f>
        <v>0</v>
      </c>
      <c r="BW19" s="3">
        <f>IF(AND($F$18=$F$19,$I$18&gt;SUM($K$18:BV18),BW18&gt;($J$18/7)),"",IF(AND(BW18&lt;&gt;0,$D$18=$D$19,$J$19&gt;(SUM($K$18:BV18))),"",(IF($I$19&gt;$J$19+(SUM($K$19:BV19)),$J$19,$I$19-(SUM($K$19:BV19))))))</f>
        <v>0</v>
      </c>
      <c r="BX19" s="3">
        <f>IF(AND($F$18=$F$19,$I$18&gt;SUM($K$18:BW18),BX18&gt;($J$18/7)),"",IF(AND(BX18&lt;&gt;0,$D$18=$D$19,$J$19&gt;(SUM($K$18:BW18))),"",(IF($I$19&gt;$J$19+(SUM($K$19:BW19)),$J$19,$I$19-(SUM($K$19:BW19))))))</f>
        <v>0</v>
      </c>
      <c r="BY19" s="3">
        <f>IF(AND($F$18=$F$19,$I$18&gt;SUM($K$18:BX18),BY18&gt;($J$18/7)),"",IF(AND(BY18&lt;&gt;0,$D$18=$D$19,$J$19&gt;(SUM($K$18:BX18))),"",(IF($I$19&gt;$J$19+(SUM($K$19:BX19)),$J$19,$I$19-(SUM($K$19:BX19))))))</f>
        <v>0</v>
      </c>
      <c r="BZ19" s="3">
        <f>IF(AND($F$18=$F$19,$I$18&gt;SUM($K$18:BY18),BZ18&gt;($J$18/7)),"",IF(AND(BZ18&lt;&gt;0,$D$18=$D$19,$J$19&gt;(SUM($K$18:BY18))),"",(IF($I$19&gt;$J$19+(SUM($K$19:BY19)),$J$19,$I$19-(SUM($K$19:BY19))))))</f>
        <v>0</v>
      </c>
      <c r="CA19" s="3">
        <f>IF(AND($F$18=$F$19,$I$18&gt;SUM($K$18:BZ18),CA18&gt;($J$18/7)),"",IF(AND(CA18&lt;&gt;0,$D$18=$D$19,$J$19&gt;(SUM($K$18:BZ18))),"",(IF($I$19&gt;$J$19+(SUM($K$19:BZ19)),$J$19,$I$19-(SUM($K$19:BZ19))))))</f>
        <v>0</v>
      </c>
      <c r="CB19" s="3">
        <f>IF(AND($F$18=$F$19,$I$18&gt;SUM($K$18:CA18),CB18&gt;($J$18/7)),"",IF(AND(CB18&lt;&gt;0,$D$18=$D$19,$J$19&gt;(SUM($K$18:CA18))),"",(IF($I$19&gt;$J$19+(SUM($K$19:CA19)),$J$19,$I$19-(SUM($K$19:CA19))))))</f>
        <v>0</v>
      </c>
      <c r="CC19" s="3">
        <f>IF(AND($F$18=$F$19,$I$18&gt;SUM($K$18:CB18),CC18&gt;($J$18/7)),"",IF(AND(CC18&lt;&gt;0,$D$18=$D$19,$J$19&gt;(SUM($K$18:CB18))),"",(IF($I$19&gt;$J$19+(SUM($K$19:CB19)),$J$19,$I$19-(SUM($K$19:CB19))))))</f>
        <v>0</v>
      </c>
      <c r="CD19" s="3">
        <f>IF(AND($F$18=$F$19,$I$18&gt;SUM($K$18:CC18),CD18&gt;($J$18/7)),"",IF(AND(CD18&lt;&gt;0,$D$18=$D$19,$J$19&gt;(SUM($K$18:CC18))),"",(IF($I$19&gt;$J$19+(SUM($K$19:CC19)),$J$19,$I$19-(SUM($K$19:CC19))))))</f>
        <v>0</v>
      </c>
      <c r="CE19" s="3">
        <f>IF(AND($F$18=$F$19,$I$18&gt;SUM($K$18:CD18),CE18&gt;($J$18/7)),"",IF(AND(CE18&lt;&gt;0,$D$18=$D$19,$J$19&gt;(SUM($K$18:CD18))),"",(IF($I$19&gt;$J$19+(SUM($K$19:CD19)),$J$19,$I$19-(SUM($K$19:CD19))))))</f>
        <v>0</v>
      </c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</row>
    <row r="20" spans="1:164" x14ac:dyDescent="0.25">
      <c r="A20" s="6">
        <v>18</v>
      </c>
      <c r="B20" t="str">
        <f t="shared" si="3"/>
        <v/>
      </c>
      <c r="C20" t="str">
        <f t="shared" si="4"/>
        <v>0</v>
      </c>
      <c r="E20" s="101"/>
      <c r="F20" s="27"/>
      <c r="G20" s="2">
        <f t="shared" si="0"/>
        <v>0</v>
      </c>
      <c r="H20" s="9">
        <f t="shared" si="1"/>
        <v>0</v>
      </c>
      <c r="I20" s="2">
        <f t="shared" si="2"/>
        <v>0</v>
      </c>
      <c r="J20" s="2">
        <f t="shared" si="5"/>
        <v>0</v>
      </c>
      <c r="K20" t="str">
        <f t="shared" si="6"/>
        <v/>
      </c>
      <c r="L20" s="3">
        <f>IF(AND($F$19=$F$20,$I$19&gt;SUM($K$19:K19),L19&gt;($J$19/7)),"",IF(AND(L19&lt;&gt;0,$D$19=$D$20,$J$20&gt;(SUM($K$19:K19))),"",(IF($I$20&gt;$J$20+(SUM($K$20:K20)),$J$20,$I$20-(SUM($K$20:K20))))))</f>
        <v>0</v>
      </c>
      <c r="M20" s="3">
        <f>IF(AND($F$19=$F$20,$I$19&gt;SUM($K$19:L19),M19&gt;($J$19/7)),"",IF(AND(M19&lt;&gt;0,$D$19=$D$20,$J$20&gt;(SUM($K$19:L19))),"",(IF($I$20&gt;$J$20+(SUM($K$20:L20)),$J$20,$I$20-(SUM($K$20:L20))))))</f>
        <v>0</v>
      </c>
      <c r="N20" s="3">
        <f>IF(AND($F$19=$F$20,$I$19&gt;SUM($K$19:M19),N19&gt;($J$19/7)),"",IF(AND(N19&lt;&gt;0,$D$19=$D$20,$J$20&gt;(SUM($K$19:M19))),"",(IF($I$20&gt;$J$20+(SUM($K$20:M20)),$J$20,$I$20-(SUM($K$20:M20))))))</f>
        <v>0</v>
      </c>
      <c r="O20" s="3">
        <f>IF(AND($F$19=$F$20,$I$19&gt;SUM($K$19:N19),O19&gt;($J$19/7)),"",IF(AND(O19&lt;&gt;0,$D$19=$D$20,$J$20&gt;(SUM($K$19:N19))),"",(IF($I$20&gt;$J$20+(SUM($K$20:N20)),$J$20,$I$20-(SUM($K$20:N20))))))</f>
        <v>0</v>
      </c>
      <c r="P20" s="3">
        <f>IF(AND($F$19=$F$20,$I$19&gt;SUM($K$19:O19),P19&gt;($J$19/7)),"",IF(AND(P19&lt;&gt;0,$D$19=$D$20,$J$20&gt;(SUM($K$19:O19))),"",(IF($I$20&gt;$J$20+(SUM($K$20:O20)),$J$20,$I$20-(SUM($K$20:O20))))))</f>
        <v>0</v>
      </c>
      <c r="Q20" s="3">
        <f>IF(AND($F$19=$F$20,$I$19&gt;SUM($K$19:P19),Q19&gt;($J$19/7)),"",IF(AND(Q19&lt;&gt;0,$D$19=$D$20,$J$20&gt;(SUM($K$19:P19))),"",(IF($I$20&gt;$J$20+(SUM($K$20:P20)),$J$20,$I$20-(SUM($K$20:P20))))))</f>
        <v>0</v>
      </c>
      <c r="R20" s="3">
        <f>IF(AND($F$19=$F$20,$I$19&gt;SUM($K$19:Q19),R19&gt;($J$19/7)),"",IF(AND(R19&lt;&gt;0,$D$19=$D$20,$J$20&gt;(SUM($K$19:Q19))),"",(IF($I$20&gt;$J$20+(SUM($K$20:Q20)),$J$20,$I$20-(SUM($K$20:Q20))))))</f>
        <v>0</v>
      </c>
      <c r="S20" s="3">
        <f>IF(AND($F$19=$F$20,$I$19&gt;SUM($K$19:R19),S19&gt;($J$19/7)),"",IF(AND(S19&lt;&gt;0,$D$19=$D$20,$J$20&gt;(SUM($K$19:R19))),"",(IF($I$20&gt;$J$20+(SUM($K$20:R20)),$J$20,$I$20-(SUM($K$20:R20))))))</f>
        <v>0</v>
      </c>
      <c r="T20" s="3">
        <f>IF(AND($F$19=$F$20,$I$19&gt;SUM($K$19:S19),T19&gt;($J$19/7)),"",IF(AND(T19&lt;&gt;0,$D$19=$D$20,$J$20&gt;(SUM($K$19:S19))),"",(IF($I$20&gt;$J$20+(SUM($K$20:S20)),$J$20,$I$20-(SUM($K$20:S20))))))</f>
        <v>0</v>
      </c>
      <c r="U20" s="3">
        <f>IF(AND($F$19=$F$20,$I$19&gt;SUM($K$19:T19),U19&gt;($J$19/7)),"",IF(AND(U19&lt;&gt;0,$D$19=$D$20,$J$20&gt;(SUM($K$19:T19))),"",(IF($I$20&gt;$J$20+(SUM($K$20:T20)),$J$20,$I$20-(SUM($K$20:T20))))))</f>
        <v>0</v>
      </c>
      <c r="V20" s="3">
        <f>IF(AND($F$19=$F$20,$I$19&gt;SUM($K$19:U19),V19&gt;($J$19/7)),"",IF(AND(V19&lt;&gt;0,$D$19=$D$20,$J$20&gt;(SUM($K$19:U19))),"",(IF($I$20&gt;$J$20+(SUM($K$20:U20)),$J$20,$I$20-(SUM($K$20:U20))))))</f>
        <v>0</v>
      </c>
      <c r="W20" s="3">
        <f>IF(AND($F$19=$F$20,$I$19&gt;SUM($K$19:V19),W19&gt;($J$19/7)),"",IF(AND(W19&lt;&gt;0,$D$19=$D$20,$J$20&gt;(SUM($K$19:V19))),"",(IF($I$20&gt;$J$20+(SUM($K$20:V20)),$J$20,$I$20-(SUM($K$20:V20))))))</f>
        <v>0</v>
      </c>
      <c r="X20" s="3">
        <f>IF(AND($F$19=$F$20,$I$19&gt;SUM($K$19:W19),X19&gt;($J$19/7)),"",IF(AND(X19&lt;&gt;0,$D$19=$D$20,$J$20&gt;(SUM($K$19:W19))),"",(IF($I$20&gt;$J$20+(SUM($K$20:W20)),$J$20,$I$20-(SUM($K$20:W20))))))</f>
        <v>0</v>
      </c>
      <c r="Y20" s="3">
        <f>IF(AND($F$19=$F$20,$I$19&gt;SUM($K$19:X19),Y19&gt;($J$19/7)),"",IF(AND(Y19&lt;&gt;0,$D$19=$D$20,$J$20&gt;(SUM($K$19:X19))),"",(IF($I$20&gt;$J$20+(SUM($K$20:X20)),$J$20,$I$20-(SUM($K$20:X20))))))</f>
        <v>0</v>
      </c>
      <c r="Z20" s="3">
        <f>IF(AND($F$19=$F$20,$I$19&gt;SUM($K$19:Y19),Z19&gt;($J$19/7)),"",IF(AND(Z19&lt;&gt;0,$D$19=$D$20,$J$20&gt;(SUM($K$19:Y19))),"",(IF($I$20&gt;$J$20+(SUM($K$20:Y20)),$J$20,$I$20-(SUM($K$20:Y20))))))</f>
        <v>0</v>
      </c>
      <c r="AA20" s="3">
        <f>IF(AND($F$19=$F$20,$I$19&gt;SUM($K$19:Z19),AA19&gt;($J$19/7)),"",IF(AND(AA19&lt;&gt;0,$D$19=$D$20,$J$20&gt;(SUM($K$19:Z19))),"",(IF($I$20&gt;$J$20+(SUM($K$20:Z20)),$J$20,$I$20-(SUM($K$20:Z20))))))</f>
        <v>0</v>
      </c>
      <c r="AB20" s="3">
        <f>IF(AND($F$19=$F$20,$I$19&gt;SUM($K$19:AA19),AB19&gt;($J$19/7)),"",IF(AND(AB19&lt;&gt;0,$D$19=$D$20,$J$20&gt;(SUM($K$19:AA19))),"",(IF($I$20&gt;$J$20+(SUM($K$20:AA20)),$J$20,$I$20-(SUM($K$20:AA20))))))</f>
        <v>0</v>
      </c>
      <c r="AC20" s="3">
        <f>IF(AND($F$19=$F$20,$I$19&gt;SUM($K$19:AB19),AC19&gt;($J$19/7)),"",IF(AND(AC19&lt;&gt;0,$D$19=$D$20,$J$20&gt;(SUM($K$19:AB19))),"",(IF($I$20&gt;$J$20+(SUM($K$20:AB20)),$J$20,$I$20-(SUM($K$20:AB20))))))</f>
        <v>0</v>
      </c>
      <c r="AD20" s="3">
        <f>IF(AND($F$19=$F$20,$I$19&gt;SUM($K$19:AC19),AD19&gt;($J$19/7)),"",IF(AND(AD19&lt;&gt;0,$D$19=$D$20,$J$20&gt;(SUM($K$19:AC19))),"",(IF($I$20&gt;$J$20+(SUM($K$20:AC20)),$J$20,$I$20-(SUM($K$20:AC20))))))</f>
        <v>0</v>
      </c>
      <c r="AE20" s="3">
        <f>IF(AND($F$19=$F$20,$I$19&gt;SUM($K$19:AD19),AE19&gt;($J$19/7)),"",IF(AND(AE19&lt;&gt;0,$D$19=$D$20,$J$20&gt;(SUM($K$19:AD19))),"",(IF($I$20&gt;$J$20+(SUM($K$20:AD20)),$J$20,$I$20-(SUM($K$20:AD20))))))</f>
        <v>0</v>
      </c>
      <c r="AF20" s="3">
        <f>IF(AND($F$19=$F$20,$I$19&gt;SUM($K$19:AE19),AF19&gt;($J$19/7)),"",IF(AND(AF19&lt;&gt;0,$D$19=$D$20,$J$20&gt;(SUM($K$19:AE19))),"",(IF($I$20&gt;$J$20+(SUM($K$20:AE20)),$J$20,$I$20-(SUM($K$20:AE20))))))</f>
        <v>0</v>
      </c>
      <c r="AG20" s="3">
        <f>IF(AND($F$19=$F$20,$I$19&gt;SUM($K$19:AF19),AG19&gt;($J$19/7)),"",IF(AND(AG19&lt;&gt;0,$D$19=$D$20,$J$20&gt;(SUM($K$19:AF19))),"",(IF($I$20&gt;$J$20+(SUM($K$20:AF20)),$J$20,$I$20-(SUM($K$20:AF20))))))</f>
        <v>0</v>
      </c>
      <c r="AH20" s="3">
        <f>IF(AND($F$19=$F$20,$I$19&gt;SUM($K$19:AG19),AH19&gt;($J$19/7)),"",IF(AND(AH19&lt;&gt;0,$D$19=$D$20,$J$20&gt;(SUM($K$19:AG19))),"",(IF($I$20&gt;$J$20+(SUM($K$20:AG20)),$J$20,$I$20-(SUM($K$20:AG20))))))</f>
        <v>0</v>
      </c>
      <c r="AI20" s="3">
        <f>IF(AND($F$19=$F$20,$I$19&gt;SUM($K$19:AH19),AI19&gt;($J$19/7)),"",IF(AND(AI19&lt;&gt;0,$D$19=$D$20,$J$20&gt;(SUM($K$19:AH19))),"",(IF($I$20&gt;$J$20+(SUM($K$20:AH20)),$J$20,$I$20-(SUM($K$20:AH20))))))</f>
        <v>0</v>
      </c>
      <c r="AJ20" s="3">
        <f>IF(AND($F$19=$F$20,$I$19&gt;SUM($K$19:AI19),AJ19&gt;($J$19/7)),"",IF(AND(AJ19&lt;&gt;0,$D$19=$D$20,$J$20&gt;(SUM($K$19:AI19))),"",(IF($I$20&gt;$J$20+(SUM($K$20:AI20)),$J$20,$I$20-(SUM($K$20:AI20))))))</f>
        <v>0</v>
      </c>
      <c r="AK20" s="3">
        <f>IF(AND($F$19=$F$20,$I$19&gt;SUM($K$19:AJ19),AK19&gt;($J$19/7)),"",IF(AND(AK19&lt;&gt;0,$D$19=$D$20,$J$20&gt;(SUM($K$19:AJ19))),"",(IF($I$20&gt;$J$20+(SUM($K$20:AJ20)),$J$20,$I$20-(SUM($K$20:AJ20))))))</f>
        <v>0</v>
      </c>
      <c r="AL20" s="3">
        <f>IF(AND($F$19=$F$20,$I$19&gt;SUM($K$19:AK19),AL19&gt;($J$19/7)),"",IF(AND(AL19&lt;&gt;0,$D$19=$D$20,$J$20&gt;(SUM($K$19:AK19))),"",(IF($I$20&gt;$J$20+(SUM($K$20:AK20)),$J$20,$I$20-(SUM($K$20:AK20))))))</f>
        <v>0</v>
      </c>
      <c r="AM20" s="3">
        <f>IF(AND($F$19=$F$20,$I$19&gt;SUM($K$19:AL19),AM19&gt;($J$19/7)),"",IF(AND(AM19&lt;&gt;0,$D$19=$D$20,$J$20&gt;(SUM($K$19:AL19))),"",(IF($I$20&gt;$J$20+(SUM($K$20:AL20)),$J$20,$I$20-(SUM($K$20:AL20))))))</f>
        <v>0</v>
      </c>
      <c r="AN20" s="3">
        <f>IF(AND($F$19=$F$20,$I$19&gt;SUM($K$19:AM19),AN19&gt;($J$19/7)),"",IF(AND(AN19&lt;&gt;0,$D$19=$D$20,$J$20&gt;(SUM($K$19:AM19))),"",(IF($I$20&gt;$J$20+(SUM($K$20:AM20)),$J$20,$I$20-(SUM($K$20:AM20))))))</f>
        <v>0</v>
      </c>
      <c r="AO20" s="3">
        <f>IF(AND($F$19=$F$20,$I$19&gt;SUM($K$19:AN19),AO19&gt;($J$19/7)),"",IF(AND(AO19&lt;&gt;0,$D$19=$D$20,$J$20&gt;(SUM($K$19:AN19))),"",(IF($I$20&gt;$J$20+(SUM($K$20:AN20)),$J$20,$I$20-(SUM($K$20:AN20))))))</f>
        <v>0</v>
      </c>
      <c r="AP20" s="3">
        <f>IF(AND($F$19=$F$20,$I$19&gt;SUM($K$19:AO19),AP19&gt;($J$19/7)),"",IF(AND(AP19&lt;&gt;0,$D$19=$D$20,$J$20&gt;(SUM($K$19:AO19))),"",(IF($I$20&gt;$J$20+(SUM($K$20:AO20)),$J$20,$I$20-(SUM($K$20:AO20))))))</f>
        <v>0</v>
      </c>
      <c r="AQ20" s="3">
        <f>IF(AND($F$19=$F$20,$I$19&gt;SUM($K$19:AP19),AQ19&gt;($J$19/7)),"",IF(AND(AQ19&lt;&gt;0,$D$19=$D$20,$J$20&gt;(SUM($K$19:AP19))),"",(IF($I$20&gt;$J$20+(SUM($K$20:AP20)),$J$20,$I$20-(SUM($K$20:AP20))))))</f>
        <v>0</v>
      </c>
      <c r="AR20" s="3">
        <f>IF(AND($F$19=$F$20,$I$19&gt;SUM($K$19:AQ19),AR19&gt;($J$19/7)),"",IF(AND(AR19&lt;&gt;0,$D$19=$D$20,$J$20&gt;(SUM($K$19:AQ19))),"",(IF($I$20&gt;$J$20+(SUM($K$20:AQ20)),$J$20,$I$20-(SUM($K$20:AQ20))))))</f>
        <v>0</v>
      </c>
      <c r="AS20" s="3">
        <f>IF(AND($F$19=$F$20,$I$19&gt;SUM($K$19:AR19),AS19&gt;($J$19/7)),"",IF(AND(AS19&lt;&gt;0,$D$19=$D$20,$J$20&gt;(SUM($K$19:AR19))),"",(IF($I$20&gt;$J$20+(SUM($K$20:AR20)),$J$20,$I$20-(SUM($K$20:AR20))))))</f>
        <v>0</v>
      </c>
      <c r="AT20" s="3">
        <f>IF(AND($F$19=$F$20,$I$19&gt;SUM($K$19:AS19),AT19&gt;($J$19/7)),"",IF(AND(AT19&lt;&gt;0,$D$19=$D$20,$J$20&gt;(SUM($K$19:AS19))),"",(IF($I$20&gt;$J$20+(SUM($K$20:AS20)),$J$20,$I$20-(SUM($K$20:AS20))))))</f>
        <v>0</v>
      </c>
      <c r="AU20" s="3">
        <f>IF(AND($F$19=$F$20,$I$19&gt;SUM($K$19:AT19),AU19&gt;($J$19/7)),"",IF(AND(AU19&lt;&gt;0,$D$19=$D$20,$J$20&gt;(SUM($K$19:AT19))),"",(IF($I$20&gt;$J$20+(SUM($K$20:AT20)),$J$20,$I$20-(SUM($K$20:AT20))))))</f>
        <v>0</v>
      </c>
      <c r="AV20" s="3">
        <f>IF(AND($F$19=$F$20,$I$19&gt;SUM($K$19:AU19),AV19&gt;($J$19/7)),"",IF(AND(AV19&lt;&gt;0,$D$19=$D$20,$J$20&gt;(SUM($K$19:AU19))),"",(IF($I$20&gt;$J$20+(SUM($K$20:AU20)),$J$20,$I$20-(SUM($K$20:AU20))))))</f>
        <v>0</v>
      </c>
      <c r="AW20" s="3">
        <f>IF(AND($F$19=$F$20,$I$19&gt;SUM($K$19:AV19),AW19&gt;($J$19/7)),"",IF(AND(AW19&lt;&gt;0,$D$19=$D$20,$J$20&gt;(SUM($K$19:AV19))),"",(IF($I$20&gt;$J$20+(SUM($K$20:AV20)),$J$20,$I$20-(SUM($K$20:AV20))))))</f>
        <v>0</v>
      </c>
      <c r="AX20" s="3">
        <f>IF(AND($F$19=$F$20,$I$19&gt;SUM($K$19:AW19),AX19&gt;($J$19/7)),"",IF(AND(AX19&lt;&gt;0,$D$19=$D$20,$J$20&gt;(SUM($K$19:AW19))),"",(IF($I$20&gt;$J$20+(SUM($K$20:AW20)),$J$20,$I$20-(SUM($K$20:AW20))))))</f>
        <v>0</v>
      </c>
      <c r="AY20" s="3">
        <f>IF(AND($F$19=$F$20,$I$19&gt;SUM($K$19:AX19),AY19&gt;($J$19/7)),"",IF(AND(AY19&lt;&gt;0,$D$19=$D$20,$J$20&gt;(SUM($K$19:AX19))),"",(IF($I$20&gt;$J$20+(SUM($K$20:AX20)),$J$20,$I$20-(SUM($K$20:AX20))))))</f>
        <v>0</v>
      </c>
      <c r="AZ20" s="3">
        <f>IF(AND($F$19=$F$20,$I$19&gt;SUM($K$19:AY19),AZ19&gt;($J$19/7)),"",IF(AND(AZ19&lt;&gt;0,$D$19=$D$20,$J$20&gt;(SUM($K$19:AY19))),"",(IF($I$20&gt;$J$20+(SUM($K$20:AY20)),$J$20,$I$20-(SUM($K$20:AY20))))))</f>
        <v>0</v>
      </c>
      <c r="BA20" s="3">
        <f>IF(AND($F$19=$F$20,$I$19&gt;SUM($K$19:AZ19),BA19&gt;($J$19/7)),"",IF(AND(BA19&lt;&gt;0,$D$19=$D$20,$J$20&gt;(SUM($K$19:AZ19))),"",(IF($I$20&gt;$J$20+(SUM($K$20:AZ20)),$J$20,$I$20-(SUM($K$20:AZ20))))))</f>
        <v>0</v>
      </c>
      <c r="BB20" s="3">
        <f>IF(AND($F$19=$F$20,$I$19&gt;SUM($K$19:BA19),BB19&gt;($J$19/7)),"",IF(AND(BB19&lt;&gt;0,$D$19=$D$20,$J$20&gt;(SUM($K$19:BA19))),"",(IF($I$20&gt;$J$20+(SUM($K$20:BA20)),$J$20,$I$20-(SUM($K$20:BA20))))))</f>
        <v>0</v>
      </c>
      <c r="BC20" s="3">
        <f>IF(AND($F$19=$F$20,$I$19&gt;SUM($K$19:BB19),BC19&gt;($J$19/7)),"",IF(AND(BC19&lt;&gt;0,$D$19=$D$20,$J$20&gt;(SUM($K$19:BB19))),"",(IF($I$20&gt;$J$20+(SUM($K$20:BB20)),$J$20,$I$20-(SUM($K$20:BB20))))))</f>
        <v>0</v>
      </c>
      <c r="BD20" s="3">
        <f>IF(AND($F$19=$F$20,$I$19&gt;SUM($K$19:BC19),BD19&gt;($J$19/7)),"",IF(AND(BD19&lt;&gt;0,$D$19=$D$20,$J$20&gt;(SUM($K$19:BC19))),"",(IF($I$20&gt;$J$20+(SUM($K$20:BC20)),$J$20,$I$20-(SUM($K$20:BC20))))))</f>
        <v>0</v>
      </c>
      <c r="BE20" s="3">
        <f>IF(AND($F$19=$F$20,$I$19&gt;SUM($K$19:BD19),BE19&gt;($J$19/7)),"",IF(AND(BE19&lt;&gt;0,$D$19=$D$20,$J$20&gt;(SUM($K$19:BD19))),"",(IF($I$20&gt;$J$20+(SUM($K$20:BD20)),$J$20,$I$20-(SUM($K$20:BD20))))))</f>
        <v>0</v>
      </c>
      <c r="BF20" s="3">
        <f>IF(AND($F$19=$F$20,$I$19&gt;SUM($K$19:BE19),BF19&gt;($J$19/7)),"",IF(AND(BF19&lt;&gt;0,$D$19=$D$20,$J$20&gt;(SUM($K$19:BE19))),"",(IF($I$20&gt;$J$20+(SUM($K$20:BE20)),$J$20,$I$20-(SUM($K$20:BE20))))))</f>
        <v>0</v>
      </c>
      <c r="BG20" s="3">
        <f>IF(AND($F$19=$F$20,$I$19&gt;SUM($K$19:BF19),BG19&gt;($J$19/7)),"",IF(AND(BG19&lt;&gt;0,$D$19=$D$20,$J$20&gt;(SUM($K$19:BF19))),"",(IF($I$20&gt;$J$20+(SUM($K$20:BF20)),$J$20,$I$20-(SUM($K$20:BF20))))))</f>
        <v>0</v>
      </c>
      <c r="BH20" s="3">
        <f>IF(AND($F$19=$F$20,$I$19&gt;SUM($K$19:BG19),BH19&gt;($J$19/7)),"",IF(AND(BH19&lt;&gt;0,$D$19=$D$20,$J$20&gt;(SUM($K$19:BG19))),"",(IF($I$20&gt;$J$20+(SUM($K$20:BG20)),$J$20,$I$20-(SUM($K$20:BG20))))))</f>
        <v>0</v>
      </c>
      <c r="BI20" s="3">
        <f>IF(AND($F$19=$F$20,$I$19&gt;SUM($K$19:BH19),BI19&gt;($J$19/7)),"",IF(AND(BI19&lt;&gt;0,$D$19=$D$20,$J$20&gt;(SUM($K$19:BH19))),"",(IF($I$20&gt;$J$20+(SUM($K$20:BH20)),$J$20,$I$20-(SUM($K$20:BH20))))))</f>
        <v>0</v>
      </c>
      <c r="BJ20" s="3">
        <f>IF(AND($F$19=$F$20,$I$19&gt;SUM($K$19:BI19),BJ19&gt;($J$19/7)),"",IF(AND(BJ19&lt;&gt;0,$D$19=$D$20,$J$20&gt;(SUM($K$19:BI19))),"",(IF($I$20&gt;$J$20+(SUM($K$20:BI20)),$J$20,$I$20-(SUM($K$20:BI20))))))</f>
        <v>0</v>
      </c>
      <c r="BK20" s="3">
        <f>IF(AND($F$19=$F$20,$I$19&gt;SUM($K$19:BJ19),BK19&gt;($J$19/7)),"",IF(AND(BK19&lt;&gt;0,$D$19=$D$20,$J$20&gt;(SUM($K$19:BJ19))),"",(IF($I$20&gt;$J$20+(SUM($K$20:BJ20)),$J$20,$I$20-(SUM($K$20:BJ20))))))</f>
        <v>0</v>
      </c>
      <c r="BL20" s="3">
        <f>IF(AND($F$19=$F$20,$I$19&gt;SUM($K$19:BK19),BL19&gt;($J$19/7)),"",IF(AND(BL19&lt;&gt;0,$D$19=$D$20,$J$20&gt;(SUM($K$19:BK19))),"",(IF($I$20&gt;$J$20+(SUM($K$20:BK20)),$J$20,$I$20-(SUM($K$20:BK20))))))</f>
        <v>0</v>
      </c>
      <c r="BM20" s="3">
        <f>IF(AND($F$19=$F$20,$I$19&gt;SUM($K$19:BL19),BM19&gt;($J$19/7)),"",IF(AND(BM19&lt;&gt;0,$D$19=$D$20,$J$20&gt;(SUM($K$19:BL19))),"",(IF($I$20&gt;$J$20+(SUM($K$20:BL20)),$J$20,$I$20-(SUM($K$20:BL20))))))</f>
        <v>0</v>
      </c>
      <c r="BN20" s="3">
        <f>IF(AND($F$19=$F$20,$I$19&gt;SUM($K$19:BM19),BN19&gt;($J$19/7)),"",IF(AND(BN19&lt;&gt;0,$D$19=$D$20,$J$20&gt;(SUM($K$19:BM19))),"",(IF($I$20&gt;$J$20+(SUM($K$20:BM20)),$J$20,$I$20-(SUM($K$20:BM20))))))</f>
        <v>0</v>
      </c>
      <c r="BO20" s="3">
        <f>IF(AND($F$19=$F$20,$I$19&gt;SUM($K$19:BN19),BO19&gt;($J$19/7)),"",IF(AND(BO19&lt;&gt;0,$D$19=$D$20,$J$20&gt;(SUM($K$19:BN19))),"",(IF($I$20&gt;$J$20+(SUM($K$20:BN20)),$J$20,$I$20-(SUM($K$20:BN20))))))</f>
        <v>0</v>
      </c>
      <c r="BP20" s="3">
        <f>IF(AND($F$19=$F$20,$I$19&gt;SUM($K$19:BO19),BP19&gt;($J$19/7)),"",IF(AND(BP19&lt;&gt;0,$D$19=$D$20,$J$20&gt;(SUM($K$19:BO19))),"",(IF($I$20&gt;$J$20+(SUM($K$20:BO20)),$J$20,$I$20-(SUM($K$20:BO20))))))</f>
        <v>0</v>
      </c>
      <c r="BQ20" s="3">
        <f>IF(AND($F$19=$F$20,$I$19&gt;SUM($K$19:BP19),BQ19&gt;($J$19/7)),"",IF(AND(BQ19&lt;&gt;0,$D$19=$D$20,$J$20&gt;(SUM($K$19:BP19))),"",(IF($I$20&gt;$J$20+(SUM($K$20:BP20)),$J$20,$I$20-(SUM($K$20:BP20))))))</f>
        <v>0</v>
      </c>
      <c r="BR20" s="3">
        <f>IF(AND($F$19=$F$20,$I$19&gt;SUM($K$19:BQ19),BR19&gt;($J$19/7)),"",IF(AND(BR19&lt;&gt;0,$D$19=$D$20,$J$20&gt;(SUM($K$19:BQ19))),"",(IF($I$20&gt;$J$20+(SUM($K$20:BQ20)),$J$20,$I$20-(SUM($K$20:BQ20))))))</f>
        <v>0</v>
      </c>
      <c r="BS20" s="3">
        <f>IF(AND($F$19=$F$20,$I$19&gt;SUM($K$19:BR19),BS19&gt;($J$19/7)),"",IF(AND(BS19&lt;&gt;0,$D$19=$D$20,$J$20&gt;(SUM($K$19:BR19))),"",(IF($I$20&gt;$J$20+(SUM($K$20:BR20)),$J$20,$I$20-(SUM($K$20:BR20))))))</f>
        <v>0</v>
      </c>
      <c r="BT20" s="3">
        <f>IF(AND($F$19=$F$20,$I$19&gt;SUM($K$19:BS19),BT19&gt;($J$19/7)),"",IF(AND(BT19&lt;&gt;0,$D$19=$D$20,$J$20&gt;(SUM($K$19:BS19))),"",(IF($I$20&gt;$J$20+(SUM($K$20:BS20)),$J$20,$I$20-(SUM($K$20:BS20))))))</f>
        <v>0</v>
      </c>
      <c r="BU20" s="3">
        <f>IF(AND($F$19=$F$20,$I$19&gt;SUM($K$19:BT19),BU19&gt;($J$19/7)),"",IF(AND(BU19&lt;&gt;0,$D$19=$D$20,$J$20&gt;(SUM($K$19:BT19))),"",(IF($I$20&gt;$J$20+(SUM($K$20:BT20)),$J$20,$I$20-(SUM($K$20:BT20))))))</f>
        <v>0</v>
      </c>
      <c r="BV20" s="3">
        <f>IF(AND($F$19=$F$20,$I$19&gt;SUM($K$19:BU19),BV19&gt;($J$19/7)),"",IF(AND(BV19&lt;&gt;0,$D$19=$D$20,$J$20&gt;(SUM($K$19:BU19))),"",(IF($I$20&gt;$J$20+(SUM($K$20:BU20)),$J$20,$I$20-(SUM($K$20:BU20))))))</f>
        <v>0</v>
      </c>
      <c r="BW20" s="3">
        <f>IF(AND($F$19=$F$20,$I$19&gt;SUM($K$19:BV19),BW19&gt;($J$19/7)),"",IF(AND(BW19&lt;&gt;0,$D$19=$D$20,$J$20&gt;(SUM($K$19:BV19))),"",(IF($I$20&gt;$J$20+(SUM($K$20:BV20)),$J$20,$I$20-(SUM($K$20:BV20))))))</f>
        <v>0</v>
      </c>
      <c r="BX20" s="3">
        <f>IF(AND($F$19=$F$20,$I$19&gt;SUM($K$19:BW19),BX19&gt;($J$19/7)),"",IF(AND(BX19&lt;&gt;0,$D$19=$D$20,$J$20&gt;(SUM($K$19:BW19))),"",(IF($I$20&gt;$J$20+(SUM($K$20:BW20)),$J$20,$I$20-(SUM($K$20:BW20))))))</f>
        <v>0</v>
      </c>
      <c r="BY20" s="3">
        <f>IF(AND($F$19=$F$20,$I$19&gt;SUM($K$19:BX19),BY19&gt;($J$19/7)),"",IF(AND(BY19&lt;&gt;0,$D$19=$D$20,$J$20&gt;(SUM($K$19:BX19))),"",(IF($I$20&gt;$J$20+(SUM($K$20:BX20)),$J$20,$I$20-(SUM($K$20:BX20))))))</f>
        <v>0</v>
      </c>
      <c r="BZ20" s="3">
        <f>IF(AND($F$19=$F$20,$I$19&gt;SUM($K$19:BY19),BZ19&gt;($J$19/7)),"",IF(AND(BZ19&lt;&gt;0,$D$19=$D$20,$J$20&gt;(SUM($K$19:BY19))),"",(IF($I$20&gt;$J$20+(SUM($K$20:BY20)),$J$20,$I$20-(SUM($K$20:BY20))))))</f>
        <v>0</v>
      </c>
      <c r="CA20" s="3">
        <f>IF(AND($F$19=$F$20,$I$19&gt;SUM($K$19:BZ19),CA19&gt;($J$19/7)),"",IF(AND(CA19&lt;&gt;0,$D$19=$D$20,$J$20&gt;(SUM($K$19:BZ19))),"",(IF($I$20&gt;$J$20+(SUM($K$20:BZ20)),$J$20,$I$20-(SUM($K$20:BZ20))))))</f>
        <v>0</v>
      </c>
      <c r="CB20" s="3">
        <f>IF(AND($F$19=$F$20,$I$19&gt;SUM($K$19:CA19),CB19&gt;($J$19/7)),"",IF(AND(CB19&lt;&gt;0,$D$19=$D$20,$J$20&gt;(SUM($K$19:CA19))),"",(IF($I$20&gt;$J$20+(SUM($K$20:CA20)),$J$20,$I$20-(SUM($K$20:CA20))))))</f>
        <v>0</v>
      </c>
      <c r="CC20" s="3">
        <f>IF(AND($F$19=$F$20,$I$19&gt;SUM($K$19:CB19),CC19&gt;($J$19/7)),"",IF(AND(CC19&lt;&gt;0,$D$19=$D$20,$J$20&gt;(SUM($K$19:CB19))),"",(IF($I$20&gt;$J$20+(SUM($K$20:CB20)),$J$20,$I$20-(SUM($K$20:CB20))))))</f>
        <v>0</v>
      </c>
      <c r="CD20" s="3">
        <f>IF(AND($F$19=$F$20,$I$19&gt;SUM($K$19:CC19),CD19&gt;($J$19/7)),"",IF(AND(CD19&lt;&gt;0,$D$19=$D$20,$J$20&gt;(SUM($K$19:CC19))),"",(IF($I$20&gt;$J$20+(SUM($K$20:CC20)),$J$20,$I$20-(SUM($K$20:CC20))))))</f>
        <v>0</v>
      </c>
      <c r="CE20" s="3">
        <f>IF(AND($F$19=$F$20,$I$19&gt;SUM($K$19:CD19),CE19&gt;($J$19/7)),"",IF(AND(CE19&lt;&gt;0,$D$19=$D$20,$J$20&gt;(SUM($K$19:CD19))),"",(IF($I$20&gt;$J$20+(SUM($K$20:CD20)),$J$20,$I$20-(SUM($K$20:CD20))))))</f>
        <v>0</v>
      </c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</row>
    <row r="21" spans="1:164" x14ac:dyDescent="0.25">
      <c r="A21" s="6">
        <v>19</v>
      </c>
      <c r="B21" t="str">
        <f t="shared" si="3"/>
        <v/>
      </c>
      <c r="C21" t="str">
        <f t="shared" si="4"/>
        <v>0</v>
      </c>
      <c r="E21" s="101"/>
      <c r="F21" s="27"/>
      <c r="G21" s="2">
        <f t="shared" si="0"/>
        <v>0</v>
      </c>
      <c r="H21" s="9">
        <f t="shared" si="1"/>
        <v>0</v>
      </c>
      <c r="I21" s="2">
        <f t="shared" si="2"/>
        <v>0</v>
      </c>
      <c r="J21" s="2">
        <f t="shared" si="5"/>
        <v>0</v>
      </c>
      <c r="K21" t="str">
        <f t="shared" si="6"/>
        <v/>
      </c>
      <c r="L21" s="3">
        <f>IF(AND($F$20=$F$21,$I$20&gt;SUM($K$20:K20),L20&gt;($J$20/7)),"",IF(AND(L20&lt;&gt;0,$D$20=$D$21,$J$21&gt;(SUM($K$20:K20))),"",(IF($I$21&gt;$J$21+(SUM($K$21:K21)),$J$21,$I$21-(SUM($K$21:K21))))))</f>
        <v>0</v>
      </c>
      <c r="M21" s="3">
        <f>IF(AND($F$20=$F$21,$I$20&gt;SUM($K$20:L20),M20&gt;($J$20/7)),"",IF(AND(M20&lt;&gt;0,$D$20=$D$21,$J$21&gt;(SUM($K$20:L20))),"",(IF($I$21&gt;$J$21+(SUM($K$21:L21)),$J$21,$I$21-(SUM($K$21:L21))))))</f>
        <v>0</v>
      </c>
      <c r="N21" s="3">
        <f>IF(AND($F$20=$F$21,$I$20&gt;SUM($K$20:M20),N20&gt;($J$20/7)),"",IF(AND(N20&lt;&gt;0,$D$20=$D$21,$J$21&gt;(SUM($K$20:M20))),"",(IF($I$21&gt;$J$21+(SUM($K$21:M21)),$J$21,$I$21-(SUM($K$21:M21))))))</f>
        <v>0</v>
      </c>
      <c r="O21" s="3">
        <f>IF(AND($F$20=$F$21,$I$20&gt;SUM($K$20:N20),O20&gt;($J$20/7)),"",IF(AND(O20&lt;&gt;0,$D$20=$D$21,$J$21&gt;(SUM($K$20:N20))),"",(IF($I$21&gt;$J$21+(SUM($K$21:N21)),$J$21,$I$21-(SUM($K$21:N21))))))</f>
        <v>0</v>
      </c>
      <c r="P21" s="3">
        <f>IF(AND($F$20=$F$21,$I$20&gt;SUM($K$20:O20),P20&gt;($J$20/7)),"",IF(AND(P20&lt;&gt;0,$D$20=$D$21,$J$21&gt;(SUM($K$20:O20))),"",(IF($I$21&gt;$J$21+(SUM($K$21:O21)),$J$21,$I$21-(SUM($K$21:O21))))))</f>
        <v>0</v>
      </c>
      <c r="Q21" s="3">
        <f>IF(AND($F$20=$F$21,$I$20&gt;SUM($K$20:P20),Q20&gt;($J$20/7)),"",IF(AND(Q20&lt;&gt;0,$D$20=$D$21,$J$21&gt;(SUM($K$20:P20))),"",(IF($I$21&gt;$J$21+(SUM($K$21:P21)),$J$21,$I$21-(SUM($K$21:P21))))))</f>
        <v>0</v>
      </c>
      <c r="R21" s="3">
        <f>IF(AND($F$20=$F$21,$I$20&gt;SUM($K$20:Q20),R20&gt;($J$20/7)),"",IF(AND(R20&lt;&gt;0,$D$20=$D$21,$J$21&gt;(SUM($K$20:Q20))),"",(IF($I$21&gt;$J$21+(SUM($K$21:Q21)),$J$21,$I$21-(SUM($K$21:Q21))))))</f>
        <v>0</v>
      </c>
      <c r="S21" s="3">
        <f>IF(AND($F$20=$F$21,$I$20&gt;SUM($K$20:R20),S20&gt;($J$20/7)),"",IF(AND(S20&lt;&gt;0,$D$20=$D$21,$J$21&gt;(SUM($K$20:R20))),"",(IF($I$21&gt;$J$21+(SUM($K$21:R21)),$J$21,$I$21-(SUM($K$21:R21))))))</f>
        <v>0</v>
      </c>
      <c r="T21" s="3">
        <f>IF(AND($F$20=$F$21,$I$20&gt;SUM($K$20:S20),T20&gt;($J$20/7)),"",IF(AND(T20&lt;&gt;0,$D$20=$D$21,$J$21&gt;(SUM($K$20:S20))),"",(IF($I$21&gt;$J$21+(SUM($K$21:S21)),$J$21,$I$21-(SUM($K$21:S21))))))</f>
        <v>0</v>
      </c>
      <c r="U21" s="3">
        <f>IF(AND($F$20=$F$21,$I$20&gt;SUM($K$20:T20),U20&gt;($J$20/7)),"",IF(AND(U20&lt;&gt;0,$D$20=$D$21,$J$21&gt;(SUM($K$20:T20))),"",(IF($I$21&gt;$J$21+(SUM($K$21:T21)),$J$21,$I$21-(SUM($K$21:T21))))))</f>
        <v>0</v>
      </c>
      <c r="V21" s="3">
        <f>IF(AND($F$20=$F$21,$I$20&gt;SUM($K$20:U20),V20&gt;($J$20/7)),"",IF(AND(V20&lt;&gt;0,$D$20=$D$21,$J$21&gt;(SUM($K$20:U20))),"",(IF($I$21&gt;$J$21+(SUM($K$21:U21)),$J$21,$I$21-(SUM($K$21:U21))))))</f>
        <v>0</v>
      </c>
      <c r="W21" s="3">
        <f>IF(AND($F$20=$F$21,$I$20&gt;SUM($K$20:V20),W20&gt;($J$20/7)),"",IF(AND(W20&lt;&gt;0,$D$20=$D$21,$J$21&gt;(SUM($K$20:V20))),"",(IF($I$21&gt;$J$21+(SUM($K$21:V21)),$J$21,$I$21-(SUM($K$21:V21))))))</f>
        <v>0</v>
      </c>
      <c r="X21" s="3">
        <f>IF(AND($F$20=$F$21,$I$20&gt;SUM($K$20:W20),X20&gt;($J$20/7)),"",IF(AND(X20&lt;&gt;0,$D$20=$D$21,$J$21&gt;(SUM($K$20:W20))),"",(IF($I$21&gt;$J$21+(SUM($K$21:W21)),$J$21,$I$21-(SUM($K$21:W21))))))</f>
        <v>0</v>
      </c>
      <c r="Y21" s="3">
        <f>IF(AND($F$20=$F$21,$I$20&gt;SUM($K$20:X20),Y20&gt;($J$20/7)),"",IF(AND(Y20&lt;&gt;0,$D$20=$D$21,$J$21&gt;(SUM($K$20:X20))),"",(IF($I$21&gt;$J$21+(SUM($K$21:X21)),$J$21,$I$21-(SUM($K$21:X21))))))</f>
        <v>0</v>
      </c>
      <c r="Z21" s="3">
        <f>IF(AND($F$20=$F$21,$I$20&gt;SUM($K$20:Y20),Z20&gt;($J$20/7)),"",IF(AND(Z20&lt;&gt;0,$D$20=$D$21,$J$21&gt;(SUM($K$20:Y20))),"",(IF($I$21&gt;$J$21+(SUM($K$21:Y21)),$J$21,$I$21-(SUM($K$21:Y21))))))</f>
        <v>0</v>
      </c>
      <c r="AA21" s="3">
        <f>IF(AND($F$20=$F$21,$I$20&gt;SUM($K$20:Z20),AA20&gt;($J$20/7)),"",IF(AND(AA20&lt;&gt;0,$D$20=$D$21,$J$21&gt;(SUM($K$20:Z20))),"",(IF($I$21&gt;$J$21+(SUM($K$21:Z21)),$J$21,$I$21-(SUM($K$21:Z21))))))</f>
        <v>0</v>
      </c>
      <c r="AB21" s="3">
        <f>IF(AND($F$20=$F$21,$I$20&gt;SUM($K$20:AA20),AB20&gt;($J$20/7)),"",IF(AND(AB20&lt;&gt;0,$D$20=$D$21,$J$21&gt;(SUM($K$20:AA20))),"",(IF($I$21&gt;$J$21+(SUM($K$21:AA21)),$J$21,$I$21-(SUM($K$21:AA21))))))</f>
        <v>0</v>
      </c>
      <c r="AC21" s="3">
        <f>IF(AND($F$20=$F$21,$I$20&gt;SUM($K$20:AB20),AC20&gt;($J$20/7)),"",IF(AND(AC20&lt;&gt;0,$D$20=$D$21,$J$21&gt;(SUM($K$20:AB20))),"",(IF($I$21&gt;$J$21+(SUM($K$21:AB21)),$J$21,$I$21-(SUM($K$21:AB21))))))</f>
        <v>0</v>
      </c>
      <c r="AD21" s="3">
        <f>IF(AND($F$20=$F$21,$I$20&gt;SUM($K$20:AC20),AD20&gt;($J$20/7)),"",IF(AND(AD20&lt;&gt;0,$D$20=$D$21,$J$21&gt;(SUM($K$20:AC20))),"",(IF($I$21&gt;$J$21+(SUM($K$21:AC21)),$J$21,$I$21-(SUM($K$21:AC21))))))</f>
        <v>0</v>
      </c>
      <c r="AE21" s="3">
        <f>IF(AND($F$20=$F$21,$I$20&gt;SUM($K$20:AD20),AE20&gt;($J$20/7)),"",IF(AND(AE20&lt;&gt;0,$D$20=$D$21,$J$21&gt;(SUM($K$20:AD20))),"",(IF($I$21&gt;$J$21+(SUM($K$21:AD21)),$J$21,$I$21-(SUM($K$21:AD21))))))</f>
        <v>0</v>
      </c>
      <c r="AF21" s="3">
        <f>IF(AND($F$20=$F$21,$I$20&gt;SUM($K$20:AE20),AF20&gt;($J$20/7)),"",IF(AND(AF20&lt;&gt;0,$D$20=$D$21,$J$21&gt;(SUM($K$20:AE20))),"",(IF($I$21&gt;$J$21+(SUM($K$21:AE21)),$J$21,$I$21-(SUM($K$21:AE21))))))</f>
        <v>0</v>
      </c>
      <c r="AG21" s="3">
        <f>IF(AND($F$20=$F$21,$I$20&gt;SUM($K$20:AF20),AG20&gt;($J$20/7)),"",IF(AND(AG20&lt;&gt;0,$D$20=$D$21,$J$21&gt;(SUM($K$20:AF20))),"",(IF($I$21&gt;$J$21+(SUM($K$21:AF21)),$J$21,$I$21-(SUM($K$21:AF21))))))</f>
        <v>0</v>
      </c>
      <c r="AH21" s="3">
        <f>IF(AND($F$20=$F$21,$I$20&gt;SUM($K$20:AG20),AH20&gt;($J$20/7)),"",IF(AND(AH20&lt;&gt;0,$D$20=$D$21,$J$21&gt;(SUM($K$20:AG20))),"",(IF($I$21&gt;$J$21+(SUM($K$21:AG21)),$J$21,$I$21-(SUM($K$21:AG21))))))</f>
        <v>0</v>
      </c>
      <c r="AI21" s="3">
        <f>IF(AND($F$20=$F$21,$I$20&gt;SUM($K$20:AH20),AI20&gt;($J$20/7)),"",IF(AND(AI20&lt;&gt;0,$D$20=$D$21,$J$21&gt;(SUM($K$20:AH20))),"",(IF($I$21&gt;$J$21+(SUM($K$21:AH21)),$J$21,$I$21-(SUM($K$21:AH21))))))</f>
        <v>0</v>
      </c>
      <c r="AJ21" s="3">
        <f>IF(AND($F$20=$F$21,$I$20&gt;SUM($K$20:AI20),AJ20&gt;($J$20/7)),"",IF(AND(AJ20&lt;&gt;0,$D$20=$D$21,$J$21&gt;(SUM($K$20:AI20))),"",(IF($I$21&gt;$J$21+(SUM($K$21:AI21)),$J$21,$I$21-(SUM($K$21:AI21))))))</f>
        <v>0</v>
      </c>
      <c r="AK21" s="3">
        <f>IF(AND($F$20=$F$21,$I$20&gt;SUM($K$20:AJ20),AK20&gt;($J$20/7)),"",IF(AND(AK20&lt;&gt;0,$D$20=$D$21,$J$21&gt;(SUM($K$20:AJ20))),"",(IF($I$21&gt;$J$21+(SUM($K$21:AJ21)),$J$21,$I$21-(SUM($K$21:AJ21))))))</f>
        <v>0</v>
      </c>
      <c r="AL21" s="3">
        <f>IF(AND($F$20=$F$21,$I$20&gt;SUM($K$20:AK20),AL20&gt;($J$20/7)),"",IF(AND(AL20&lt;&gt;0,$D$20=$D$21,$J$21&gt;(SUM($K$20:AK20))),"",(IF($I$21&gt;$J$21+(SUM($K$21:AK21)),$J$21,$I$21-(SUM($K$21:AK21))))))</f>
        <v>0</v>
      </c>
      <c r="AM21" s="3">
        <f>IF(AND($F$20=$F$21,$I$20&gt;SUM($K$20:AL20),AM20&gt;($J$20/7)),"",IF(AND(AM20&lt;&gt;0,$D$20=$D$21,$J$21&gt;(SUM($K$20:AL20))),"",(IF($I$21&gt;$J$21+(SUM($K$21:AL21)),$J$21,$I$21-(SUM($K$21:AL21))))))</f>
        <v>0</v>
      </c>
      <c r="AN21" s="3">
        <f>IF(AND($F$20=$F$21,$I$20&gt;SUM($K$20:AM20),AN20&gt;($J$20/7)),"",IF(AND(AN20&lt;&gt;0,$D$20=$D$21,$J$21&gt;(SUM($K$20:AM20))),"",(IF($I$21&gt;$J$21+(SUM($K$21:AM21)),$J$21,$I$21-(SUM($K$21:AM21))))))</f>
        <v>0</v>
      </c>
      <c r="AO21" s="3">
        <f>IF(AND($F$20=$F$21,$I$20&gt;SUM($K$20:AN20),AO20&gt;($J$20/7)),"",IF(AND(AO20&lt;&gt;0,$D$20=$D$21,$J$21&gt;(SUM($K$20:AN20))),"",(IF($I$21&gt;$J$21+(SUM($K$21:AN21)),$J$21,$I$21-(SUM($K$21:AN21))))))</f>
        <v>0</v>
      </c>
      <c r="AP21" s="3">
        <f>IF(AND($F$20=$F$21,$I$20&gt;SUM($K$20:AO20),AP20&gt;($J$20/7)),"",IF(AND(AP20&lt;&gt;0,$D$20=$D$21,$J$21&gt;(SUM($K$20:AO20))),"",(IF($I$21&gt;$J$21+(SUM($K$21:AO21)),$J$21,$I$21-(SUM($K$21:AO21))))))</f>
        <v>0</v>
      </c>
      <c r="AQ21" s="3">
        <f>IF(AND($F$20=$F$21,$I$20&gt;SUM($K$20:AP20),AQ20&gt;($J$20/7)),"",IF(AND(AQ20&lt;&gt;0,$D$20=$D$21,$J$21&gt;(SUM($K$20:AP20))),"",(IF($I$21&gt;$J$21+(SUM($K$21:AP21)),$J$21,$I$21-(SUM($K$21:AP21))))))</f>
        <v>0</v>
      </c>
      <c r="AR21" s="3">
        <f>IF(AND($F$20=$F$21,$I$20&gt;SUM($K$20:AQ20),AR20&gt;($J$20/7)),"",IF(AND(AR20&lt;&gt;0,$D$20=$D$21,$J$21&gt;(SUM($K$20:AQ20))),"",(IF($I$21&gt;$J$21+(SUM($K$21:AQ21)),$J$21,$I$21-(SUM($K$21:AQ21))))))</f>
        <v>0</v>
      </c>
      <c r="AS21" s="3">
        <f>IF(AND($F$20=$F$21,$I$20&gt;SUM($K$20:AR20),AS20&gt;($J$20/7)),"",IF(AND(AS20&lt;&gt;0,$D$20=$D$21,$J$21&gt;(SUM($K$20:AR20))),"",(IF($I$21&gt;$J$21+(SUM($K$21:AR21)),$J$21,$I$21-(SUM($K$21:AR21))))))</f>
        <v>0</v>
      </c>
      <c r="AT21" s="3">
        <f>IF(AND($F$20=$F$21,$I$20&gt;SUM($K$20:AS20),AT20&gt;($J$20/7)),"",IF(AND(AT20&lt;&gt;0,$D$20=$D$21,$J$21&gt;(SUM($K$20:AS20))),"",(IF($I$21&gt;$J$21+(SUM($K$21:AS21)),$J$21,$I$21-(SUM($K$21:AS21))))))</f>
        <v>0</v>
      </c>
      <c r="AU21" s="3">
        <f>IF(AND($F$20=$F$21,$I$20&gt;SUM($K$20:AT20),AU20&gt;($J$20/7)),"",IF(AND(AU20&lt;&gt;0,$D$20=$D$21,$J$21&gt;(SUM($K$20:AT20))),"",(IF($I$21&gt;$J$21+(SUM($K$21:AT21)),$J$21,$I$21-(SUM($K$21:AT21))))))</f>
        <v>0</v>
      </c>
      <c r="AV21" s="3">
        <f>IF(AND($F$20=$F$21,$I$20&gt;SUM($K$20:AU20),AV20&gt;($J$20/7)),"",IF(AND(AV20&lt;&gt;0,$D$20=$D$21,$J$21&gt;(SUM($K$20:AU20))),"",(IF($I$21&gt;$J$21+(SUM($K$21:AU21)),$J$21,$I$21-(SUM($K$21:AU21))))))</f>
        <v>0</v>
      </c>
      <c r="AW21" s="3">
        <f>IF(AND($F$20=$F$21,$I$20&gt;SUM($K$20:AV20),AW20&gt;($J$20/7)),"",IF(AND(AW20&lt;&gt;0,$D$20=$D$21,$J$21&gt;(SUM($K$20:AV20))),"",(IF($I$21&gt;$J$21+(SUM($K$21:AV21)),$J$21,$I$21-(SUM($K$21:AV21))))))</f>
        <v>0</v>
      </c>
      <c r="AX21" s="3">
        <f>IF(AND($F$20=$F$21,$I$20&gt;SUM($K$20:AW20),AX20&gt;($J$20/7)),"",IF(AND(AX20&lt;&gt;0,$D$20=$D$21,$J$21&gt;(SUM($K$20:AW20))),"",(IF($I$21&gt;$J$21+(SUM($K$21:AW21)),$J$21,$I$21-(SUM($K$21:AW21))))))</f>
        <v>0</v>
      </c>
      <c r="AY21" s="3">
        <f>IF(AND($F$20=$F$21,$I$20&gt;SUM($K$20:AX20),AY20&gt;($J$20/7)),"",IF(AND(AY20&lt;&gt;0,$D$20=$D$21,$J$21&gt;(SUM($K$20:AX20))),"",(IF($I$21&gt;$J$21+(SUM($K$21:AX21)),$J$21,$I$21-(SUM($K$21:AX21))))))</f>
        <v>0</v>
      </c>
      <c r="AZ21" s="3">
        <f>IF(AND($F$20=$F$21,$I$20&gt;SUM($K$20:AY20),AZ20&gt;($J$20/7)),"",IF(AND(AZ20&lt;&gt;0,$D$20=$D$21,$J$21&gt;(SUM($K$20:AY20))),"",(IF($I$21&gt;$J$21+(SUM($K$21:AY21)),$J$21,$I$21-(SUM($K$21:AY21))))))</f>
        <v>0</v>
      </c>
      <c r="BA21" s="3">
        <f>IF(AND($F$20=$F$21,$I$20&gt;SUM($K$20:AZ20),BA20&gt;($J$20/7)),"",IF(AND(BA20&lt;&gt;0,$D$20=$D$21,$J$21&gt;(SUM($K$20:AZ20))),"",(IF($I$21&gt;$J$21+(SUM($K$21:AZ21)),$J$21,$I$21-(SUM($K$21:AZ21))))))</f>
        <v>0</v>
      </c>
      <c r="BB21" s="3">
        <f>IF(AND($F$20=$F$21,$I$20&gt;SUM($K$20:BA20),BB20&gt;($J$20/7)),"",IF(AND(BB20&lt;&gt;0,$D$20=$D$21,$J$21&gt;(SUM($K$20:BA20))),"",(IF($I$21&gt;$J$21+(SUM($K$21:BA21)),$J$21,$I$21-(SUM($K$21:BA21))))))</f>
        <v>0</v>
      </c>
      <c r="BC21" s="3">
        <f>IF(AND($F$20=$F$21,$I$20&gt;SUM($K$20:BB20),BC20&gt;($J$20/7)),"",IF(AND(BC20&lt;&gt;0,$D$20=$D$21,$J$21&gt;(SUM($K$20:BB20))),"",(IF($I$21&gt;$J$21+(SUM($K$21:BB21)),$J$21,$I$21-(SUM($K$21:BB21))))))</f>
        <v>0</v>
      </c>
      <c r="BD21" s="3">
        <f>IF(AND($F$20=$F$21,$I$20&gt;SUM($K$20:BC20),BD20&gt;($J$20/7)),"",IF(AND(BD20&lt;&gt;0,$D$20=$D$21,$J$21&gt;(SUM($K$20:BC20))),"",(IF($I$21&gt;$J$21+(SUM($K$21:BC21)),$J$21,$I$21-(SUM($K$21:BC21))))))</f>
        <v>0</v>
      </c>
      <c r="BE21" s="3">
        <f>IF(AND($F$20=$F$21,$I$20&gt;SUM($K$20:BD20),BE20&gt;($J$20/7)),"",IF(AND(BE20&lt;&gt;0,$D$20=$D$21,$J$21&gt;(SUM($K$20:BD20))),"",(IF($I$21&gt;$J$21+(SUM($K$21:BD21)),$J$21,$I$21-(SUM($K$21:BD21))))))</f>
        <v>0</v>
      </c>
      <c r="BF21" s="3">
        <f>IF(AND($F$20=$F$21,$I$20&gt;SUM($K$20:BE20),BF20&gt;($J$20/7)),"",IF(AND(BF20&lt;&gt;0,$D$20=$D$21,$J$21&gt;(SUM($K$20:BE20))),"",(IF($I$21&gt;$J$21+(SUM($K$21:BE21)),$J$21,$I$21-(SUM($K$21:BE21))))))</f>
        <v>0</v>
      </c>
      <c r="BG21" s="3">
        <f>IF(AND($F$20=$F$21,$I$20&gt;SUM($K$20:BF20),BG20&gt;($J$20/7)),"",IF(AND(BG20&lt;&gt;0,$D$20=$D$21,$J$21&gt;(SUM($K$20:BF20))),"",(IF($I$21&gt;$J$21+(SUM($K$21:BF21)),$J$21,$I$21-(SUM($K$21:BF21))))))</f>
        <v>0</v>
      </c>
      <c r="BH21" s="3">
        <f>IF(AND($F$20=$F$21,$I$20&gt;SUM($K$20:BG20),BH20&gt;($J$20/7)),"",IF(AND(BH20&lt;&gt;0,$D$20=$D$21,$J$21&gt;(SUM($K$20:BG20))),"",(IF($I$21&gt;$J$21+(SUM($K$21:BG21)),$J$21,$I$21-(SUM($K$21:BG21))))))</f>
        <v>0</v>
      </c>
      <c r="BI21" s="3">
        <f>IF(AND($F$20=$F$21,$I$20&gt;SUM($K$20:BH20),BI20&gt;($J$20/7)),"",IF(AND(BI20&lt;&gt;0,$D$20=$D$21,$J$21&gt;(SUM($K$20:BH20))),"",(IF($I$21&gt;$J$21+(SUM($K$21:BH21)),$J$21,$I$21-(SUM($K$21:BH21))))))</f>
        <v>0</v>
      </c>
      <c r="BJ21" s="3">
        <f>IF(AND($F$20=$F$21,$I$20&gt;SUM($K$20:BI20),BJ20&gt;($J$20/7)),"",IF(AND(BJ20&lt;&gt;0,$D$20=$D$21,$J$21&gt;(SUM($K$20:BI20))),"",(IF($I$21&gt;$J$21+(SUM($K$21:BI21)),$J$21,$I$21-(SUM($K$21:BI21))))))</f>
        <v>0</v>
      </c>
      <c r="BK21" s="3">
        <f>IF(AND($F$20=$F$21,$I$20&gt;SUM($K$20:BJ20),BK20&gt;($J$20/7)),"",IF(AND(BK20&lt;&gt;0,$D$20=$D$21,$J$21&gt;(SUM($K$20:BJ20))),"",(IF($I$21&gt;$J$21+(SUM($K$21:BJ21)),$J$21,$I$21-(SUM($K$21:BJ21))))))</f>
        <v>0</v>
      </c>
      <c r="BL21" s="3">
        <f>IF(AND($F$20=$F$21,$I$20&gt;SUM($K$20:BK20),BL20&gt;($J$20/7)),"",IF(AND(BL20&lt;&gt;0,$D$20=$D$21,$J$21&gt;(SUM($K$20:BK20))),"",(IF($I$21&gt;$J$21+(SUM($K$21:BK21)),$J$21,$I$21-(SUM($K$21:BK21))))))</f>
        <v>0</v>
      </c>
      <c r="BM21" s="3">
        <f>IF(AND($F$20=$F$21,$I$20&gt;SUM($K$20:BL20),BM20&gt;($J$20/7)),"",IF(AND(BM20&lt;&gt;0,$D$20=$D$21,$J$21&gt;(SUM($K$20:BL20))),"",(IF($I$21&gt;$J$21+(SUM($K$21:BL21)),$J$21,$I$21-(SUM($K$21:BL21))))))</f>
        <v>0</v>
      </c>
      <c r="BN21" s="3">
        <f>IF(AND($F$20=$F$21,$I$20&gt;SUM($K$20:BM20),BN20&gt;($J$20/7)),"",IF(AND(BN20&lt;&gt;0,$D$20=$D$21,$J$21&gt;(SUM($K$20:BM20))),"",(IF($I$21&gt;$J$21+(SUM($K$21:BM21)),$J$21,$I$21-(SUM($K$21:BM21))))))</f>
        <v>0</v>
      </c>
      <c r="BO21" s="3">
        <f>IF(AND($F$20=$F$21,$I$20&gt;SUM($K$20:BN20),BO20&gt;($J$20/7)),"",IF(AND(BO20&lt;&gt;0,$D$20=$D$21,$J$21&gt;(SUM($K$20:BN20))),"",(IF($I$21&gt;$J$21+(SUM($K$21:BN21)),$J$21,$I$21-(SUM($K$21:BN21))))))</f>
        <v>0</v>
      </c>
      <c r="BP21" s="3">
        <f>IF(AND($F$20=$F$21,$I$20&gt;SUM($K$20:BO20),BP20&gt;($J$20/7)),"",IF(AND(BP20&lt;&gt;0,$D$20=$D$21,$J$21&gt;(SUM($K$20:BO20))),"",(IF($I$21&gt;$J$21+(SUM($K$21:BO21)),$J$21,$I$21-(SUM($K$21:BO21))))))</f>
        <v>0</v>
      </c>
      <c r="BQ21" s="3">
        <f>IF(AND($F$20=$F$21,$I$20&gt;SUM($K$20:BP20),BQ20&gt;($J$20/7)),"",IF(AND(BQ20&lt;&gt;0,$D$20=$D$21,$J$21&gt;(SUM($K$20:BP20))),"",(IF($I$21&gt;$J$21+(SUM($K$21:BP21)),$J$21,$I$21-(SUM($K$21:BP21))))))</f>
        <v>0</v>
      </c>
      <c r="BR21" s="3">
        <f>IF(AND($F$20=$F$21,$I$20&gt;SUM($K$20:BQ20),BR20&gt;($J$20/7)),"",IF(AND(BR20&lt;&gt;0,$D$20=$D$21,$J$21&gt;(SUM($K$20:BQ20))),"",(IF($I$21&gt;$J$21+(SUM($K$21:BQ21)),$J$21,$I$21-(SUM($K$21:BQ21))))))</f>
        <v>0</v>
      </c>
      <c r="BS21" s="3">
        <f>IF(AND($F$20=$F$21,$I$20&gt;SUM($K$20:BR20),BS20&gt;($J$20/7)),"",IF(AND(BS20&lt;&gt;0,$D$20=$D$21,$J$21&gt;(SUM($K$20:BR20))),"",(IF($I$21&gt;$J$21+(SUM($K$21:BR21)),$J$21,$I$21-(SUM($K$21:BR21))))))</f>
        <v>0</v>
      </c>
      <c r="BT21" s="3">
        <f>IF(AND($F$20=$F$21,$I$20&gt;SUM($K$20:BS20),BT20&gt;($J$20/7)),"",IF(AND(BT20&lt;&gt;0,$D$20=$D$21,$J$21&gt;(SUM($K$20:BS20))),"",(IF($I$21&gt;$J$21+(SUM($K$21:BS21)),$J$21,$I$21-(SUM($K$21:BS21))))))</f>
        <v>0</v>
      </c>
      <c r="BU21" s="3">
        <f>IF(AND($F$20=$F$21,$I$20&gt;SUM($K$20:BT20),BU20&gt;($J$20/7)),"",IF(AND(BU20&lt;&gt;0,$D$20=$D$21,$J$21&gt;(SUM($K$20:BT20))),"",(IF($I$21&gt;$J$21+(SUM($K$21:BT21)),$J$21,$I$21-(SUM($K$21:BT21))))))</f>
        <v>0</v>
      </c>
      <c r="BV21" s="3">
        <f>IF(AND($F$20=$F$21,$I$20&gt;SUM($K$20:BU20),BV20&gt;($J$20/7)),"",IF(AND(BV20&lt;&gt;0,$D$20=$D$21,$J$21&gt;(SUM($K$20:BU20))),"",(IF($I$21&gt;$J$21+(SUM($K$21:BU21)),$J$21,$I$21-(SUM($K$21:BU21))))))</f>
        <v>0</v>
      </c>
      <c r="BW21" s="3">
        <f>IF(AND($F$20=$F$21,$I$20&gt;SUM($K$20:BV20),BW20&gt;($J$20/7)),"",IF(AND(BW20&lt;&gt;0,$D$20=$D$21,$J$21&gt;(SUM($K$20:BV20))),"",(IF($I$21&gt;$J$21+(SUM($K$21:BV21)),$J$21,$I$21-(SUM($K$21:BV21))))))</f>
        <v>0</v>
      </c>
      <c r="BX21" s="3">
        <f>IF(AND($F$20=$F$21,$I$20&gt;SUM($K$20:BW20),BX20&gt;($J$20/7)),"",IF(AND(BX20&lt;&gt;0,$D$20=$D$21,$J$21&gt;(SUM($K$20:BW20))),"",(IF($I$21&gt;$J$21+(SUM($K$21:BW21)),$J$21,$I$21-(SUM($K$21:BW21))))))</f>
        <v>0</v>
      </c>
      <c r="BY21" s="3">
        <f>IF(AND($F$20=$F$21,$I$20&gt;SUM($K$20:BX20),BY20&gt;($J$20/7)),"",IF(AND(BY20&lt;&gt;0,$D$20=$D$21,$J$21&gt;(SUM($K$20:BX20))),"",(IF($I$21&gt;$J$21+(SUM($K$21:BX21)),$J$21,$I$21-(SUM($K$21:BX21))))))</f>
        <v>0</v>
      </c>
      <c r="BZ21" s="3">
        <f>IF(AND($F$20=$F$21,$I$20&gt;SUM($K$20:BY20),BZ20&gt;($J$20/7)),"",IF(AND(BZ20&lt;&gt;0,$D$20=$D$21,$J$21&gt;(SUM($K$20:BY20))),"",(IF($I$21&gt;$J$21+(SUM($K$21:BY21)),$J$21,$I$21-(SUM($K$21:BY21))))))</f>
        <v>0</v>
      </c>
      <c r="CA21" s="3">
        <f>IF(AND($F$20=$F$21,$I$20&gt;SUM($K$20:BZ20),CA20&gt;($J$20/7)),"",IF(AND(CA20&lt;&gt;0,$D$20=$D$21,$J$21&gt;(SUM($K$20:BZ20))),"",(IF($I$21&gt;$J$21+(SUM($K$21:BZ21)),$J$21,$I$21-(SUM($K$21:BZ21))))))</f>
        <v>0</v>
      </c>
      <c r="CB21" s="3">
        <f>IF(AND($F$20=$F$21,$I$20&gt;SUM($K$20:CA20),CB20&gt;($J$20/7)),"",IF(AND(CB20&lt;&gt;0,$D$20=$D$21,$J$21&gt;(SUM($K$20:CA20))),"",(IF($I$21&gt;$J$21+(SUM($K$21:CA21)),$J$21,$I$21-(SUM($K$21:CA21))))))</f>
        <v>0</v>
      </c>
      <c r="CC21" s="3">
        <f>IF(AND($F$20=$F$21,$I$20&gt;SUM($K$20:CB20),CC20&gt;($J$20/7)),"",IF(AND(CC20&lt;&gt;0,$D$20=$D$21,$J$21&gt;(SUM($K$20:CB20))),"",(IF($I$21&gt;$J$21+(SUM($K$21:CB21)),$J$21,$I$21-(SUM($K$21:CB21))))))</f>
        <v>0</v>
      </c>
      <c r="CD21" s="3">
        <f>IF(AND($F$20=$F$21,$I$20&gt;SUM($K$20:CC20),CD20&gt;($J$20/7)),"",IF(AND(CD20&lt;&gt;0,$D$20=$D$21,$J$21&gt;(SUM($K$20:CC20))),"",(IF($I$21&gt;$J$21+(SUM($K$21:CC21)),$J$21,$I$21-(SUM($K$21:CC21))))))</f>
        <v>0</v>
      </c>
      <c r="CE21" s="3">
        <f>IF(AND($F$20=$F$21,$I$20&gt;SUM($K$20:CD20),CE20&gt;($J$20/7)),"",IF(AND(CE20&lt;&gt;0,$D$20=$D$21,$J$21&gt;(SUM($K$20:CD20))),"",(IF($I$21&gt;$J$21+(SUM($K$21:CD21)),$J$21,$I$21-(SUM($K$21:CD21))))))</f>
        <v>0</v>
      </c>
    </row>
    <row r="22" spans="1:164" x14ac:dyDescent="0.25">
      <c r="A22" s="6">
        <v>20</v>
      </c>
      <c r="B22" t="str">
        <f t="shared" si="3"/>
        <v/>
      </c>
      <c r="C22" t="str">
        <f t="shared" si="4"/>
        <v>0</v>
      </c>
      <c r="E22" s="101"/>
      <c r="F22" s="27"/>
      <c r="G22" s="2">
        <f t="shared" si="0"/>
        <v>0</v>
      </c>
      <c r="H22" s="9">
        <f t="shared" si="1"/>
        <v>0</v>
      </c>
      <c r="I22" s="2">
        <f t="shared" si="2"/>
        <v>0</v>
      </c>
      <c r="J22" s="2">
        <f t="shared" si="5"/>
        <v>0</v>
      </c>
      <c r="K22" t="str">
        <f t="shared" si="6"/>
        <v/>
      </c>
      <c r="L22" s="3">
        <f>IF(AND($F$21=$F$22,$I$21&gt;SUM($K$21:K21),L21&gt;($J$21/7)),"",IF(AND(L21&lt;&gt;0,$D$21=$D$22,$J$22&gt;(SUM($K$21:K21))),"",(IF($I$22&gt;$J$22+(SUM($K$22:K22)),$J$22,$I$22-(SUM($K$22:K22))))))</f>
        <v>0</v>
      </c>
      <c r="M22" s="3">
        <f>IF(AND($F$21=$F$22,$I$21&gt;SUM($K$21:L21),M21&gt;($J$21/7)),"",IF(AND(M21&lt;&gt;0,$D$21=$D$22,$J$22&gt;(SUM($K$21:L21))),"",(IF($I$22&gt;$J$22+(SUM($K$22:L22)),$J$22,$I$22-(SUM($K$22:L22))))))</f>
        <v>0</v>
      </c>
      <c r="N22" s="3">
        <f>IF(AND($F$21=$F$22,$I$21&gt;SUM($K$21:M21),N21&gt;($J$21/7)),"",IF(AND(N21&lt;&gt;0,$D$21=$D$22,$J$22&gt;(SUM($K$21:M21))),"",(IF($I$22&gt;$J$22+(SUM($K$22:M22)),$J$22,$I$22-(SUM($K$22:M22))))))</f>
        <v>0</v>
      </c>
      <c r="O22" s="3">
        <f>IF(AND($F$21=$F$22,$I$21&gt;SUM($K$21:N21),O21&gt;($J$21/7)),"",IF(AND(O21&lt;&gt;0,$D$21=$D$22,$J$22&gt;(SUM($K$21:N21))),"",(IF($I$22&gt;$J$22+(SUM($K$22:N22)),$J$22,$I$22-(SUM($K$22:N22))))))</f>
        <v>0</v>
      </c>
      <c r="P22" s="3">
        <f>IF(AND($F$21=$F$22,$I$21&gt;SUM($K$21:O21),P21&gt;($J$21/7)),"",IF(AND(P21&lt;&gt;0,$D$21=$D$22,$J$22&gt;(SUM($K$21:O21))),"",(IF($I$22&gt;$J$22+(SUM($K$22:O22)),$J$22,$I$22-(SUM($K$22:O22))))))</f>
        <v>0</v>
      </c>
      <c r="Q22" s="3">
        <f>IF(AND($F$21=$F$22,$I$21&gt;SUM($K$21:P21),Q21&gt;($J$21/7)),"",IF(AND(Q21&lt;&gt;0,$D$21=$D$22,$J$22&gt;(SUM($K$21:P21))),"",(IF($I$22&gt;$J$22+(SUM($K$22:P22)),$J$22,$I$22-(SUM($K$22:P22))))))</f>
        <v>0</v>
      </c>
      <c r="R22" s="3">
        <f>IF(AND($F$21=$F$22,$I$21&gt;SUM($K$21:Q21),R21&gt;($J$21/7)),"",IF(AND(R21&lt;&gt;0,$D$21=$D$22,$J$22&gt;(SUM($K$21:Q21))),"",(IF($I$22&gt;$J$22+(SUM($K$22:Q22)),$J$22,$I$22-(SUM($K$22:Q22))))))</f>
        <v>0</v>
      </c>
      <c r="S22" s="3">
        <f>IF(AND($F$21=$F$22,$I$21&gt;SUM($K$21:R21),S21&gt;($J$21/7)),"",IF(AND(S21&lt;&gt;0,$D$21=$D$22,$J$22&gt;(SUM($K$21:R21))),"",(IF($I$22&gt;$J$22+(SUM($K$22:R22)),$J$22,$I$22-(SUM($K$22:R22))))))</f>
        <v>0</v>
      </c>
      <c r="T22" s="3">
        <f>IF(AND($F$21=$F$22,$I$21&gt;SUM($K$21:S21),T21&gt;($J$21/7)),"",IF(AND(T21&lt;&gt;0,$D$21=$D$22,$J$22&gt;(SUM($K$21:S21))),"",(IF($I$22&gt;$J$22+(SUM($K$22:S22)),$J$22,$I$22-(SUM($K$22:S22))))))</f>
        <v>0</v>
      </c>
      <c r="U22" s="3">
        <f>IF(AND($F$21=$F$22,$I$21&gt;SUM($K$21:T21),U21&gt;($J$21/7)),"",IF(AND(U21&lt;&gt;0,$D$21=$D$22,$J$22&gt;(SUM($K$21:T21))),"",(IF($I$22&gt;$J$22+(SUM($K$22:T22)),$J$22,$I$22-(SUM($K$22:T22))))))</f>
        <v>0</v>
      </c>
      <c r="V22" s="3">
        <f>IF(AND($F$21=$F$22,$I$21&gt;SUM($K$21:U21),V21&gt;($J$21/7)),"",IF(AND(V21&lt;&gt;0,$D$21=$D$22,$J$22&gt;(SUM($K$21:U21))),"",(IF($I$22&gt;$J$22+(SUM($K$22:U22)),$J$22,$I$22-(SUM($K$22:U22))))))</f>
        <v>0</v>
      </c>
      <c r="W22" s="3">
        <f>IF(AND($F$21=$F$22,$I$21&gt;SUM($K$21:V21),W21&gt;($J$21/7)),"",IF(AND(W21&lt;&gt;0,$D$21=$D$22,$J$22&gt;(SUM($K$21:V21))),"",(IF($I$22&gt;$J$22+(SUM($K$22:V22)),$J$22,$I$22-(SUM($K$22:V22))))))</f>
        <v>0</v>
      </c>
      <c r="X22" s="3">
        <f>IF(AND($F$21=$F$22,$I$21&gt;SUM($K$21:W21),X21&gt;($J$21/7)),"",IF(AND(X21&lt;&gt;0,$D$21=$D$22,$J$22&gt;(SUM($K$21:W21))),"",(IF($I$22&gt;$J$22+(SUM($K$22:W22)),$J$22,$I$22-(SUM($K$22:W22))))))</f>
        <v>0</v>
      </c>
      <c r="Y22" s="3">
        <f>IF(AND($F$21=$F$22,$I$21&gt;SUM($K$21:X21),Y21&gt;($J$21/7)),"",IF(AND(Y21&lt;&gt;0,$D$21=$D$22,$J$22&gt;(SUM($K$21:X21))),"",(IF($I$22&gt;$J$22+(SUM($K$22:X22)),$J$22,$I$22-(SUM($K$22:X22))))))</f>
        <v>0</v>
      </c>
      <c r="Z22" s="3">
        <f>IF(AND($F$21=$F$22,$I$21&gt;SUM($K$21:Y21),Z21&gt;($J$21/7)),"",IF(AND(Z21&lt;&gt;0,$D$21=$D$22,$J$22&gt;(SUM($K$21:Y21))),"",(IF($I$22&gt;$J$22+(SUM($K$22:Y22)),$J$22,$I$22-(SUM($K$22:Y22))))))</f>
        <v>0</v>
      </c>
      <c r="AA22" s="3">
        <f>IF(AND($F$21=$F$22,$I$21&gt;SUM($K$21:Z21),AA21&gt;($J$21/7)),"",IF(AND(AA21&lt;&gt;0,$D$21=$D$22,$J$22&gt;(SUM($K$21:Z21))),"",(IF($I$22&gt;$J$22+(SUM($K$22:Z22)),$J$22,$I$22-(SUM($K$22:Z22))))))</f>
        <v>0</v>
      </c>
      <c r="AB22" s="3">
        <f>IF(AND($F$21=$F$22,$I$21&gt;SUM($K$21:AA21),AB21&gt;($J$21/7)),"",IF(AND(AB21&lt;&gt;0,$D$21=$D$22,$J$22&gt;(SUM($K$21:AA21))),"",(IF($I$22&gt;$J$22+(SUM($K$22:AA22)),$J$22,$I$22-(SUM($K$22:AA22))))))</f>
        <v>0</v>
      </c>
      <c r="AC22" s="3">
        <f>IF(AND($F$21=$F$22,$I$21&gt;SUM($K$21:AB21),AC21&gt;($J$21/7)),"",IF(AND(AC21&lt;&gt;0,$D$21=$D$22,$J$22&gt;(SUM($K$21:AB21))),"",(IF($I$22&gt;$J$22+(SUM($K$22:AB22)),$J$22,$I$22-(SUM($K$22:AB22))))))</f>
        <v>0</v>
      </c>
      <c r="AD22" s="3">
        <f>IF(AND($F$21=$F$22,$I$21&gt;SUM($K$21:AC21),AD21&gt;($J$21/7)),"",IF(AND(AD21&lt;&gt;0,$D$21=$D$22,$J$22&gt;(SUM($K$21:AC21))),"",(IF($I$22&gt;$J$22+(SUM($K$22:AC22)),$J$22,$I$22-(SUM($K$22:AC22))))))</f>
        <v>0</v>
      </c>
      <c r="AE22" s="3">
        <f>IF(AND($F$21=$F$22,$I$21&gt;SUM($K$21:AD21),AE21&gt;($J$21/7)),"",IF(AND(AE21&lt;&gt;0,$D$21=$D$22,$J$22&gt;(SUM($K$21:AD21))),"",(IF($I$22&gt;$J$22+(SUM($K$22:AD22)),$J$22,$I$22-(SUM($K$22:AD22))))))</f>
        <v>0</v>
      </c>
      <c r="AF22" s="3">
        <f>IF(AND($F$21=$F$22,$I$21&gt;SUM($K$21:AE21),AF21&gt;($J$21/7)),"",IF(AND(AF21&lt;&gt;0,$D$21=$D$22,$J$22&gt;(SUM($K$21:AE21))),"",(IF($I$22&gt;$J$22+(SUM($K$22:AE22)),$J$22,$I$22-(SUM($K$22:AE22))))))</f>
        <v>0</v>
      </c>
      <c r="AG22" s="3">
        <f>IF(AND($F$21=$F$22,$I$21&gt;SUM($K$21:AF21),AG21&gt;($J$21/7)),"",IF(AND(AG21&lt;&gt;0,$D$21=$D$22,$J$22&gt;(SUM($K$21:AF21))),"",(IF($I$22&gt;$J$22+(SUM($K$22:AF22)),$J$22,$I$22-(SUM($K$22:AF22))))))</f>
        <v>0</v>
      </c>
      <c r="AH22" s="3">
        <f>IF(AND($F$21=$F$22,$I$21&gt;SUM($K$21:AG21),AH21&gt;($J$21/7)),"",IF(AND(AH21&lt;&gt;0,$D$21=$D$22,$J$22&gt;(SUM($K$21:AG21))),"",(IF($I$22&gt;$J$22+(SUM($K$22:AG22)),$J$22,$I$22-(SUM($K$22:AG22))))))</f>
        <v>0</v>
      </c>
      <c r="AI22" s="3">
        <f>IF(AND($F$21=$F$22,$I$21&gt;SUM($K$21:AH21),AI21&gt;($J$21/7)),"",IF(AND(AI21&lt;&gt;0,$D$21=$D$22,$J$22&gt;(SUM($K$21:AH21))),"",(IF($I$22&gt;$J$22+(SUM($K$22:AH22)),$J$22,$I$22-(SUM($K$22:AH22))))))</f>
        <v>0</v>
      </c>
      <c r="AJ22" s="3">
        <f>IF(AND($F$21=$F$22,$I$21&gt;SUM($K$21:AI21),AJ21&gt;($J$21/7)),"",IF(AND(AJ21&lt;&gt;0,$D$21=$D$22,$J$22&gt;(SUM($K$21:AI21))),"",(IF($I$22&gt;$J$22+(SUM($K$22:AI22)),$J$22,$I$22-(SUM($K$22:AI22))))))</f>
        <v>0</v>
      </c>
      <c r="AK22" s="3">
        <f>IF(AND($F$21=$F$22,$I$21&gt;SUM($K$21:AJ21),AK21&gt;($J$21/7)),"",IF(AND(AK21&lt;&gt;0,$D$21=$D$22,$J$22&gt;(SUM($K$21:AJ21))),"",(IF($I$22&gt;$J$22+(SUM($K$22:AJ22)),$J$22,$I$22-(SUM($K$22:AJ22))))))</f>
        <v>0</v>
      </c>
      <c r="AL22" s="3">
        <f>IF(AND($F$21=$F$22,$I$21&gt;SUM($K$21:AK21),AL21&gt;($J$21/7)),"",IF(AND(AL21&lt;&gt;0,$D$21=$D$22,$J$22&gt;(SUM($K$21:AK21))),"",(IF($I$22&gt;$J$22+(SUM($K$22:AK22)),$J$22,$I$22-(SUM($K$22:AK22))))))</f>
        <v>0</v>
      </c>
      <c r="AM22" s="3">
        <f>IF(AND($F$21=$F$22,$I$21&gt;SUM($K$21:AL21),AM21&gt;($J$21/7)),"",IF(AND(AM21&lt;&gt;0,$D$21=$D$22,$J$22&gt;(SUM($K$21:AL21))),"",(IF($I$22&gt;$J$22+(SUM($K$22:AL22)),$J$22,$I$22-(SUM($K$22:AL22))))))</f>
        <v>0</v>
      </c>
      <c r="AN22" s="3">
        <f>IF(AND($F$21=$F$22,$I$21&gt;SUM($K$21:AM21),AN21&gt;($J$21/7)),"",IF(AND(AN21&lt;&gt;0,$D$21=$D$22,$J$22&gt;(SUM($K$21:AM21))),"",(IF($I$22&gt;$J$22+(SUM($K$22:AM22)),$J$22,$I$22-(SUM($K$22:AM22))))))</f>
        <v>0</v>
      </c>
      <c r="AO22" s="3">
        <f>IF(AND($F$21=$F$22,$I$21&gt;SUM($K$21:AN21),AO21&gt;($J$21/7)),"",IF(AND(AO21&lt;&gt;0,$D$21=$D$22,$J$22&gt;(SUM($K$21:AN21))),"",(IF($I$22&gt;$J$22+(SUM($K$22:AN22)),$J$22,$I$22-(SUM($K$22:AN22))))))</f>
        <v>0</v>
      </c>
      <c r="AP22" s="3">
        <f>IF(AND($F$21=$F$22,$I$21&gt;SUM($K$21:AO21),AP21&gt;($J$21/7)),"",IF(AND(AP21&lt;&gt;0,$D$21=$D$22,$J$22&gt;(SUM($K$21:AO21))),"",(IF($I$22&gt;$J$22+(SUM($K$22:AO22)),$J$22,$I$22-(SUM($K$22:AO22))))))</f>
        <v>0</v>
      </c>
      <c r="AQ22" s="3">
        <f>IF(AND($F$21=$F$22,$I$21&gt;SUM($K$21:AP21),AQ21&gt;($J$21/7)),"",IF(AND(AQ21&lt;&gt;0,$D$21=$D$22,$J$22&gt;(SUM($K$21:AP21))),"",(IF($I$22&gt;$J$22+(SUM($K$22:AP22)),$J$22,$I$22-(SUM($K$22:AP22))))))</f>
        <v>0</v>
      </c>
      <c r="AR22" s="3">
        <f>IF(AND($F$21=$F$22,$I$21&gt;SUM($K$21:AQ21),AR21&gt;($J$21/7)),"",IF(AND(AR21&lt;&gt;0,$D$21=$D$22,$J$22&gt;(SUM($K$21:AQ21))),"",(IF($I$22&gt;$J$22+(SUM($K$22:AQ22)),$J$22,$I$22-(SUM($K$22:AQ22))))))</f>
        <v>0</v>
      </c>
      <c r="AS22" s="3">
        <f>IF(AND($F$21=$F$22,$I$21&gt;SUM($K$21:AR21),AS21&gt;($J$21/7)),"",IF(AND(AS21&lt;&gt;0,$D$21=$D$22,$J$22&gt;(SUM($K$21:AR21))),"",(IF($I$22&gt;$J$22+(SUM($K$22:AR22)),$J$22,$I$22-(SUM($K$22:AR22))))))</f>
        <v>0</v>
      </c>
      <c r="AT22" s="3">
        <f>IF(AND($F$21=$F$22,$I$21&gt;SUM($K$21:AS21),AT21&gt;($J$21/7)),"",IF(AND(AT21&lt;&gt;0,$D$21=$D$22,$J$22&gt;(SUM($K$21:AS21))),"",(IF($I$22&gt;$J$22+(SUM($K$22:AS22)),$J$22,$I$22-(SUM($K$22:AS22))))))</f>
        <v>0</v>
      </c>
      <c r="AU22" s="3">
        <f>IF(AND($F$21=$F$22,$I$21&gt;SUM($K$21:AT21),AU21&gt;($J$21/7)),"",IF(AND(AU21&lt;&gt;0,$D$21=$D$22,$J$22&gt;(SUM($K$21:AT21))),"",(IF($I$22&gt;$J$22+(SUM($K$22:AT22)),$J$22,$I$22-(SUM($K$22:AT22))))))</f>
        <v>0</v>
      </c>
      <c r="AV22" s="3">
        <f>IF(AND($F$21=$F$22,$I$21&gt;SUM($K$21:AU21),AV21&gt;($J$21/7)),"",IF(AND(AV21&lt;&gt;0,$D$21=$D$22,$J$22&gt;(SUM($K$21:AU21))),"",(IF($I$22&gt;$J$22+(SUM($K$22:AU22)),$J$22,$I$22-(SUM($K$22:AU22))))))</f>
        <v>0</v>
      </c>
      <c r="AW22" s="3">
        <f>IF(AND($F$21=$F$22,$I$21&gt;SUM($K$21:AV21),AW21&gt;($J$21/7)),"",IF(AND(AW21&lt;&gt;0,$D$21=$D$22,$J$22&gt;(SUM($K$21:AV21))),"",(IF($I$22&gt;$J$22+(SUM($K$22:AV22)),$J$22,$I$22-(SUM($K$22:AV22))))))</f>
        <v>0</v>
      </c>
      <c r="AX22" s="3">
        <f>IF(AND($F$21=$F$22,$I$21&gt;SUM($K$21:AW21),AX21&gt;($J$21/7)),"",IF(AND(AX21&lt;&gt;0,$D$21=$D$22,$J$22&gt;(SUM($K$21:AW21))),"",(IF($I$22&gt;$J$22+(SUM($K$22:AW22)),$J$22,$I$22-(SUM($K$22:AW22))))))</f>
        <v>0</v>
      </c>
      <c r="AY22" s="3">
        <f>IF(AND($F$21=$F$22,$I$21&gt;SUM($K$21:AX21),AY21&gt;($J$21/7)),"",IF(AND(AY21&lt;&gt;0,$D$21=$D$22,$J$22&gt;(SUM($K$21:AX21))),"",(IF($I$22&gt;$J$22+(SUM($K$22:AX22)),$J$22,$I$22-(SUM($K$22:AX22))))))</f>
        <v>0</v>
      </c>
      <c r="AZ22" s="3">
        <f>IF(AND($F$21=$F$22,$I$21&gt;SUM($K$21:AY21),AZ21&gt;($J$21/7)),"",IF(AND(AZ21&lt;&gt;0,$D$21=$D$22,$J$22&gt;(SUM($K$21:AY21))),"",(IF($I$22&gt;$J$22+(SUM($K$22:AY22)),$J$22,$I$22-(SUM($K$22:AY22))))))</f>
        <v>0</v>
      </c>
      <c r="BA22" s="3">
        <f>IF(AND($F$21=$F$22,$I$21&gt;SUM($K$21:AZ21),BA21&gt;($J$21/7)),"",IF(AND(BA21&lt;&gt;0,$D$21=$D$22,$J$22&gt;(SUM($K$21:AZ21))),"",(IF($I$22&gt;$J$22+(SUM($K$22:AZ22)),$J$22,$I$22-(SUM($K$22:AZ22))))))</f>
        <v>0</v>
      </c>
      <c r="BB22" s="3">
        <f>IF(AND($F$21=$F$22,$I$21&gt;SUM($K$21:BA21),BB21&gt;($J$21/7)),"",IF(AND(BB21&lt;&gt;0,$D$21=$D$22,$J$22&gt;(SUM($K$21:BA21))),"",(IF($I$22&gt;$J$22+(SUM($K$22:BA22)),$J$22,$I$22-(SUM($K$22:BA22))))))</f>
        <v>0</v>
      </c>
      <c r="BC22" s="3">
        <f>IF(AND($F$21=$F$22,$I$21&gt;SUM($K$21:BB21),BC21&gt;($J$21/7)),"",IF(AND(BC21&lt;&gt;0,$D$21=$D$22,$J$22&gt;(SUM($K$21:BB21))),"",(IF($I$22&gt;$J$22+(SUM($K$22:BB22)),$J$22,$I$22-(SUM($K$22:BB22))))))</f>
        <v>0</v>
      </c>
      <c r="BD22" s="3">
        <f>IF(AND($F$21=$F$22,$I$21&gt;SUM($K$21:BC21),BD21&gt;($J$21/7)),"",IF(AND(BD21&lt;&gt;0,$D$21=$D$22,$J$22&gt;(SUM($K$21:BC21))),"",(IF($I$22&gt;$J$22+(SUM($K$22:BC22)),$J$22,$I$22-(SUM($K$22:BC22))))))</f>
        <v>0</v>
      </c>
      <c r="BE22" s="3">
        <f>IF(AND($F$21=$F$22,$I$21&gt;SUM($K$21:BD21),BE21&gt;($J$21/7)),"",IF(AND(BE21&lt;&gt;0,$D$21=$D$22,$J$22&gt;(SUM($K$21:BD21))),"",(IF($I$22&gt;$J$22+(SUM($K$22:BD22)),$J$22,$I$22-(SUM($K$22:BD22))))))</f>
        <v>0</v>
      </c>
      <c r="BF22" s="3">
        <f>IF(AND($F$21=$F$22,$I$21&gt;SUM($K$21:BE21),BF21&gt;($J$21/7)),"",IF(AND(BF21&lt;&gt;0,$D$21=$D$22,$J$22&gt;(SUM($K$21:BE21))),"",(IF($I$22&gt;$J$22+(SUM($K$22:BE22)),$J$22,$I$22-(SUM($K$22:BE22))))))</f>
        <v>0</v>
      </c>
      <c r="BG22" s="3">
        <f>IF(AND($F$21=$F$22,$I$21&gt;SUM($K$21:BF21),BG21&gt;($J$21/7)),"",IF(AND(BG21&lt;&gt;0,$D$21=$D$22,$J$22&gt;(SUM($K$21:BF21))),"",(IF($I$22&gt;$J$22+(SUM($K$22:BF22)),$J$22,$I$22-(SUM($K$22:BF22))))))</f>
        <v>0</v>
      </c>
      <c r="BH22" s="3">
        <f>IF(AND($F$21=$F$22,$I$21&gt;SUM($K$21:BG21),BH21&gt;($J$21/7)),"",IF(AND(BH21&lt;&gt;0,$D$21=$D$22,$J$22&gt;(SUM($K$21:BG21))),"",(IF($I$22&gt;$J$22+(SUM($K$22:BG22)),$J$22,$I$22-(SUM($K$22:BG22))))))</f>
        <v>0</v>
      </c>
      <c r="BI22" s="3">
        <f>IF(AND($F$21=$F$22,$I$21&gt;SUM($K$21:BH21),BI21&gt;($J$21/7)),"",IF(AND(BI21&lt;&gt;0,$D$21=$D$22,$J$22&gt;(SUM($K$21:BH21))),"",(IF($I$22&gt;$J$22+(SUM($K$22:BH22)),$J$22,$I$22-(SUM($K$22:BH22))))))</f>
        <v>0</v>
      </c>
      <c r="BJ22" s="3">
        <f>IF(AND($F$21=$F$22,$I$21&gt;SUM($K$21:BI21),BJ21&gt;($J$21/7)),"",IF(AND(BJ21&lt;&gt;0,$D$21=$D$22,$J$22&gt;(SUM($K$21:BI21))),"",(IF($I$22&gt;$J$22+(SUM($K$22:BI22)),$J$22,$I$22-(SUM($K$22:BI22))))))</f>
        <v>0</v>
      </c>
      <c r="BK22" s="3">
        <f>IF(AND($F$21=$F$22,$I$21&gt;SUM($K$21:BJ21),BK21&gt;($J$21/7)),"",IF(AND(BK21&lt;&gt;0,$D$21=$D$22,$J$22&gt;(SUM($K$21:BJ21))),"",(IF($I$22&gt;$J$22+(SUM($K$22:BJ22)),$J$22,$I$22-(SUM($K$22:BJ22))))))</f>
        <v>0</v>
      </c>
      <c r="BL22" s="3">
        <f>IF(AND($F$21=$F$22,$I$21&gt;SUM($K$21:BK21),BL21&gt;($J$21/7)),"",IF(AND(BL21&lt;&gt;0,$D$21=$D$22,$J$22&gt;(SUM($K$21:BK21))),"",(IF($I$22&gt;$J$22+(SUM($K$22:BK22)),$J$22,$I$22-(SUM($K$22:BK22))))))</f>
        <v>0</v>
      </c>
      <c r="BM22" s="3">
        <f>IF(AND($F$21=$F$22,$I$21&gt;SUM($K$21:BL21),BM21&gt;($J$21/7)),"",IF(AND(BM21&lt;&gt;0,$D$21=$D$22,$J$22&gt;(SUM($K$21:BL21))),"",(IF($I$22&gt;$J$22+(SUM($K$22:BL22)),$J$22,$I$22-(SUM($K$22:BL22))))))</f>
        <v>0</v>
      </c>
      <c r="BN22" s="3">
        <f>IF(AND($F$21=$F$22,$I$21&gt;SUM($K$21:BM21),BN21&gt;($J$21/7)),"",IF(AND(BN21&lt;&gt;0,$D$21=$D$22,$J$22&gt;(SUM($K$21:BM21))),"",(IF($I$22&gt;$J$22+(SUM($K$22:BM22)),$J$22,$I$22-(SUM($K$22:BM22))))))</f>
        <v>0</v>
      </c>
      <c r="BO22" s="3">
        <f>IF(AND($F$21=$F$22,$I$21&gt;SUM($K$21:BN21),BO21&gt;($J$21/7)),"",IF(AND(BO21&lt;&gt;0,$D$21=$D$22,$J$22&gt;(SUM($K$21:BN21))),"",(IF($I$22&gt;$J$22+(SUM($K$22:BN22)),$J$22,$I$22-(SUM($K$22:BN22))))))</f>
        <v>0</v>
      </c>
      <c r="BP22" s="3">
        <f>IF(AND($F$21=$F$22,$I$21&gt;SUM($K$21:BO21),BP21&gt;($J$21/7)),"",IF(AND(BP21&lt;&gt;0,$D$21=$D$22,$J$22&gt;(SUM($K$21:BO21))),"",(IF($I$22&gt;$J$22+(SUM($K$22:BO22)),$J$22,$I$22-(SUM($K$22:BO22))))))</f>
        <v>0</v>
      </c>
      <c r="BQ22" s="3">
        <f>IF(AND($F$21=$F$22,$I$21&gt;SUM($K$21:BP21),BQ21&gt;($J$21/7)),"",IF(AND(BQ21&lt;&gt;0,$D$21=$D$22,$J$22&gt;(SUM($K$21:BP21))),"",(IF($I$22&gt;$J$22+(SUM($K$22:BP22)),$J$22,$I$22-(SUM($K$22:BP22))))))</f>
        <v>0</v>
      </c>
      <c r="BR22" s="3">
        <f>IF(AND($F$21=$F$22,$I$21&gt;SUM($K$21:BQ21),BR21&gt;($J$21/7)),"",IF(AND(BR21&lt;&gt;0,$D$21=$D$22,$J$22&gt;(SUM($K$21:BQ21))),"",(IF($I$22&gt;$J$22+(SUM($K$22:BQ22)),$J$22,$I$22-(SUM($K$22:BQ22))))))</f>
        <v>0</v>
      </c>
      <c r="BS22" s="3">
        <f>IF(AND($F$21=$F$22,$I$21&gt;SUM($K$21:BR21),BS21&gt;($J$21/7)),"",IF(AND(BS21&lt;&gt;0,$D$21=$D$22,$J$22&gt;(SUM($K$21:BR21))),"",(IF($I$22&gt;$J$22+(SUM($K$22:BR22)),$J$22,$I$22-(SUM($K$22:BR22))))))</f>
        <v>0</v>
      </c>
      <c r="BT22" s="3">
        <f>IF(AND($F$21=$F$22,$I$21&gt;SUM($K$21:BS21),BT21&gt;($J$21/7)),"",IF(AND(BT21&lt;&gt;0,$D$21=$D$22,$J$22&gt;(SUM($K$21:BS21))),"",(IF($I$22&gt;$J$22+(SUM($K$22:BS22)),$J$22,$I$22-(SUM($K$22:BS22))))))</f>
        <v>0</v>
      </c>
      <c r="BU22" s="3">
        <f>IF(AND($F$21=$F$22,$I$21&gt;SUM($K$21:BT21),BU21&gt;($J$21/7)),"",IF(AND(BU21&lt;&gt;0,$D$21=$D$22,$J$22&gt;(SUM($K$21:BT21))),"",(IF($I$22&gt;$J$22+(SUM($K$22:BT22)),$J$22,$I$22-(SUM($K$22:BT22))))))</f>
        <v>0</v>
      </c>
      <c r="BV22" s="3">
        <f>IF(AND($F$21=$F$22,$I$21&gt;SUM($K$21:BU21),BV21&gt;($J$21/7)),"",IF(AND(BV21&lt;&gt;0,$D$21=$D$22,$J$22&gt;(SUM($K$21:BU21))),"",(IF($I$22&gt;$J$22+(SUM($K$22:BU22)),$J$22,$I$22-(SUM($K$22:BU22))))))</f>
        <v>0</v>
      </c>
      <c r="BW22" s="3">
        <f>IF(AND($F$21=$F$22,$I$21&gt;SUM($K$21:BV21),BW21&gt;($J$21/7)),"",IF(AND(BW21&lt;&gt;0,$D$21=$D$22,$J$22&gt;(SUM($K$21:BV21))),"",(IF($I$22&gt;$J$22+(SUM($K$22:BV22)),$J$22,$I$22-(SUM($K$22:BV22))))))</f>
        <v>0</v>
      </c>
      <c r="BX22" s="3">
        <f>IF(AND($F$21=$F$22,$I$21&gt;SUM($K$21:BW21),BX21&gt;($J$21/7)),"",IF(AND(BX21&lt;&gt;0,$D$21=$D$22,$J$22&gt;(SUM($K$21:BW21))),"",(IF($I$22&gt;$J$22+(SUM($K$22:BW22)),$J$22,$I$22-(SUM($K$22:BW22))))))</f>
        <v>0</v>
      </c>
      <c r="BY22" s="3">
        <f>IF(AND($F$21=$F$22,$I$21&gt;SUM($K$21:BX21),BY21&gt;($J$21/7)),"",IF(AND(BY21&lt;&gt;0,$D$21=$D$22,$J$22&gt;(SUM($K$21:BX21))),"",(IF($I$22&gt;$J$22+(SUM($K$22:BX22)),$J$22,$I$22-(SUM($K$22:BX22))))))</f>
        <v>0</v>
      </c>
      <c r="BZ22" s="3">
        <f>IF(AND($F$21=$F$22,$I$21&gt;SUM($K$21:BY21),BZ21&gt;($J$21/7)),"",IF(AND(BZ21&lt;&gt;0,$D$21=$D$22,$J$22&gt;(SUM($K$21:BY21))),"",(IF($I$22&gt;$J$22+(SUM($K$22:BY22)),$J$22,$I$22-(SUM($K$22:BY22))))))</f>
        <v>0</v>
      </c>
      <c r="CA22" s="3">
        <f>IF(AND($F$21=$F$22,$I$21&gt;SUM($K$21:BZ21),CA21&gt;($J$21/7)),"",IF(AND(CA21&lt;&gt;0,$D$21=$D$22,$J$22&gt;(SUM($K$21:BZ21))),"",(IF($I$22&gt;$J$22+(SUM($K$22:BZ22)),$J$22,$I$22-(SUM($K$22:BZ22))))))</f>
        <v>0</v>
      </c>
      <c r="CB22" s="3">
        <f>IF(AND($F$21=$F$22,$I$21&gt;SUM($K$21:CA21),CB21&gt;($J$21/7)),"",IF(AND(CB21&lt;&gt;0,$D$21=$D$22,$J$22&gt;(SUM($K$21:CA21))),"",(IF($I$22&gt;$J$22+(SUM($K$22:CA22)),$J$22,$I$22-(SUM($K$22:CA22))))))</f>
        <v>0</v>
      </c>
      <c r="CC22" s="3">
        <f>IF(AND($F$21=$F$22,$I$21&gt;SUM($K$21:CB21),CC21&gt;($J$21/7)),"",IF(AND(CC21&lt;&gt;0,$D$21=$D$22,$J$22&gt;(SUM($K$21:CB21))),"",(IF($I$22&gt;$J$22+(SUM($K$22:CB22)),$J$22,$I$22-(SUM($K$22:CB22))))))</f>
        <v>0</v>
      </c>
      <c r="CD22" s="3">
        <f>IF(AND($F$21=$F$22,$I$21&gt;SUM($K$21:CC21),CD21&gt;($J$21/7)),"",IF(AND(CD21&lt;&gt;0,$D$21=$D$22,$J$22&gt;(SUM($K$21:CC21))),"",(IF($I$22&gt;$J$22+(SUM($K$22:CC22)),$J$22,$I$22-(SUM($K$22:CC22))))))</f>
        <v>0</v>
      </c>
      <c r="CE22" s="3">
        <f>IF(AND($F$21=$F$22,$I$21&gt;SUM($K$21:CD21),CE21&gt;($J$21/7)),"",IF(AND(CE21&lt;&gt;0,$D$21=$D$22,$J$22&gt;(SUM($K$21:CD21))),"",(IF($I$22&gt;$J$22+(SUM($K$22:CD22)),$J$22,$I$22-(SUM($K$22:CD22))))))</f>
        <v>0</v>
      </c>
    </row>
    <row r="23" spans="1:164" x14ac:dyDescent="0.25">
      <c r="A23" s="6">
        <v>21</v>
      </c>
      <c r="B23" t="str">
        <f t="shared" si="3"/>
        <v/>
      </c>
      <c r="C23" t="str">
        <f t="shared" si="4"/>
        <v>0</v>
      </c>
      <c r="E23" s="101"/>
      <c r="F23" s="27"/>
      <c r="G23" s="2">
        <f t="shared" si="0"/>
        <v>0</v>
      </c>
      <c r="H23" s="9">
        <f t="shared" si="1"/>
        <v>0</v>
      </c>
      <c r="I23" s="2">
        <f t="shared" si="2"/>
        <v>0</v>
      </c>
      <c r="J23" s="2">
        <f t="shared" si="5"/>
        <v>0</v>
      </c>
      <c r="K23" t="str">
        <f t="shared" si="6"/>
        <v/>
      </c>
      <c r="L23" s="3">
        <f>IF(AND($F$22=$F$23,$I$22&gt;SUM($K$22:K22),L22&gt;($J$22/7)),"",IF(AND(L22&lt;&gt;0,$D$22=$D$23,$J$23&gt;(SUM($K$22:K22))),"",(IF($I$23&gt;$J$23+(SUM($K$23:K23)),$J$23,$I$23-(SUM($K$23:K23))))))</f>
        <v>0</v>
      </c>
      <c r="M23" s="3">
        <f>IF(AND($F$22=$F$23,$I$22&gt;SUM($K$22:L22),M22&gt;($J$22/7)),"",IF(AND(M22&lt;&gt;0,$D$22=$D$23,$J$23&gt;(SUM($K$22:L22))),"",(IF($I$23&gt;$J$23+(SUM($K$23:L23)),$J$23,$I$23-(SUM($K$23:L23))))))</f>
        <v>0</v>
      </c>
      <c r="N23" s="3">
        <f>IF(AND($F$22=$F$23,$I$22&gt;SUM($K$22:M22),N22&gt;($J$22/7)),"",IF(AND(N22&lt;&gt;0,$D$22=$D$23,$J$23&gt;(SUM($K$22:M22))),"",(IF($I$23&gt;$J$23+(SUM($K$23:M23)),$J$23,$I$23-(SUM($K$23:M23))))))</f>
        <v>0</v>
      </c>
      <c r="O23" s="3">
        <f>IF(AND($F$22=$F$23,$I$22&gt;SUM($K$22:N22),O22&gt;($J$22/7)),"",IF(AND(O22&lt;&gt;0,$D$22=$D$23,$J$23&gt;(SUM($K$22:N22))),"",(IF($I$23&gt;$J$23+(SUM($K$23:N23)),$J$23,$I$23-(SUM($K$23:N23))))))</f>
        <v>0</v>
      </c>
      <c r="P23" s="3">
        <f>IF(AND($F$22=$F$23,$I$22&gt;SUM($K$22:O22),P22&gt;($J$22/7)),"",IF(AND(P22&lt;&gt;0,$D$22=$D$23,$J$23&gt;(SUM($K$22:O22))),"",(IF($I$23&gt;$J$23+(SUM($K$23:O23)),$J$23,$I$23-(SUM($K$23:O23))))))</f>
        <v>0</v>
      </c>
      <c r="Q23" s="3">
        <f>IF(AND($F$22=$F$23,$I$22&gt;SUM($K$22:P22),Q22&gt;($J$22/7)),"",IF(AND(Q22&lt;&gt;0,$D$22=$D$23,$J$23&gt;(SUM($K$22:P22))),"",(IF($I$23&gt;$J$23+(SUM($K$23:P23)),$J$23,$I$23-(SUM($K$23:P23))))))</f>
        <v>0</v>
      </c>
      <c r="R23" s="3">
        <f>IF(AND($F$22=$F$23,$I$22&gt;SUM($K$22:Q22),R22&gt;($J$22/7)),"",IF(AND(R22&lt;&gt;0,$D$22=$D$23,$J$23&gt;(SUM($K$22:Q22))),"",(IF($I$23&gt;$J$23+(SUM($K$23:Q23)),$J$23,$I$23-(SUM($K$23:Q23))))))</f>
        <v>0</v>
      </c>
      <c r="S23" s="3">
        <f>IF(AND($F$22=$F$23,$I$22&gt;SUM($K$22:R22),S22&gt;($J$22/7)),"",IF(AND(S22&lt;&gt;0,$D$22=$D$23,$J$23&gt;(SUM($K$22:R22))),"",(IF($I$23&gt;$J$23+(SUM($K$23:R23)),$J$23,$I$23-(SUM($K$23:R23))))))</f>
        <v>0</v>
      </c>
      <c r="T23" s="3">
        <f>IF(AND($F$22=$F$23,$I$22&gt;SUM($K$22:S22),T22&gt;($J$22/7)),"",IF(AND(T22&lt;&gt;0,$D$22=$D$23,$J$23&gt;(SUM($K$22:S22))),"",(IF($I$23&gt;$J$23+(SUM($K$23:S23)),$J$23,$I$23-(SUM($K$23:S23))))))</f>
        <v>0</v>
      </c>
      <c r="U23" s="3">
        <f>IF(AND($F$22=$F$23,$I$22&gt;SUM($K$22:T22),U22&gt;($J$22/7)),"",IF(AND(U22&lt;&gt;0,$D$22=$D$23,$J$23&gt;(SUM($K$22:T22))),"",(IF($I$23&gt;$J$23+(SUM($K$23:T23)),$J$23,$I$23-(SUM($K$23:T23))))))</f>
        <v>0</v>
      </c>
      <c r="V23" s="3">
        <f>IF(AND($F$22=$F$23,$I$22&gt;SUM($K$22:U22),V22&gt;($J$22/7)),"",IF(AND(V22&lt;&gt;0,$D$22=$D$23,$J$23&gt;(SUM($K$22:U22))),"",(IF($I$23&gt;$J$23+(SUM($K$23:U23)),$J$23,$I$23-(SUM($K$23:U23))))))</f>
        <v>0</v>
      </c>
      <c r="W23" s="3">
        <f>IF(AND($F$22=$F$23,$I$22&gt;SUM($K$22:V22),W22&gt;($J$22/7)),"",IF(AND(W22&lt;&gt;0,$D$22=$D$23,$J$23&gt;(SUM($K$22:V22))),"",(IF($I$23&gt;$J$23+(SUM($K$23:V23)),$J$23,$I$23-(SUM($K$23:V23))))))</f>
        <v>0</v>
      </c>
      <c r="X23" s="3">
        <f>IF(AND($F$22=$F$23,$I$22&gt;SUM($K$22:W22),X22&gt;($J$22/7)),"",IF(AND(X22&lt;&gt;0,$D$22=$D$23,$J$23&gt;(SUM($K$22:W22))),"",(IF($I$23&gt;$J$23+(SUM($K$23:W23)),$J$23,$I$23-(SUM($K$23:W23))))))</f>
        <v>0</v>
      </c>
      <c r="Y23" s="3">
        <f>IF(AND($F$22=$F$23,$I$22&gt;SUM($K$22:X22),Y22&gt;($J$22/7)),"",IF(AND(Y22&lt;&gt;0,$D$22=$D$23,$J$23&gt;(SUM($K$22:X22))),"",(IF($I$23&gt;$J$23+(SUM($K$23:X23)),$J$23,$I$23-(SUM($K$23:X23))))))</f>
        <v>0</v>
      </c>
      <c r="Z23" s="3">
        <f>IF(AND($F$22=$F$23,$I$22&gt;SUM($K$22:Y22),Z22&gt;($J$22/7)),"",IF(AND(Z22&lt;&gt;0,$D$22=$D$23,$J$23&gt;(SUM($K$22:Y22))),"",(IF($I$23&gt;$J$23+(SUM($K$23:Y23)),$J$23,$I$23-(SUM($K$23:Y23))))))</f>
        <v>0</v>
      </c>
      <c r="AA23" s="3">
        <f>IF(AND($F$22=$F$23,$I$22&gt;SUM($K$22:Z22),AA22&gt;($J$22/7)),"",IF(AND(AA22&lt;&gt;0,$D$22=$D$23,$J$23&gt;(SUM($K$22:Z22))),"",(IF($I$23&gt;$J$23+(SUM($K$23:Z23)),$J$23,$I$23-(SUM($K$23:Z23))))))</f>
        <v>0</v>
      </c>
      <c r="AB23" s="3">
        <f>IF(AND($F$22=$F$23,$I$22&gt;SUM($K$22:AA22),AB22&gt;($J$22/7)),"",IF(AND(AB22&lt;&gt;0,$D$22=$D$23,$J$23&gt;(SUM($K$22:AA22))),"",(IF($I$23&gt;$J$23+(SUM($K$23:AA23)),$J$23,$I$23-(SUM($K$23:AA23))))))</f>
        <v>0</v>
      </c>
      <c r="AC23" s="3">
        <f>IF(AND($F$22=$F$23,$I$22&gt;SUM($K$22:AB22),AC22&gt;($J$22/7)),"",IF(AND(AC22&lt;&gt;0,$D$22=$D$23,$J$23&gt;(SUM($K$22:AB22))),"",(IF($I$23&gt;$J$23+(SUM($K$23:AB23)),$J$23,$I$23-(SUM($K$23:AB23))))))</f>
        <v>0</v>
      </c>
      <c r="AD23" s="3">
        <f>IF(AND($F$22=$F$23,$I$22&gt;SUM($K$22:AC22),AD22&gt;($J$22/7)),"",IF(AND(AD22&lt;&gt;0,$D$22=$D$23,$J$23&gt;(SUM($K$22:AC22))),"",(IF($I$23&gt;$J$23+(SUM($K$23:AC23)),$J$23,$I$23-(SUM($K$23:AC23))))))</f>
        <v>0</v>
      </c>
      <c r="AE23" s="3">
        <f>IF(AND($F$22=$F$23,$I$22&gt;SUM($K$22:AD22),AE22&gt;($J$22/7)),"",IF(AND(AE22&lt;&gt;0,$D$22=$D$23,$J$23&gt;(SUM($K$22:AD22))),"",(IF($I$23&gt;$J$23+(SUM($K$23:AD23)),$J$23,$I$23-(SUM($K$23:AD23))))))</f>
        <v>0</v>
      </c>
      <c r="AF23" s="3">
        <f>IF(AND($F$22=$F$23,$I$22&gt;SUM($K$22:AE22),AF22&gt;($J$22/7)),"",IF(AND(AF22&lt;&gt;0,$D$22=$D$23,$J$23&gt;(SUM($K$22:AE22))),"",(IF($I$23&gt;$J$23+(SUM($K$23:AE23)),$J$23,$I$23-(SUM($K$23:AE23))))))</f>
        <v>0</v>
      </c>
      <c r="AG23" s="3">
        <f>IF(AND($F$22=$F$23,$I$22&gt;SUM($K$22:AF22),AG22&gt;($J$22/7)),"",IF(AND(AG22&lt;&gt;0,$D$22=$D$23,$J$23&gt;(SUM($K$22:AF22))),"",(IF($I$23&gt;$J$23+(SUM($K$23:AF23)),$J$23,$I$23-(SUM($K$23:AF23))))))</f>
        <v>0</v>
      </c>
      <c r="AH23" s="3">
        <f>IF(AND($F$22=$F$23,$I$22&gt;SUM($K$22:AG22),AH22&gt;($J$22/7)),"",IF(AND(AH22&lt;&gt;0,$D$22=$D$23,$J$23&gt;(SUM($K$22:AG22))),"",(IF($I$23&gt;$J$23+(SUM($K$23:AG23)),$J$23,$I$23-(SUM($K$23:AG23))))))</f>
        <v>0</v>
      </c>
      <c r="AI23" s="3">
        <f>IF(AND($F$22=$F$23,$I$22&gt;SUM($K$22:AH22),AI22&gt;($J$22/7)),"",IF(AND(AI22&lt;&gt;0,$D$22=$D$23,$J$23&gt;(SUM($K$22:AH22))),"",(IF($I$23&gt;$J$23+(SUM($K$23:AH23)),$J$23,$I$23-(SUM($K$23:AH23))))))</f>
        <v>0</v>
      </c>
      <c r="AJ23" s="3">
        <f>IF(AND($F$22=$F$23,$I$22&gt;SUM($K$22:AI22),AJ22&gt;($J$22/7)),"",IF(AND(AJ22&lt;&gt;0,$D$22=$D$23,$J$23&gt;(SUM($K$22:AI22))),"",(IF($I$23&gt;$J$23+(SUM($K$23:AI23)),$J$23,$I$23-(SUM($K$23:AI23))))))</f>
        <v>0</v>
      </c>
      <c r="AK23" s="3">
        <f>IF(AND($F$22=$F$23,$I$22&gt;SUM($K$22:AJ22),AK22&gt;($J$22/7)),"",IF(AND(AK22&lt;&gt;0,$D$22=$D$23,$J$23&gt;(SUM($K$22:AJ22))),"",(IF($I$23&gt;$J$23+(SUM($K$23:AJ23)),$J$23,$I$23-(SUM($K$23:AJ23))))))</f>
        <v>0</v>
      </c>
      <c r="AL23" s="3">
        <f>IF(AND($F$22=$F$23,$I$22&gt;SUM($K$22:AK22),AL22&gt;($J$22/7)),"",IF(AND(AL22&lt;&gt;0,$D$22=$D$23,$J$23&gt;(SUM($K$22:AK22))),"",(IF($I$23&gt;$J$23+(SUM($K$23:AK23)),$J$23,$I$23-(SUM($K$23:AK23))))))</f>
        <v>0</v>
      </c>
      <c r="AM23" s="3">
        <f>IF(AND($F$22=$F$23,$I$22&gt;SUM($K$22:AL22),AM22&gt;($J$22/7)),"",IF(AND(AM22&lt;&gt;0,$D$22=$D$23,$J$23&gt;(SUM($K$22:AL22))),"",(IF($I$23&gt;$J$23+(SUM($K$23:AL23)),$J$23,$I$23-(SUM($K$23:AL23))))))</f>
        <v>0</v>
      </c>
      <c r="AN23" s="3">
        <f>IF(AND($F$22=$F$23,$I$22&gt;SUM($K$22:AM22),AN22&gt;($J$22/7)),"",IF(AND(AN22&lt;&gt;0,$D$22=$D$23,$J$23&gt;(SUM($K$22:AM22))),"",(IF($I$23&gt;$J$23+(SUM($K$23:AM23)),$J$23,$I$23-(SUM($K$23:AM23))))))</f>
        <v>0</v>
      </c>
      <c r="AO23" s="3">
        <f>IF(AND($F$22=$F$23,$I$22&gt;SUM($K$22:AN22),AO22&gt;($J$22/7)),"",IF(AND(AO22&lt;&gt;0,$D$22=$D$23,$J$23&gt;(SUM($K$22:AN22))),"",(IF($I$23&gt;$J$23+(SUM($K$23:AN23)),$J$23,$I$23-(SUM($K$23:AN23))))))</f>
        <v>0</v>
      </c>
      <c r="AP23" s="3">
        <f>IF(AND($F$22=$F$23,$I$22&gt;SUM($K$22:AO22),AP22&gt;($J$22/7)),"",IF(AND(AP22&lt;&gt;0,$D$22=$D$23,$J$23&gt;(SUM($K$22:AO22))),"",(IF($I$23&gt;$J$23+(SUM($K$23:AO23)),$J$23,$I$23-(SUM($K$23:AO23))))))</f>
        <v>0</v>
      </c>
      <c r="AQ23" s="3">
        <f>IF(AND($F$22=$F$23,$I$22&gt;SUM($K$22:AP22),AQ22&gt;($J$22/7)),"",IF(AND(AQ22&lt;&gt;0,$D$22=$D$23,$J$23&gt;(SUM($K$22:AP22))),"",(IF($I$23&gt;$J$23+(SUM($K$23:AP23)),$J$23,$I$23-(SUM($K$23:AP23))))))</f>
        <v>0</v>
      </c>
      <c r="AR23" s="3">
        <f>IF(AND($F$22=$F$23,$I$22&gt;SUM($K$22:AQ22),AR22&gt;($J$22/7)),"",IF(AND(AR22&lt;&gt;0,$D$22=$D$23,$J$23&gt;(SUM($K$22:AQ22))),"",(IF($I$23&gt;$J$23+(SUM($K$23:AQ23)),$J$23,$I$23-(SUM($K$23:AQ23))))))</f>
        <v>0</v>
      </c>
      <c r="AS23" s="3">
        <f>IF(AND($F$22=$F$23,$I$22&gt;SUM($K$22:AR22),AS22&gt;($J$22/7)),"",IF(AND(AS22&lt;&gt;0,$D$22=$D$23,$J$23&gt;(SUM($K$22:AR22))),"",(IF($I$23&gt;$J$23+(SUM($K$23:AR23)),$J$23,$I$23-(SUM($K$23:AR23))))))</f>
        <v>0</v>
      </c>
      <c r="AT23" s="3">
        <f>IF(AND($F$22=$F$23,$I$22&gt;SUM($K$22:AS22),AT22&gt;($J$22/7)),"",IF(AND(AT22&lt;&gt;0,$D$22=$D$23,$J$23&gt;(SUM($K$22:AS22))),"",(IF($I$23&gt;$J$23+(SUM($K$23:AS23)),$J$23,$I$23-(SUM($K$23:AS23))))))</f>
        <v>0</v>
      </c>
      <c r="AU23" s="3">
        <f>IF(AND($F$22=$F$23,$I$22&gt;SUM($K$22:AT22),AU22&gt;($J$22/7)),"",IF(AND(AU22&lt;&gt;0,$D$22=$D$23,$J$23&gt;(SUM($K$22:AT22))),"",(IF($I$23&gt;$J$23+(SUM($K$23:AT23)),$J$23,$I$23-(SUM($K$23:AT23))))))</f>
        <v>0</v>
      </c>
      <c r="AV23" s="3">
        <f>IF(AND($F$22=$F$23,$I$22&gt;SUM($K$22:AU22),AV22&gt;($J$22/7)),"",IF(AND(AV22&lt;&gt;0,$D$22=$D$23,$J$23&gt;(SUM($K$22:AU22))),"",(IF($I$23&gt;$J$23+(SUM($K$23:AU23)),$J$23,$I$23-(SUM($K$23:AU23))))))</f>
        <v>0</v>
      </c>
      <c r="AW23" s="3">
        <f>IF(AND($F$22=$F$23,$I$22&gt;SUM($K$22:AV22),AW22&gt;($J$22/7)),"",IF(AND(AW22&lt;&gt;0,$D$22=$D$23,$J$23&gt;(SUM($K$22:AV22))),"",(IF($I$23&gt;$J$23+(SUM($K$23:AV23)),$J$23,$I$23-(SUM($K$23:AV23))))))</f>
        <v>0</v>
      </c>
      <c r="AX23" s="3">
        <f>IF(AND($F$22=$F$23,$I$22&gt;SUM($K$22:AW22),AX22&gt;($J$22/7)),"",IF(AND(AX22&lt;&gt;0,$D$22=$D$23,$J$23&gt;(SUM($K$22:AW22))),"",(IF($I$23&gt;$J$23+(SUM($K$23:AW23)),$J$23,$I$23-(SUM($K$23:AW23))))))</f>
        <v>0</v>
      </c>
      <c r="AY23" s="3">
        <f>IF(AND($F$22=$F$23,$I$22&gt;SUM($K$22:AX22),AY22&gt;($J$22/7)),"",IF(AND(AY22&lt;&gt;0,$D$22=$D$23,$J$23&gt;(SUM($K$22:AX22))),"",(IF($I$23&gt;$J$23+(SUM($K$23:AX23)),$J$23,$I$23-(SUM($K$23:AX23))))))</f>
        <v>0</v>
      </c>
      <c r="AZ23" s="3">
        <f>IF(AND($F$22=$F$23,$I$22&gt;SUM($K$22:AY22),AZ22&gt;($J$22/7)),"",IF(AND(AZ22&lt;&gt;0,$D$22=$D$23,$J$23&gt;(SUM($K$22:AY22))),"",(IF($I$23&gt;$J$23+(SUM($K$23:AY23)),$J$23,$I$23-(SUM($K$23:AY23))))))</f>
        <v>0</v>
      </c>
      <c r="BA23" s="3">
        <f>IF(AND($F$22=$F$23,$I$22&gt;SUM($K$22:AZ22),BA22&gt;($J$22/7)),"",IF(AND(BA22&lt;&gt;0,$D$22=$D$23,$J$23&gt;(SUM($K$22:AZ22))),"",(IF($I$23&gt;$J$23+(SUM($K$23:AZ23)),$J$23,$I$23-(SUM($K$23:AZ23))))))</f>
        <v>0</v>
      </c>
      <c r="BB23" s="3">
        <f>IF(AND($F$22=$F$23,$I$22&gt;SUM($K$22:BA22),BB22&gt;($J$22/7)),"",IF(AND(BB22&lt;&gt;0,$D$22=$D$23,$J$23&gt;(SUM($K$22:BA22))),"",(IF($I$23&gt;$J$23+(SUM($K$23:BA23)),$J$23,$I$23-(SUM($K$23:BA23))))))</f>
        <v>0</v>
      </c>
      <c r="BC23" s="3">
        <f>IF(AND($F$22=$F$23,$I$22&gt;SUM($K$22:BB22),BC22&gt;($J$22/7)),"",IF(AND(BC22&lt;&gt;0,$D$22=$D$23,$J$23&gt;(SUM($K$22:BB22))),"",(IF($I$23&gt;$J$23+(SUM($K$23:BB23)),$J$23,$I$23-(SUM($K$23:BB23))))))</f>
        <v>0</v>
      </c>
      <c r="BD23" s="3">
        <f>IF(AND($F$22=$F$23,$I$22&gt;SUM($K$22:BC22),BD22&gt;($J$22/7)),"",IF(AND(BD22&lt;&gt;0,$D$22=$D$23,$J$23&gt;(SUM($K$22:BC22))),"",(IF($I$23&gt;$J$23+(SUM($K$23:BC23)),$J$23,$I$23-(SUM($K$23:BC23))))))</f>
        <v>0</v>
      </c>
      <c r="BE23" s="3">
        <f>IF(AND($F$22=$F$23,$I$22&gt;SUM($K$22:BD22),BE22&gt;($J$22/7)),"",IF(AND(BE22&lt;&gt;0,$D$22=$D$23,$J$23&gt;(SUM($K$22:BD22))),"",(IF($I$23&gt;$J$23+(SUM($K$23:BD23)),$J$23,$I$23-(SUM($K$23:BD23))))))</f>
        <v>0</v>
      </c>
      <c r="BF23" s="3">
        <f>IF(AND($F$22=$F$23,$I$22&gt;SUM($K$22:BE22),BF22&gt;($J$22/7)),"",IF(AND(BF22&lt;&gt;0,$D$22=$D$23,$J$23&gt;(SUM($K$22:BE22))),"",(IF($I$23&gt;$J$23+(SUM($K$23:BE23)),$J$23,$I$23-(SUM($K$23:BE23))))))</f>
        <v>0</v>
      </c>
      <c r="BG23" s="3">
        <f>IF(AND($F$22=$F$23,$I$22&gt;SUM($K$22:BF22),BG22&gt;($J$22/7)),"",IF(AND(BG22&lt;&gt;0,$D$22=$D$23,$J$23&gt;(SUM($K$22:BF22))),"",(IF($I$23&gt;$J$23+(SUM($K$23:BF23)),$J$23,$I$23-(SUM($K$23:BF23))))))</f>
        <v>0</v>
      </c>
      <c r="BH23" s="3">
        <f>IF(AND($F$22=$F$23,$I$22&gt;SUM($K$22:BG22),BH22&gt;($J$22/7)),"",IF(AND(BH22&lt;&gt;0,$D$22=$D$23,$J$23&gt;(SUM($K$22:BG22))),"",(IF($I$23&gt;$J$23+(SUM($K$23:BG23)),$J$23,$I$23-(SUM($K$23:BG23))))))</f>
        <v>0</v>
      </c>
      <c r="BI23" s="3">
        <f>IF(AND($F$22=$F$23,$I$22&gt;SUM($K$22:BH22),BI22&gt;($J$22/7)),"",IF(AND(BI22&lt;&gt;0,$D$22=$D$23,$J$23&gt;(SUM($K$22:BH22))),"",(IF($I$23&gt;$J$23+(SUM($K$23:BH23)),$J$23,$I$23-(SUM($K$23:BH23))))))</f>
        <v>0</v>
      </c>
      <c r="BJ23" s="3">
        <f>IF(AND($F$22=$F$23,$I$22&gt;SUM($K$22:BI22),BJ22&gt;($J$22/7)),"",IF(AND(BJ22&lt;&gt;0,$D$22=$D$23,$J$23&gt;(SUM($K$22:BI22))),"",(IF($I$23&gt;$J$23+(SUM($K$23:BI23)),$J$23,$I$23-(SUM($K$23:BI23))))))</f>
        <v>0</v>
      </c>
      <c r="BK23" s="3">
        <f>IF(AND($F$22=$F$23,$I$22&gt;SUM($K$22:BJ22),BK22&gt;($J$22/7)),"",IF(AND(BK22&lt;&gt;0,$D$22=$D$23,$J$23&gt;(SUM($K$22:BJ22))),"",(IF($I$23&gt;$J$23+(SUM($K$23:BJ23)),$J$23,$I$23-(SUM($K$23:BJ23))))))</f>
        <v>0</v>
      </c>
      <c r="BL23" s="3">
        <f>IF(AND($F$22=$F$23,$I$22&gt;SUM($K$22:BK22),BL22&gt;($J$22/7)),"",IF(AND(BL22&lt;&gt;0,$D$22=$D$23,$J$23&gt;(SUM($K$22:BK22))),"",(IF($I$23&gt;$J$23+(SUM($K$23:BK23)),$J$23,$I$23-(SUM($K$23:BK23))))))</f>
        <v>0</v>
      </c>
      <c r="BM23" s="3">
        <f>IF(AND($F$22=$F$23,$I$22&gt;SUM($K$22:BL22),BM22&gt;($J$22/7)),"",IF(AND(BM22&lt;&gt;0,$D$22=$D$23,$J$23&gt;(SUM($K$22:BL22))),"",(IF($I$23&gt;$J$23+(SUM($K$23:BL23)),$J$23,$I$23-(SUM($K$23:BL23))))))</f>
        <v>0</v>
      </c>
      <c r="BN23" s="3">
        <f>IF(AND($F$22=$F$23,$I$22&gt;SUM($K$22:BM22),BN22&gt;($J$22/7)),"",IF(AND(BN22&lt;&gt;0,$D$22=$D$23,$J$23&gt;(SUM($K$22:BM22))),"",(IF($I$23&gt;$J$23+(SUM($K$23:BM23)),$J$23,$I$23-(SUM($K$23:BM23))))))</f>
        <v>0</v>
      </c>
      <c r="BO23" s="3">
        <f>IF(AND($F$22=$F$23,$I$22&gt;SUM($K$22:BN22),BO22&gt;($J$22/7)),"",IF(AND(BO22&lt;&gt;0,$D$22=$D$23,$J$23&gt;(SUM($K$22:BN22))),"",(IF($I$23&gt;$J$23+(SUM($K$23:BN23)),$J$23,$I$23-(SUM($K$23:BN23))))))</f>
        <v>0</v>
      </c>
      <c r="BP23" s="3">
        <f>IF(AND($F$22=$F$23,$I$22&gt;SUM($K$22:BO22),BP22&gt;($J$22/7)),"",IF(AND(BP22&lt;&gt;0,$D$22=$D$23,$J$23&gt;(SUM($K$22:BO22))),"",(IF($I$23&gt;$J$23+(SUM($K$23:BO23)),$J$23,$I$23-(SUM($K$23:BO23))))))</f>
        <v>0</v>
      </c>
      <c r="BQ23" s="3">
        <f>IF(AND($F$22=$F$23,$I$22&gt;SUM($K$22:BP22),BQ22&gt;($J$22/7)),"",IF(AND(BQ22&lt;&gt;0,$D$22=$D$23,$J$23&gt;(SUM($K$22:BP22))),"",(IF($I$23&gt;$J$23+(SUM($K$23:BP23)),$J$23,$I$23-(SUM($K$23:BP23))))))</f>
        <v>0</v>
      </c>
      <c r="BR23" s="3">
        <f>IF(AND($F$22=$F$23,$I$22&gt;SUM($K$22:BQ22),BR22&gt;($J$22/7)),"",IF(AND(BR22&lt;&gt;0,$D$22=$D$23,$J$23&gt;(SUM($K$22:BQ22))),"",(IF($I$23&gt;$J$23+(SUM($K$23:BQ23)),$J$23,$I$23-(SUM($K$23:BQ23))))))</f>
        <v>0</v>
      </c>
      <c r="BS23" s="3">
        <f>IF(AND($F$22=$F$23,$I$22&gt;SUM($K$22:BR22),BS22&gt;($J$22/7)),"",IF(AND(BS22&lt;&gt;0,$D$22=$D$23,$J$23&gt;(SUM($K$22:BR22))),"",(IF($I$23&gt;$J$23+(SUM($K$23:BR23)),$J$23,$I$23-(SUM($K$23:BR23))))))</f>
        <v>0</v>
      </c>
      <c r="BT23" s="3">
        <f>IF(AND($F$22=$F$23,$I$22&gt;SUM($K$22:BS22),BT22&gt;($J$22/7)),"",IF(AND(BT22&lt;&gt;0,$D$22=$D$23,$J$23&gt;(SUM($K$22:BS22))),"",(IF($I$23&gt;$J$23+(SUM($K$23:BS23)),$J$23,$I$23-(SUM($K$23:BS23))))))</f>
        <v>0</v>
      </c>
      <c r="BU23" s="3">
        <f>IF(AND($F$22=$F$23,$I$22&gt;SUM($K$22:BT22),BU22&gt;($J$22/7)),"",IF(AND(BU22&lt;&gt;0,$D$22=$D$23,$J$23&gt;(SUM($K$22:BT22))),"",(IF($I$23&gt;$J$23+(SUM($K$23:BT23)),$J$23,$I$23-(SUM($K$23:BT23))))))</f>
        <v>0</v>
      </c>
      <c r="BV23" s="3">
        <f>IF(AND($F$22=$F$23,$I$22&gt;SUM($K$22:BU22),BV22&gt;($J$22/7)),"",IF(AND(BV22&lt;&gt;0,$D$22=$D$23,$J$23&gt;(SUM($K$22:BU22))),"",(IF($I$23&gt;$J$23+(SUM($K$23:BU23)),$J$23,$I$23-(SUM($K$23:BU23))))))</f>
        <v>0</v>
      </c>
      <c r="BW23" s="3">
        <f>IF(AND($F$22=$F$23,$I$22&gt;SUM($K$22:BV22),BW22&gt;($J$22/7)),"",IF(AND(BW22&lt;&gt;0,$D$22=$D$23,$J$23&gt;(SUM($K$22:BV22))),"",(IF($I$23&gt;$J$23+(SUM($K$23:BV23)),$J$23,$I$23-(SUM($K$23:BV23))))))</f>
        <v>0</v>
      </c>
      <c r="BX23" s="3">
        <f>IF(AND($F$22=$F$23,$I$22&gt;SUM($K$22:BW22),BX22&gt;($J$22/7)),"",IF(AND(BX22&lt;&gt;0,$D$22=$D$23,$J$23&gt;(SUM($K$22:BW22))),"",(IF($I$23&gt;$J$23+(SUM($K$23:BW23)),$J$23,$I$23-(SUM($K$23:BW23))))))</f>
        <v>0</v>
      </c>
      <c r="BY23" s="3">
        <f>IF(AND($F$22=$F$23,$I$22&gt;SUM($K$22:BX22),BY22&gt;($J$22/7)),"",IF(AND(BY22&lt;&gt;0,$D$22=$D$23,$J$23&gt;(SUM($K$22:BX22))),"",(IF($I$23&gt;$J$23+(SUM($K$23:BX23)),$J$23,$I$23-(SUM($K$23:BX23))))))</f>
        <v>0</v>
      </c>
      <c r="BZ23" s="3">
        <f>IF(AND($F$22=$F$23,$I$22&gt;SUM($K$22:BY22),BZ22&gt;($J$22/7)),"",IF(AND(BZ22&lt;&gt;0,$D$22=$D$23,$J$23&gt;(SUM($K$22:BY22))),"",(IF($I$23&gt;$J$23+(SUM($K$23:BY23)),$J$23,$I$23-(SUM($K$23:BY23))))))</f>
        <v>0</v>
      </c>
      <c r="CA23" s="3">
        <f>IF(AND($F$22=$F$23,$I$22&gt;SUM($K$22:BZ22),CA22&gt;($J$22/7)),"",IF(AND(CA22&lt;&gt;0,$D$22=$D$23,$J$23&gt;(SUM($K$22:BZ22))),"",(IF($I$23&gt;$J$23+(SUM($K$23:BZ23)),$J$23,$I$23-(SUM($K$23:BZ23))))))</f>
        <v>0</v>
      </c>
      <c r="CB23" s="3">
        <f>IF(AND($F$22=$F$23,$I$22&gt;SUM($K$22:CA22),CB22&gt;($J$22/7)),"",IF(AND(CB22&lt;&gt;0,$D$22=$D$23,$J$23&gt;(SUM($K$22:CA22))),"",(IF($I$23&gt;$J$23+(SUM($K$23:CA23)),$J$23,$I$23-(SUM($K$23:CA23))))))</f>
        <v>0</v>
      </c>
      <c r="CC23" s="3">
        <f>IF(AND($F$22=$F$23,$I$22&gt;SUM($K$22:CB22),CC22&gt;($J$22/7)),"",IF(AND(CC22&lt;&gt;0,$D$22=$D$23,$J$23&gt;(SUM($K$22:CB22))),"",(IF($I$23&gt;$J$23+(SUM($K$23:CB23)),$J$23,$I$23-(SUM($K$23:CB23))))))</f>
        <v>0</v>
      </c>
      <c r="CD23" s="3">
        <f>IF(AND($F$22=$F$23,$I$22&gt;SUM($K$22:CC22),CD22&gt;($J$22/7)),"",IF(AND(CD22&lt;&gt;0,$D$22=$D$23,$J$23&gt;(SUM($K$22:CC22))),"",(IF($I$23&gt;$J$23+(SUM($K$23:CC23)),$J$23,$I$23-(SUM($K$23:CC23))))))</f>
        <v>0</v>
      </c>
      <c r="CE23" s="3">
        <f>IF(AND($F$22=$F$23,$I$22&gt;SUM($K$22:CD22),CE22&gt;($J$22/7)),"",IF(AND(CE22&lt;&gt;0,$D$22=$D$23,$J$23&gt;(SUM($K$22:CD22))),"",(IF($I$23&gt;$J$23+(SUM($K$23:CD23)),$J$23,$I$23-(SUM($K$23:CD23))))))</f>
        <v>0</v>
      </c>
    </row>
    <row r="24" spans="1:164" x14ac:dyDescent="0.25">
      <c r="A24" s="6">
        <v>22</v>
      </c>
      <c r="B24" t="str">
        <f t="shared" si="3"/>
        <v/>
      </c>
      <c r="C24" t="str">
        <f t="shared" si="4"/>
        <v>0</v>
      </c>
      <c r="E24" s="101"/>
      <c r="F24" s="27"/>
      <c r="G24" s="2">
        <f t="shared" si="0"/>
        <v>0</v>
      </c>
      <c r="H24" s="9">
        <f t="shared" si="1"/>
        <v>0</v>
      </c>
      <c r="I24" s="2">
        <f t="shared" si="2"/>
        <v>0</v>
      </c>
      <c r="J24" s="2">
        <f t="shared" si="5"/>
        <v>0</v>
      </c>
    </row>
    <row r="25" spans="1:164" x14ac:dyDescent="0.25">
      <c r="A25" s="6">
        <v>23</v>
      </c>
      <c r="B25" t="str">
        <f t="shared" si="3"/>
        <v/>
      </c>
      <c r="C25" t="str">
        <f t="shared" si="4"/>
        <v>0</v>
      </c>
      <c r="E25" s="101"/>
      <c r="F25" s="27"/>
      <c r="G25" s="2">
        <f t="shared" si="0"/>
        <v>0</v>
      </c>
      <c r="H25" s="9">
        <f t="shared" si="1"/>
        <v>0</v>
      </c>
      <c r="I25" s="2">
        <f t="shared" si="2"/>
        <v>0</v>
      </c>
      <c r="J25" s="2">
        <f t="shared" si="5"/>
        <v>0</v>
      </c>
    </row>
    <row r="26" spans="1:164" x14ac:dyDescent="0.25">
      <c r="A26" s="6">
        <v>24</v>
      </c>
      <c r="B26" t="str">
        <f t="shared" si="3"/>
        <v/>
      </c>
      <c r="C26" t="str">
        <f t="shared" si="4"/>
        <v>0</v>
      </c>
      <c r="E26" s="101"/>
      <c r="F26" s="27"/>
      <c r="G26" s="2">
        <f t="shared" si="0"/>
        <v>0</v>
      </c>
      <c r="H26" s="9">
        <f t="shared" si="1"/>
        <v>0</v>
      </c>
      <c r="I26" s="2">
        <f t="shared" si="2"/>
        <v>0</v>
      </c>
      <c r="J26" s="2">
        <f t="shared" si="5"/>
        <v>0</v>
      </c>
    </row>
    <row r="27" spans="1:164" x14ac:dyDescent="0.25">
      <c r="A27" s="6">
        <v>25</v>
      </c>
      <c r="B27" t="str">
        <f t="shared" si="3"/>
        <v/>
      </c>
      <c r="C27" t="str">
        <f t="shared" si="4"/>
        <v>0</v>
      </c>
      <c r="E27" s="101"/>
      <c r="F27" s="27"/>
      <c r="G27" s="2">
        <f t="shared" si="0"/>
        <v>0</v>
      </c>
      <c r="H27" s="9">
        <f t="shared" si="1"/>
        <v>0</v>
      </c>
      <c r="I27" s="2">
        <f t="shared" si="2"/>
        <v>0</v>
      </c>
      <c r="J27" s="2">
        <f t="shared" si="5"/>
        <v>0</v>
      </c>
    </row>
    <row r="28" spans="1:164" x14ac:dyDescent="0.25">
      <c r="A28" s="6">
        <v>26</v>
      </c>
      <c r="B28" t="str">
        <f t="shared" si="3"/>
        <v/>
      </c>
      <c r="C28" t="str">
        <f t="shared" si="4"/>
        <v>0</v>
      </c>
      <c r="E28" s="101"/>
      <c r="F28" s="27"/>
      <c r="G28" s="2">
        <f t="shared" si="0"/>
        <v>0</v>
      </c>
      <c r="H28" s="9">
        <f t="shared" si="1"/>
        <v>0</v>
      </c>
      <c r="I28" s="2">
        <f t="shared" si="2"/>
        <v>0</v>
      </c>
      <c r="J28" s="2">
        <f t="shared" si="5"/>
        <v>0</v>
      </c>
    </row>
    <row r="29" spans="1:164" x14ac:dyDescent="0.25">
      <c r="A29" s="6">
        <v>27</v>
      </c>
      <c r="B29" t="str">
        <f t="shared" si="3"/>
        <v/>
      </c>
      <c r="C29" t="str">
        <f t="shared" si="4"/>
        <v>0</v>
      </c>
      <c r="E29" s="101"/>
      <c r="F29" s="27"/>
      <c r="G29" s="2">
        <f t="shared" si="0"/>
        <v>0</v>
      </c>
      <c r="H29" s="9">
        <f t="shared" si="1"/>
        <v>0</v>
      </c>
      <c r="I29" s="2">
        <f t="shared" si="2"/>
        <v>0</v>
      </c>
      <c r="J29" s="2">
        <f t="shared" si="5"/>
        <v>0</v>
      </c>
    </row>
    <row r="30" spans="1:164" x14ac:dyDescent="0.25">
      <c r="A30" s="6">
        <v>28</v>
      </c>
      <c r="B30" t="str">
        <f t="shared" si="3"/>
        <v/>
      </c>
      <c r="C30" t="str">
        <f t="shared" si="4"/>
        <v>0</v>
      </c>
      <c r="E30" s="101"/>
      <c r="F30" s="27"/>
      <c r="G30" s="2">
        <f t="shared" si="0"/>
        <v>0</v>
      </c>
      <c r="H30" s="9">
        <f t="shared" si="1"/>
        <v>0</v>
      </c>
      <c r="I30" s="2">
        <f t="shared" si="2"/>
        <v>0</v>
      </c>
      <c r="J30" s="2">
        <f t="shared" si="5"/>
        <v>0</v>
      </c>
    </row>
    <row r="31" spans="1:164" x14ac:dyDescent="0.25">
      <c r="A31" s="6">
        <v>29</v>
      </c>
      <c r="B31" t="str">
        <f t="shared" si="3"/>
        <v/>
      </c>
      <c r="C31" t="str">
        <f t="shared" si="4"/>
        <v>0</v>
      </c>
      <c r="E31" s="101"/>
      <c r="F31" s="27"/>
      <c r="G31" s="2">
        <f t="shared" si="0"/>
        <v>0</v>
      </c>
      <c r="H31" s="9">
        <f t="shared" si="1"/>
        <v>0</v>
      </c>
      <c r="I31" s="2">
        <f t="shared" si="2"/>
        <v>0</v>
      </c>
      <c r="J31" s="2">
        <f t="shared" si="5"/>
        <v>0</v>
      </c>
    </row>
    <row r="32" spans="1:164" x14ac:dyDescent="0.25">
      <c r="A32" s="6">
        <v>30</v>
      </c>
      <c r="B32" t="str">
        <f t="shared" si="3"/>
        <v/>
      </c>
      <c r="C32" t="str">
        <f t="shared" si="4"/>
        <v>0</v>
      </c>
      <c r="E32" s="101"/>
      <c r="F32" s="27"/>
      <c r="G32" s="2">
        <f t="shared" si="0"/>
        <v>0</v>
      </c>
      <c r="H32" s="9">
        <f t="shared" si="1"/>
        <v>0</v>
      </c>
      <c r="I32" s="2">
        <f t="shared" si="2"/>
        <v>0</v>
      </c>
      <c r="J32" s="2">
        <f t="shared" si="5"/>
        <v>0</v>
      </c>
    </row>
    <row r="33" spans="1:10" x14ac:dyDescent="0.25">
      <c r="A33" s="6">
        <v>31</v>
      </c>
      <c r="B33" t="str">
        <f t="shared" si="3"/>
        <v/>
      </c>
      <c r="C33" t="str">
        <f t="shared" si="4"/>
        <v>0</v>
      </c>
      <c r="E33" s="101"/>
      <c r="F33" s="27"/>
      <c r="G33" s="2">
        <f t="shared" si="0"/>
        <v>0</v>
      </c>
      <c r="H33" s="9">
        <f t="shared" si="1"/>
        <v>0</v>
      </c>
      <c r="I33" s="2">
        <f t="shared" si="2"/>
        <v>0</v>
      </c>
      <c r="J33" s="2">
        <f t="shared" si="5"/>
        <v>0</v>
      </c>
    </row>
    <row r="34" spans="1:10" x14ac:dyDescent="0.25">
      <c r="A34" s="6">
        <v>32</v>
      </c>
      <c r="B34" t="str">
        <f t="shared" si="3"/>
        <v/>
      </c>
      <c r="C34" t="str">
        <f t="shared" si="4"/>
        <v>0</v>
      </c>
      <c r="E34" s="101"/>
      <c r="F34" s="27"/>
      <c r="G34" s="2">
        <f t="shared" si="0"/>
        <v>0</v>
      </c>
      <c r="H34" s="9">
        <f t="shared" si="1"/>
        <v>0</v>
      </c>
      <c r="I34" s="2">
        <f t="shared" si="2"/>
        <v>0</v>
      </c>
      <c r="J34" s="2">
        <f t="shared" si="5"/>
        <v>0</v>
      </c>
    </row>
    <row r="35" spans="1:10" x14ac:dyDescent="0.25">
      <c r="A35" s="6">
        <v>33</v>
      </c>
      <c r="B35" t="str">
        <f t="shared" si="3"/>
        <v/>
      </c>
      <c r="C35" t="str">
        <f t="shared" si="4"/>
        <v>0</v>
      </c>
      <c r="E35" s="101"/>
      <c r="F35" s="27"/>
      <c r="G35" s="2">
        <f t="shared" ref="G35:G66" si="7">VLOOKUP(B35,FABRICAR,8,0)</f>
        <v>0</v>
      </c>
      <c r="H35" s="9">
        <f t="shared" ref="H35:H66" si="8">IFERROR(VLOOKUP(E35,PRODUCTOS,4,0),0)</f>
        <v>0</v>
      </c>
      <c r="I35" s="2">
        <f t="shared" si="2"/>
        <v>0</v>
      </c>
      <c r="J35" s="2">
        <f t="shared" si="5"/>
        <v>0</v>
      </c>
    </row>
    <row r="36" spans="1:10" x14ac:dyDescent="0.25">
      <c r="A36" s="6">
        <v>34</v>
      </c>
      <c r="B36" t="str">
        <f t="shared" si="3"/>
        <v/>
      </c>
      <c r="C36" t="str">
        <f t="shared" si="4"/>
        <v>0</v>
      </c>
      <c r="E36" s="101"/>
      <c r="F36" s="27"/>
      <c r="G36" s="2">
        <f t="shared" si="7"/>
        <v>0</v>
      </c>
      <c r="H36" s="9">
        <f t="shared" si="8"/>
        <v>0</v>
      </c>
      <c r="I36" s="2">
        <f t="shared" si="2"/>
        <v>0</v>
      </c>
      <c r="J36" s="2">
        <f t="shared" si="5"/>
        <v>0</v>
      </c>
    </row>
    <row r="37" spans="1:10" x14ac:dyDescent="0.25">
      <c r="A37" s="6">
        <v>35</v>
      </c>
      <c r="B37" t="str">
        <f t="shared" si="3"/>
        <v/>
      </c>
      <c r="C37" t="str">
        <f t="shared" si="4"/>
        <v>0</v>
      </c>
      <c r="E37" s="101"/>
      <c r="F37" s="27"/>
      <c r="G37" s="2">
        <f t="shared" si="7"/>
        <v>0</v>
      </c>
      <c r="H37" s="9">
        <f t="shared" si="8"/>
        <v>0</v>
      </c>
      <c r="I37" s="2">
        <f t="shared" si="2"/>
        <v>0</v>
      </c>
      <c r="J37" s="2">
        <f t="shared" si="5"/>
        <v>0</v>
      </c>
    </row>
    <row r="38" spans="1:10" x14ac:dyDescent="0.25">
      <c r="A38" s="6">
        <v>36</v>
      </c>
      <c r="B38" t="str">
        <f t="shared" si="3"/>
        <v/>
      </c>
      <c r="C38" t="str">
        <f t="shared" si="4"/>
        <v>0</v>
      </c>
      <c r="E38" s="101"/>
      <c r="F38" s="27"/>
      <c r="G38" s="2">
        <f t="shared" si="7"/>
        <v>0</v>
      </c>
      <c r="H38" s="9">
        <f t="shared" si="8"/>
        <v>0</v>
      </c>
      <c r="I38" s="2">
        <f t="shared" si="2"/>
        <v>0</v>
      </c>
      <c r="J38" s="2">
        <f t="shared" si="5"/>
        <v>0</v>
      </c>
    </row>
    <row r="39" spans="1:10" x14ac:dyDescent="0.25">
      <c r="A39" s="6">
        <v>37</v>
      </c>
      <c r="B39" t="str">
        <f t="shared" si="3"/>
        <v/>
      </c>
      <c r="C39" t="str">
        <f t="shared" si="4"/>
        <v>0</v>
      </c>
      <c r="E39" s="101"/>
      <c r="F39" s="27"/>
      <c r="G39" s="2">
        <f t="shared" si="7"/>
        <v>0</v>
      </c>
      <c r="H39" s="9">
        <f t="shared" si="8"/>
        <v>0</v>
      </c>
      <c r="I39" s="2">
        <f t="shared" si="2"/>
        <v>0</v>
      </c>
      <c r="J39" s="2">
        <f t="shared" si="5"/>
        <v>0</v>
      </c>
    </row>
    <row r="40" spans="1:10" x14ac:dyDescent="0.25">
      <c r="A40" s="6">
        <v>38</v>
      </c>
      <c r="B40" t="str">
        <f t="shared" si="3"/>
        <v/>
      </c>
      <c r="C40" t="str">
        <f t="shared" si="4"/>
        <v>0</v>
      </c>
      <c r="E40" s="101"/>
      <c r="F40" s="27"/>
      <c r="G40" s="2">
        <f t="shared" si="7"/>
        <v>0</v>
      </c>
      <c r="H40" s="9">
        <f t="shared" si="8"/>
        <v>0</v>
      </c>
      <c r="I40" s="2">
        <f t="shared" si="2"/>
        <v>0</v>
      </c>
      <c r="J40" s="2">
        <f t="shared" si="5"/>
        <v>0</v>
      </c>
    </row>
    <row r="41" spans="1:10" x14ac:dyDescent="0.25">
      <c r="A41" s="6">
        <v>39</v>
      </c>
      <c r="B41" t="str">
        <f t="shared" si="3"/>
        <v/>
      </c>
      <c r="C41" t="str">
        <f t="shared" si="4"/>
        <v>0</v>
      </c>
      <c r="E41" s="101"/>
      <c r="F41" s="27"/>
      <c r="G41" s="2">
        <f t="shared" si="7"/>
        <v>0</v>
      </c>
      <c r="H41" s="9">
        <f t="shared" si="8"/>
        <v>0</v>
      </c>
      <c r="I41" s="2">
        <f t="shared" si="2"/>
        <v>0</v>
      </c>
      <c r="J41" s="2">
        <f t="shared" si="5"/>
        <v>0</v>
      </c>
    </row>
    <row r="42" spans="1:10" x14ac:dyDescent="0.25">
      <c r="A42" s="6">
        <v>40</v>
      </c>
      <c r="B42" t="str">
        <f t="shared" si="3"/>
        <v/>
      </c>
      <c r="C42" t="str">
        <f t="shared" si="4"/>
        <v>0</v>
      </c>
      <c r="E42" s="101"/>
      <c r="F42" s="27"/>
      <c r="G42" s="2">
        <f t="shared" si="7"/>
        <v>0</v>
      </c>
      <c r="H42" s="9">
        <f t="shared" si="8"/>
        <v>0</v>
      </c>
      <c r="I42" s="2">
        <f t="shared" si="2"/>
        <v>0</v>
      </c>
      <c r="J42" s="2">
        <f t="shared" si="5"/>
        <v>0</v>
      </c>
    </row>
    <row r="43" spans="1:10" x14ac:dyDescent="0.25">
      <c r="A43" s="6">
        <v>41</v>
      </c>
      <c r="B43" t="str">
        <f t="shared" si="3"/>
        <v/>
      </c>
      <c r="C43" t="str">
        <f t="shared" si="4"/>
        <v>0</v>
      </c>
      <c r="E43" s="101"/>
      <c r="F43" s="27"/>
      <c r="G43" s="2">
        <f t="shared" si="7"/>
        <v>0</v>
      </c>
      <c r="H43" s="9">
        <f t="shared" si="8"/>
        <v>0</v>
      </c>
      <c r="I43" s="2">
        <f t="shared" si="2"/>
        <v>0</v>
      </c>
      <c r="J43" s="2">
        <f t="shared" si="5"/>
        <v>0</v>
      </c>
    </row>
    <row r="44" spans="1:10" x14ac:dyDescent="0.25">
      <c r="A44" s="6">
        <v>42</v>
      </c>
      <c r="B44" t="str">
        <f t="shared" si="3"/>
        <v/>
      </c>
      <c r="C44" t="str">
        <f t="shared" si="4"/>
        <v>0</v>
      </c>
      <c r="E44" s="101"/>
      <c r="F44" s="27"/>
      <c r="G44" s="2">
        <f t="shared" si="7"/>
        <v>0</v>
      </c>
      <c r="H44" s="9">
        <f t="shared" si="8"/>
        <v>0</v>
      </c>
      <c r="I44" s="2">
        <f t="shared" si="2"/>
        <v>0</v>
      </c>
      <c r="J44" s="2">
        <f t="shared" si="5"/>
        <v>0</v>
      </c>
    </row>
    <row r="45" spans="1:10" x14ac:dyDescent="0.25">
      <c r="A45" s="6">
        <v>43</v>
      </c>
      <c r="B45" t="str">
        <f t="shared" si="3"/>
        <v/>
      </c>
      <c r="C45" t="str">
        <f t="shared" si="4"/>
        <v>0</v>
      </c>
      <c r="E45" s="101"/>
      <c r="F45" s="27"/>
      <c r="G45" s="2">
        <f t="shared" si="7"/>
        <v>0</v>
      </c>
      <c r="H45" s="9">
        <f t="shared" si="8"/>
        <v>0</v>
      </c>
      <c r="I45" s="2">
        <f t="shared" si="2"/>
        <v>0</v>
      </c>
      <c r="J45" s="2">
        <f t="shared" si="5"/>
        <v>0</v>
      </c>
    </row>
    <row r="46" spans="1:10" x14ac:dyDescent="0.25">
      <c r="A46" s="6">
        <v>44</v>
      </c>
      <c r="B46" t="str">
        <f t="shared" si="3"/>
        <v/>
      </c>
      <c r="C46" t="str">
        <f t="shared" si="4"/>
        <v>0</v>
      </c>
      <c r="E46" s="101"/>
      <c r="F46" s="27"/>
      <c r="G46" s="2">
        <f t="shared" si="7"/>
        <v>0</v>
      </c>
      <c r="H46" s="9">
        <f t="shared" si="8"/>
        <v>0</v>
      </c>
      <c r="I46" s="2">
        <f t="shared" si="2"/>
        <v>0</v>
      </c>
      <c r="J46" s="2">
        <f t="shared" si="5"/>
        <v>0</v>
      </c>
    </row>
    <row r="47" spans="1:10" x14ac:dyDescent="0.25">
      <c r="A47" s="6">
        <v>45</v>
      </c>
      <c r="B47" t="str">
        <f t="shared" si="3"/>
        <v/>
      </c>
      <c r="C47" t="str">
        <f t="shared" si="4"/>
        <v>0</v>
      </c>
      <c r="E47" s="101"/>
      <c r="F47" s="27"/>
      <c r="G47" s="2">
        <f t="shared" si="7"/>
        <v>0</v>
      </c>
      <c r="H47" s="9">
        <f t="shared" si="8"/>
        <v>0</v>
      </c>
      <c r="I47" s="2">
        <f t="shared" si="2"/>
        <v>0</v>
      </c>
      <c r="J47" s="2">
        <f t="shared" si="5"/>
        <v>0</v>
      </c>
    </row>
    <row r="48" spans="1:10" x14ac:dyDescent="0.25">
      <c r="A48" s="6">
        <v>46</v>
      </c>
      <c r="B48" t="str">
        <f t="shared" si="3"/>
        <v/>
      </c>
      <c r="C48" t="str">
        <f t="shared" si="4"/>
        <v>0</v>
      </c>
      <c r="E48" s="101"/>
      <c r="F48" s="27"/>
      <c r="G48" s="2">
        <f t="shared" si="7"/>
        <v>0</v>
      </c>
      <c r="H48" s="9">
        <f t="shared" si="8"/>
        <v>0</v>
      </c>
      <c r="I48" s="2">
        <f t="shared" si="2"/>
        <v>0</v>
      </c>
      <c r="J48" s="2">
        <f t="shared" si="5"/>
        <v>0</v>
      </c>
    </row>
    <row r="49" spans="1:10" x14ac:dyDescent="0.25">
      <c r="A49" s="6">
        <v>47</v>
      </c>
      <c r="B49" t="str">
        <f t="shared" si="3"/>
        <v/>
      </c>
      <c r="C49" t="str">
        <f t="shared" si="4"/>
        <v>0</v>
      </c>
      <c r="E49" s="101"/>
      <c r="F49" s="27"/>
      <c r="G49" s="2">
        <f t="shared" si="7"/>
        <v>0</v>
      </c>
      <c r="H49" s="9">
        <f t="shared" si="8"/>
        <v>0</v>
      </c>
      <c r="I49" s="2">
        <f t="shared" si="2"/>
        <v>0</v>
      </c>
      <c r="J49" s="2">
        <f t="shared" si="5"/>
        <v>0</v>
      </c>
    </row>
    <row r="50" spans="1:10" x14ac:dyDescent="0.25">
      <c r="A50" s="6">
        <v>48</v>
      </c>
      <c r="B50" t="str">
        <f t="shared" si="3"/>
        <v/>
      </c>
      <c r="C50" t="str">
        <f t="shared" si="4"/>
        <v>0</v>
      </c>
      <c r="E50" s="101"/>
      <c r="F50" s="27"/>
      <c r="G50" s="2">
        <f t="shared" si="7"/>
        <v>0</v>
      </c>
      <c r="H50" s="9">
        <f t="shared" si="8"/>
        <v>0</v>
      </c>
      <c r="I50" s="2">
        <f t="shared" si="2"/>
        <v>0</v>
      </c>
      <c r="J50" s="2">
        <f t="shared" si="5"/>
        <v>0</v>
      </c>
    </row>
    <row r="51" spans="1:10" x14ac:dyDescent="0.25">
      <c r="A51" s="6">
        <v>49</v>
      </c>
      <c r="B51" t="str">
        <f t="shared" si="3"/>
        <v/>
      </c>
      <c r="C51" t="str">
        <f t="shared" si="4"/>
        <v>0</v>
      </c>
      <c r="E51" s="101"/>
      <c r="F51" s="27"/>
      <c r="G51" s="2">
        <f t="shared" si="7"/>
        <v>0</v>
      </c>
      <c r="H51" s="9">
        <f t="shared" si="8"/>
        <v>0</v>
      </c>
      <c r="I51" s="2">
        <f t="shared" si="2"/>
        <v>0</v>
      </c>
      <c r="J51" s="2">
        <f t="shared" si="5"/>
        <v>0</v>
      </c>
    </row>
    <row r="52" spans="1:10" x14ac:dyDescent="0.25">
      <c r="A52" s="6">
        <v>50</v>
      </c>
      <c r="B52" t="str">
        <f t="shared" si="3"/>
        <v/>
      </c>
      <c r="C52" t="str">
        <f t="shared" si="4"/>
        <v>0</v>
      </c>
      <c r="E52" s="101"/>
      <c r="F52" s="27"/>
      <c r="G52" s="2">
        <f t="shared" si="7"/>
        <v>0</v>
      </c>
      <c r="H52" s="9">
        <f t="shared" si="8"/>
        <v>0</v>
      </c>
      <c r="I52" s="2">
        <f t="shared" si="2"/>
        <v>0</v>
      </c>
      <c r="J52" s="2">
        <f t="shared" si="5"/>
        <v>0</v>
      </c>
    </row>
    <row r="53" spans="1:10" x14ac:dyDescent="0.25">
      <c r="A53" s="6">
        <v>51</v>
      </c>
      <c r="B53" t="str">
        <f t="shared" si="3"/>
        <v/>
      </c>
      <c r="C53" t="str">
        <f t="shared" si="4"/>
        <v>0</v>
      </c>
      <c r="E53" s="101"/>
      <c r="F53" s="27"/>
      <c r="G53" s="2">
        <f t="shared" si="7"/>
        <v>0</v>
      </c>
      <c r="H53" s="9">
        <f t="shared" si="8"/>
        <v>0</v>
      </c>
      <c r="I53" s="2">
        <f t="shared" si="2"/>
        <v>0</v>
      </c>
      <c r="J53" s="2">
        <f t="shared" si="5"/>
        <v>0</v>
      </c>
    </row>
    <row r="54" spans="1:10" x14ac:dyDescent="0.25">
      <c r="A54" s="6">
        <v>52</v>
      </c>
      <c r="B54" t="str">
        <f t="shared" si="3"/>
        <v/>
      </c>
      <c r="C54" t="str">
        <f t="shared" si="4"/>
        <v>0</v>
      </c>
      <c r="E54" s="101"/>
      <c r="F54" s="27"/>
      <c r="G54" s="2">
        <f t="shared" si="7"/>
        <v>0</v>
      </c>
      <c r="H54" s="9">
        <f t="shared" si="8"/>
        <v>0</v>
      </c>
      <c r="I54" s="2">
        <f t="shared" si="2"/>
        <v>0</v>
      </c>
      <c r="J54" s="2">
        <f t="shared" si="5"/>
        <v>0</v>
      </c>
    </row>
    <row r="55" spans="1:10" x14ac:dyDescent="0.25">
      <c r="A55" s="6">
        <v>53</v>
      </c>
      <c r="B55" t="str">
        <f t="shared" si="3"/>
        <v/>
      </c>
      <c r="C55" t="str">
        <f t="shared" si="4"/>
        <v>0</v>
      </c>
      <c r="E55" s="101"/>
      <c r="F55" s="27"/>
      <c r="G55" s="2">
        <f t="shared" si="7"/>
        <v>0</v>
      </c>
      <c r="H55" s="9">
        <f t="shared" si="8"/>
        <v>0</v>
      </c>
      <c r="I55" s="2">
        <f t="shared" si="2"/>
        <v>0</v>
      </c>
      <c r="J55" s="2">
        <f t="shared" si="5"/>
        <v>0</v>
      </c>
    </row>
    <row r="56" spans="1:10" x14ac:dyDescent="0.25">
      <c r="A56" s="6">
        <v>54</v>
      </c>
      <c r="B56" t="str">
        <f t="shared" si="3"/>
        <v/>
      </c>
      <c r="C56" t="str">
        <f t="shared" si="4"/>
        <v>0</v>
      </c>
      <c r="E56" s="101"/>
      <c r="F56" s="27"/>
      <c r="G56" s="2">
        <f t="shared" si="7"/>
        <v>0</v>
      </c>
      <c r="H56" s="9">
        <f t="shared" si="8"/>
        <v>0</v>
      </c>
      <c r="I56" s="2">
        <f t="shared" si="2"/>
        <v>0</v>
      </c>
      <c r="J56" s="2">
        <f t="shared" si="5"/>
        <v>0</v>
      </c>
    </row>
    <row r="57" spans="1:10" x14ac:dyDescent="0.25">
      <c r="A57" s="6">
        <v>55</v>
      </c>
      <c r="B57" t="str">
        <f t="shared" si="3"/>
        <v/>
      </c>
      <c r="C57" t="str">
        <f t="shared" si="4"/>
        <v>0</v>
      </c>
      <c r="E57" s="101"/>
      <c r="F57" s="27"/>
      <c r="G57" s="2">
        <f t="shared" si="7"/>
        <v>0</v>
      </c>
      <c r="H57" s="9">
        <f t="shared" si="8"/>
        <v>0</v>
      </c>
      <c r="I57" s="2">
        <f t="shared" si="2"/>
        <v>0</v>
      </c>
      <c r="J57" s="2">
        <f t="shared" si="5"/>
        <v>0</v>
      </c>
    </row>
    <row r="58" spans="1:10" x14ac:dyDescent="0.25">
      <c r="A58" s="6">
        <v>56</v>
      </c>
      <c r="B58" t="str">
        <f t="shared" si="3"/>
        <v/>
      </c>
      <c r="C58" t="str">
        <f t="shared" si="4"/>
        <v>0</v>
      </c>
      <c r="E58" s="101"/>
      <c r="F58" s="27"/>
      <c r="G58" s="2">
        <f t="shared" si="7"/>
        <v>0</v>
      </c>
      <c r="H58" s="9">
        <f t="shared" si="8"/>
        <v>0</v>
      </c>
      <c r="I58" s="2">
        <f t="shared" si="2"/>
        <v>0</v>
      </c>
      <c r="J58" s="2">
        <f t="shared" si="5"/>
        <v>0</v>
      </c>
    </row>
    <row r="59" spans="1:10" x14ac:dyDescent="0.25">
      <c r="A59" s="6">
        <v>57</v>
      </c>
      <c r="B59" t="str">
        <f t="shared" si="3"/>
        <v/>
      </c>
      <c r="C59" t="str">
        <f t="shared" si="4"/>
        <v>0</v>
      </c>
      <c r="E59" s="101"/>
      <c r="F59" s="27"/>
      <c r="G59" s="2">
        <f t="shared" si="7"/>
        <v>0</v>
      </c>
      <c r="H59" s="9">
        <f t="shared" si="8"/>
        <v>0</v>
      </c>
      <c r="I59" s="2">
        <f t="shared" si="2"/>
        <v>0</v>
      </c>
      <c r="J59" s="2">
        <f t="shared" si="5"/>
        <v>0</v>
      </c>
    </row>
    <row r="60" spans="1:10" x14ac:dyDescent="0.25">
      <c r="A60" s="6">
        <v>58</v>
      </c>
      <c r="B60" t="str">
        <f t="shared" si="3"/>
        <v/>
      </c>
      <c r="C60" t="str">
        <f t="shared" si="4"/>
        <v>0</v>
      </c>
      <c r="E60" s="101"/>
      <c r="F60" s="27"/>
      <c r="G60" s="2">
        <f t="shared" si="7"/>
        <v>0</v>
      </c>
      <c r="H60" s="9">
        <f t="shared" si="8"/>
        <v>0</v>
      </c>
      <c r="I60" s="2">
        <f t="shared" si="2"/>
        <v>0</v>
      </c>
      <c r="J60" s="2">
        <f t="shared" si="5"/>
        <v>0</v>
      </c>
    </row>
    <row r="61" spans="1:10" x14ac:dyDescent="0.25">
      <c r="A61" s="6">
        <v>59</v>
      </c>
      <c r="B61" t="str">
        <f t="shared" si="3"/>
        <v/>
      </c>
      <c r="C61" t="str">
        <f t="shared" si="4"/>
        <v>0</v>
      </c>
      <c r="E61" s="101"/>
      <c r="F61" s="27"/>
      <c r="G61" s="2">
        <f t="shared" si="7"/>
        <v>0</v>
      </c>
      <c r="H61" s="9">
        <f t="shared" si="8"/>
        <v>0</v>
      </c>
      <c r="I61" s="2">
        <f t="shared" si="2"/>
        <v>0</v>
      </c>
      <c r="J61" s="2">
        <f t="shared" si="5"/>
        <v>0</v>
      </c>
    </row>
    <row r="62" spans="1:10" x14ac:dyDescent="0.25">
      <c r="A62" s="6">
        <v>60</v>
      </c>
      <c r="B62" t="str">
        <f t="shared" si="3"/>
        <v/>
      </c>
      <c r="C62" t="str">
        <f t="shared" si="4"/>
        <v>0</v>
      </c>
      <c r="E62" s="101"/>
      <c r="F62" s="27"/>
      <c r="G62" s="2">
        <f t="shared" si="7"/>
        <v>0</v>
      </c>
      <c r="H62" s="9">
        <f t="shared" si="8"/>
        <v>0</v>
      </c>
      <c r="I62" s="2">
        <f t="shared" si="2"/>
        <v>0</v>
      </c>
      <c r="J62" s="2">
        <f t="shared" si="5"/>
        <v>0</v>
      </c>
    </row>
    <row r="63" spans="1:10" x14ac:dyDescent="0.25">
      <c r="A63" s="6">
        <v>61</v>
      </c>
      <c r="B63" t="str">
        <f t="shared" si="3"/>
        <v/>
      </c>
      <c r="C63" t="str">
        <f t="shared" si="4"/>
        <v>0</v>
      </c>
      <c r="E63" s="101"/>
      <c r="F63" s="27"/>
      <c r="G63" s="2">
        <f t="shared" si="7"/>
        <v>0</v>
      </c>
      <c r="H63" s="9">
        <f t="shared" si="8"/>
        <v>0</v>
      </c>
      <c r="I63" s="2">
        <f t="shared" si="2"/>
        <v>0</v>
      </c>
      <c r="J63" s="2">
        <f t="shared" si="5"/>
        <v>0</v>
      </c>
    </row>
    <row r="64" spans="1:10" x14ac:dyDescent="0.25">
      <c r="A64" s="6">
        <v>62</v>
      </c>
      <c r="B64" t="str">
        <f t="shared" si="3"/>
        <v/>
      </c>
      <c r="C64" t="str">
        <f t="shared" si="4"/>
        <v>0</v>
      </c>
      <c r="E64" s="101"/>
      <c r="F64" s="27"/>
      <c r="G64" s="2">
        <f t="shared" si="7"/>
        <v>0</v>
      </c>
      <c r="H64" s="9">
        <f t="shared" si="8"/>
        <v>0</v>
      </c>
      <c r="I64" s="2">
        <f t="shared" si="2"/>
        <v>0</v>
      </c>
      <c r="J64" s="2">
        <f t="shared" si="5"/>
        <v>0</v>
      </c>
    </row>
    <row r="65" spans="1:10" x14ac:dyDescent="0.25">
      <c r="A65" s="6">
        <v>63</v>
      </c>
      <c r="B65" t="str">
        <f t="shared" si="3"/>
        <v/>
      </c>
      <c r="C65" t="str">
        <f t="shared" si="4"/>
        <v>0</v>
      </c>
      <c r="E65" s="101"/>
      <c r="F65" s="27"/>
      <c r="G65" s="2">
        <f t="shared" si="7"/>
        <v>0</v>
      </c>
      <c r="H65" s="9">
        <f t="shared" si="8"/>
        <v>0</v>
      </c>
      <c r="I65" s="2">
        <f t="shared" si="2"/>
        <v>0</v>
      </c>
      <c r="J65" s="2">
        <f t="shared" si="5"/>
        <v>0</v>
      </c>
    </row>
    <row r="66" spans="1:10" x14ac:dyDescent="0.25">
      <c r="A66" s="6">
        <v>64</v>
      </c>
      <c r="B66" t="str">
        <f t="shared" si="3"/>
        <v/>
      </c>
      <c r="C66" t="str">
        <f t="shared" si="4"/>
        <v>0</v>
      </c>
      <c r="E66" s="101"/>
      <c r="F66" s="27"/>
      <c r="G66" s="2">
        <f t="shared" si="7"/>
        <v>0</v>
      </c>
      <c r="H66" s="9">
        <f t="shared" si="8"/>
        <v>0</v>
      </c>
      <c r="I66" s="2">
        <f t="shared" si="2"/>
        <v>0</v>
      </c>
      <c r="J66" s="2">
        <f t="shared" si="5"/>
        <v>0</v>
      </c>
    </row>
    <row r="67" spans="1:10" x14ac:dyDescent="0.25">
      <c r="A67" s="6">
        <v>65</v>
      </c>
      <c r="B67" t="str">
        <f t="shared" si="3"/>
        <v/>
      </c>
      <c r="C67" t="str">
        <f t="shared" si="4"/>
        <v>0</v>
      </c>
      <c r="E67" s="101"/>
      <c r="F67" s="27"/>
      <c r="G67" s="2">
        <f t="shared" ref="G67:G102" si="9">VLOOKUP(B67,FABRICAR,8,0)</f>
        <v>0</v>
      </c>
      <c r="H67" s="9">
        <f t="shared" ref="H67:H102" si="10">IFERROR(VLOOKUP(E67,PRODUCTOS,4,0),0)</f>
        <v>0</v>
      </c>
      <c r="I67" s="2">
        <f t="shared" si="2"/>
        <v>0</v>
      </c>
      <c r="J67" s="2">
        <f t="shared" si="5"/>
        <v>0</v>
      </c>
    </row>
    <row r="68" spans="1:10" x14ac:dyDescent="0.25">
      <c r="A68" s="6">
        <v>66</v>
      </c>
      <c r="B68" t="str">
        <f t="shared" ref="B68:B100" si="11">D68&amp;F68</f>
        <v/>
      </c>
      <c r="C68" t="str">
        <f t="shared" ref="C68:C100" si="12">CONCATENATE(G68,E68)</f>
        <v>0</v>
      </c>
      <c r="E68" s="101"/>
      <c r="F68" s="27"/>
      <c r="G68" s="2">
        <f t="shared" si="9"/>
        <v>0</v>
      </c>
      <c r="H68" s="9">
        <f t="shared" si="10"/>
        <v>0</v>
      </c>
      <c r="I68" s="2">
        <f t="shared" ref="I68:I102" si="13">VLOOKUP(B68,FABRICAR,10,0)</f>
        <v>0</v>
      </c>
      <c r="J68" s="2">
        <f t="shared" ref="J68:J100" si="14">VLOOKUP(B68,FABRICAR,11,0)*9</f>
        <v>0</v>
      </c>
    </row>
    <row r="69" spans="1:10" x14ac:dyDescent="0.25">
      <c r="A69" s="6">
        <v>67</v>
      </c>
      <c r="B69" t="str">
        <f t="shared" si="11"/>
        <v/>
      </c>
      <c r="C69" t="str">
        <f t="shared" si="12"/>
        <v>0</v>
      </c>
      <c r="E69" s="101"/>
      <c r="F69" s="27"/>
      <c r="G69" s="2">
        <f t="shared" si="9"/>
        <v>0</v>
      </c>
      <c r="H69" s="9">
        <f t="shared" si="10"/>
        <v>0</v>
      </c>
      <c r="I69" s="2">
        <f t="shared" si="13"/>
        <v>0</v>
      </c>
      <c r="J69" s="2">
        <f t="shared" si="14"/>
        <v>0</v>
      </c>
    </row>
    <row r="70" spans="1:10" x14ac:dyDescent="0.25">
      <c r="A70" s="6">
        <v>68</v>
      </c>
      <c r="B70" t="str">
        <f t="shared" si="11"/>
        <v/>
      </c>
      <c r="C70" t="str">
        <f t="shared" si="12"/>
        <v>0</v>
      </c>
      <c r="E70" s="101"/>
      <c r="F70" s="27"/>
      <c r="G70" s="2">
        <f t="shared" si="9"/>
        <v>0</v>
      </c>
      <c r="H70" s="9">
        <f t="shared" si="10"/>
        <v>0</v>
      </c>
      <c r="I70" s="2">
        <f t="shared" si="13"/>
        <v>0</v>
      </c>
      <c r="J70" s="2">
        <f t="shared" si="14"/>
        <v>0</v>
      </c>
    </row>
    <row r="71" spans="1:10" x14ac:dyDescent="0.25">
      <c r="A71" s="6">
        <v>69</v>
      </c>
      <c r="B71" t="str">
        <f t="shared" si="11"/>
        <v/>
      </c>
      <c r="C71" t="str">
        <f t="shared" si="12"/>
        <v>0</v>
      </c>
      <c r="E71" s="101"/>
      <c r="F71" s="27"/>
      <c r="G71" s="2">
        <f t="shared" si="9"/>
        <v>0</v>
      </c>
      <c r="H71" s="9">
        <f t="shared" si="10"/>
        <v>0</v>
      </c>
      <c r="I71" s="2">
        <f t="shared" si="13"/>
        <v>0</v>
      </c>
      <c r="J71" s="2">
        <f t="shared" si="14"/>
        <v>0</v>
      </c>
    </row>
    <row r="72" spans="1:10" x14ac:dyDescent="0.25">
      <c r="A72" s="6">
        <v>70</v>
      </c>
      <c r="B72" t="str">
        <f t="shared" si="11"/>
        <v/>
      </c>
      <c r="C72" t="str">
        <f t="shared" si="12"/>
        <v>0</v>
      </c>
      <c r="E72" s="101"/>
      <c r="F72" s="27"/>
      <c r="G72" s="2">
        <f t="shared" si="9"/>
        <v>0</v>
      </c>
      <c r="H72" s="9">
        <f t="shared" si="10"/>
        <v>0</v>
      </c>
      <c r="I72" s="2">
        <f t="shared" si="13"/>
        <v>0</v>
      </c>
      <c r="J72" s="2">
        <f t="shared" si="14"/>
        <v>0</v>
      </c>
    </row>
    <row r="73" spans="1:10" x14ac:dyDescent="0.25">
      <c r="A73" s="6">
        <v>71</v>
      </c>
      <c r="B73" t="str">
        <f t="shared" si="11"/>
        <v/>
      </c>
      <c r="C73" t="str">
        <f t="shared" si="12"/>
        <v>0</v>
      </c>
      <c r="E73" s="101"/>
      <c r="F73" s="27"/>
      <c r="G73" s="2">
        <f t="shared" si="9"/>
        <v>0</v>
      </c>
      <c r="H73" s="9">
        <f t="shared" si="10"/>
        <v>0</v>
      </c>
      <c r="I73" s="2">
        <f t="shared" si="13"/>
        <v>0</v>
      </c>
      <c r="J73" s="2">
        <f t="shared" si="14"/>
        <v>0</v>
      </c>
    </row>
    <row r="74" spans="1:10" x14ac:dyDescent="0.25">
      <c r="A74" s="6">
        <v>72</v>
      </c>
      <c r="B74" t="str">
        <f t="shared" si="11"/>
        <v/>
      </c>
      <c r="C74" t="str">
        <f t="shared" si="12"/>
        <v>0</v>
      </c>
      <c r="E74" s="101"/>
      <c r="F74" s="27"/>
      <c r="G74" s="2">
        <f t="shared" si="9"/>
        <v>0</v>
      </c>
      <c r="H74" s="9">
        <f t="shared" si="10"/>
        <v>0</v>
      </c>
      <c r="I74" s="2">
        <f t="shared" si="13"/>
        <v>0</v>
      </c>
      <c r="J74" s="2">
        <f t="shared" si="14"/>
        <v>0</v>
      </c>
    </row>
    <row r="75" spans="1:10" x14ac:dyDescent="0.25">
      <c r="A75" s="6">
        <v>73</v>
      </c>
      <c r="B75" t="str">
        <f t="shared" si="11"/>
        <v/>
      </c>
      <c r="C75" t="str">
        <f t="shared" si="12"/>
        <v>0</v>
      </c>
      <c r="E75" s="101"/>
      <c r="F75" s="27"/>
      <c r="G75" s="2">
        <f t="shared" si="9"/>
        <v>0</v>
      </c>
      <c r="H75" s="9">
        <f t="shared" si="10"/>
        <v>0</v>
      </c>
      <c r="I75" s="2">
        <f t="shared" si="13"/>
        <v>0</v>
      </c>
      <c r="J75" s="2">
        <f t="shared" si="14"/>
        <v>0</v>
      </c>
    </row>
    <row r="76" spans="1:10" x14ac:dyDescent="0.25">
      <c r="A76" s="6">
        <v>74</v>
      </c>
      <c r="B76" t="str">
        <f t="shared" si="11"/>
        <v/>
      </c>
      <c r="C76" t="str">
        <f t="shared" si="12"/>
        <v>0</v>
      </c>
      <c r="E76" s="101"/>
      <c r="F76" s="27"/>
      <c r="G76" s="2">
        <f t="shared" si="9"/>
        <v>0</v>
      </c>
      <c r="H76" s="9">
        <f t="shared" si="10"/>
        <v>0</v>
      </c>
      <c r="I76" s="2">
        <f t="shared" si="13"/>
        <v>0</v>
      </c>
      <c r="J76" s="2">
        <f t="shared" si="14"/>
        <v>0</v>
      </c>
    </row>
    <row r="77" spans="1:10" x14ac:dyDescent="0.25">
      <c r="A77" s="6">
        <v>75</v>
      </c>
      <c r="B77" t="str">
        <f t="shared" si="11"/>
        <v/>
      </c>
      <c r="C77" t="str">
        <f t="shared" si="12"/>
        <v>0</v>
      </c>
      <c r="E77" s="101"/>
      <c r="F77" s="27"/>
      <c r="G77" s="2">
        <f t="shared" si="9"/>
        <v>0</v>
      </c>
      <c r="H77" s="9">
        <f t="shared" si="10"/>
        <v>0</v>
      </c>
      <c r="I77" s="2">
        <f t="shared" si="13"/>
        <v>0</v>
      </c>
      <c r="J77" s="2">
        <f t="shared" si="14"/>
        <v>0</v>
      </c>
    </row>
    <row r="78" spans="1:10" x14ac:dyDescent="0.25">
      <c r="A78" s="6">
        <v>76</v>
      </c>
      <c r="B78" t="str">
        <f t="shared" si="11"/>
        <v/>
      </c>
      <c r="C78" t="str">
        <f t="shared" si="12"/>
        <v>0</v>
      </c>
      <c r="E78" s="101"/>
      <c r="F78" s="27"/>
      <c r="G78" s="2">
        <f t="shared" si="9"/>
        <v>0</v>
      </c>
      <c r="H78" s="9">
        <f t="shared" si="10"/>
        <v>0</v>
      </c>
      <c r="I78" s="2">
        <f t="shared" si="13"/>
        <v>0</v>
      </c>
      <c r="J78" s="2">
        <f t="shared" si="14"/>
        <v>0</v>
      </c>
    </row>
    <row r="79" spans="1:10" x14ac:dyDescent="0.25">
      <c r="A79" s="6">
        <v>77</v>
      </c>
      <c r="B79" t="str">
        <f t="shared" si="11"/>
        <v/>
      </c>
      <c r="C79" t="str">
        <f t="shared" si="12"/>
        <v>0</v>
      </c>
      <c r="E79" s="101"/>
      <c r="F79" s="27"/>
      <c r="G79" s="2">
        <f t="shared" si="9"/>
        <v>0</v>
      </c>
      <c r="H79" s="9">
        <f t="shared" si="10"/>
        <v>0</v>
      </c>
      <c r="I79" s="2">
        <f t="shared" si="13"/>
        <v>0</v>
      </c>
      <c r="J79" s="2">
        <f t="shared" si="14"/>
        <v>0</v>
      </c>
    </row>
    <row r="80" spans="1:10" x14ac:dyDescent="0.25">
      <c r="A80" s="6">
        <v>78</v>
      </c>
      <c r="B80" t="str">
        <f t="shared" si="11"/>
        <v/>
      </c>
      <c r="C80" t="str">
        <f t="shared" si="12"/>
        <v>0</v>
      </c>
      <c r="E80" s="101"/>
      <c r="F80" s="27"/>
      <c r="G80" s="2">
        <f t="shared" si="9"/>
        <v>0</v>
      </c>
      <c r="H80" s="9">
        <f t="shared" si="10"/>
        <v>0</v>
      </c>
      <c r="I80" s="2">
        <f t="shared" si="13"/>
        <v>0</v>
      </c>
      <c r="J80" s="2">
        <f t="shared" si="14"/>
        <v>0</v>
      </c>
    </row>
    <row r="81" spans="1:10" x14ac:dyDescent="0.25">
      <c r="A81" s="6">
        <v>79</v>
      </c>
      <c r="B81" t="str">
        <f t="shared" si="11"/>
        <v/>
      </c>
      <c r="C81" t="str">
        <f t="shared" si="12"/>
        <v>0</v>
      </c>
      <c r="E81" s="101"/>
      <c r="F81" s="27"/>
      <c r="G81" s="2">
        <f t="shared" si="9"/>
        <v>0</v>
      </c>
      <c r="H81" s="9">
        <f t="shared" si="10"/>
        <v>0</v>
      </c>
      <c r="I81" s="2">
        <f t="shared" si="13"/>
        <v>0</v>
      </c>
      <c r="J81" s="2">
        <f t="shared" si="14"/>
        <v>0</v>
      </c>
    </row>
    <row r="82" spans="1:10" x14ac:dyDescent="0.25">
      <c r="A82" s="6">
        <v>80</v>
      </c>
      <c r="B82" t="str">
        <f t="shared" si="11"/>
        <v/>
      </c>
      <c r="C82" t="str">
        <f t="shared" si="12"/>
        <v>0</v>
      </c>
      <c r="E82" s="101"/>
      <c r="F82" s="27"/>
      <c r="G82" s="2">
        <f t="shared" si="9"/>
        <v>0</v>
      </c>
      <c r="H82" s="9">
        <f t="shared" si="10"/>
        <v>0</v>
      </c>
      <c r="I82" s="2">
        <f t="shared" si="13"/>
        <v>0</v>
      </c>
      <c r="J82" s="2">
        <f t="shared" si="14"/>
        <v>0</v>
      </c>
    </row>
    <row r="83" spans="1:10" x14ac:dyDescent="0.25">
      <c r="A83" s="6">
        <v>81</v>
      </c>
      <c r="B83" t="str">
        <f t="shared" si="11"/>
        <v/>
      </c>
      <c r="C83" t="str">
        <f t="shared" si="12"/>
        <v>0</v>
      </c>
      <c r="E83" s="101"/>
      <c r="F83" s="27"/>
      <c r="G83" s="2">
        <f t="shared" si="9"/>
        <v>0</v>
      </c>
      <c r="H83" s="9">
        <f t="shared" si="10"/>
        <v>0</v>
      </c>
      <c r="I83" s="2">
        <f t="shared" si="13"/>
        <v>0</v>
      </c>
      <c r="J83" s="2">
        <f t="shared" si="14"/>
        <v>0</v>
      </c>
    </row>
    <row r="84" spans="1:10" x14ac:dyDescent="0.25">
      <c r="A84" s="6">
        <v>82</v>
      </c>
      <c r="B84" t="str">
        <f t="shared" si="11"/>
        <v/>
      </c>
      <c r="C84" t="str">
        <f t="shared" si="12"/>
        <v>0</v>
      </c>
      <c r="E84" s="101"/>
      <c r="F84" s="27"/>
      <c r="G84" s="2">
        <f t="shared" si="9"/>
        <v>0</v>
      </c>
      <c r="H84" s="9">
        <f t="shared" si="10"/>
        <v>0</v>
      </c>
      <c r="I84" s="2">
        <f t="shared" si="13"/>
        <v>0</v>
      </c>
      <c r="J84" s="2">
        <f t="shared" si="14"/>
        <v>0</v>
      </c>
    </row>
    <row r="85" spans="1:10" x14ac:dyDescent="0.25">
      <c r="A85" s="6">
        <v>83</v>
      </c>
      <c r="B85" t="str">
        <f t="shared" si="11"/>
        <v/>
      </c>
      <c r="C85" t="str">
        <f t="shared" si="12"/>
        <v>0</v>
      </c>
      <c r="E85" s="101"/>
      <c r="F85" s="27"/>
      <c r="G85" s="2">
        <f t="shared" si="9"/>
        <v>0</v>
      </c>
      <c r="H85" s="9">
        <f t="shared" si="10"/>
        <v>0</v>
      </c>
      <c r="I85" s="2">
        <f t="shared" si="13"/>
        <v>0</v>
      </c>
      <c r="J85" s="2">
        <f t="shared" si="14"/>
        <v>0</v>
      </c>
    </row>
    <row r="86" spans="1:10" x14ac:dyDescent="0.25">
      <c r="A86" s="6">
        <v>84</v>
      </c>
      <c r="B86" t="str">
        <f t="shared" si="11"/>
        <v/>
      </c>
      <c r="C86" t="str">
        <f t="shared" si="12"/>
        <v>0</v>
      </c>
      <c r="E86" s="101"/>
      <c r="F86" s="27"/>
      <c r="G86" s="2">
        <f t="shared" si="9"/>
        <v>0</v>
      </c>
      <c r="H86" s="9">
        <f t="shared" si="10"/>
        <v>0</v>
      </c>
      <c r="I86" s="2">
        <f t="shared" si="13"/>
        <v>0</v>
      </c>
      <c r="J86" s="2">
        <f t="shared" si="14"/>
        <v>0</v>
      </c>
    </row>
    <row r="87" spans="1:10" x14ac:dyDescent="0.25">
      <c r="A87" s="6">
        <v>85</v>
      </c>
      <c r="B87" t="str">
        <f t="shared" si="11"/>
        <v/>
      </c>
      <c r="C87" t="str">
        <f t="shared" si="12"/>
        <v>0</v>
      </c>
      <c r="E87" s="101"/>
      <c r="F87" s="27"/>
      <c r="G87" s="2">
        <f t="shared" si="9"/>
        <v>0</v>
      </c>
      <c r="H87" s="9">
        <f t="shared" si="10"/>
        <v>0</v>
      </c>
      <c r="I87" s="2">
        <f t="shared" si="13"/>
        <v>0</v>
      </c>
      <c r="J87" s="2">
        <f t="shared" si="14"/>
        <v>0</v>
      </c>
    </row>
    <row r="88" spans="1:10" x14ac:dyDescent="0.25">
      <c r="A88" s="6">
        <v>86</v>
      </c>
      <c r="B88" t="str">
        <f t="shared" si="11"/>
        <v/>
      </c>
      <c r="C88" t="str">
        <f t="shared" si="12"/>
        <v>0</v>
      </c>
      <c r="E88" s="101"/>
      <c r="F88" s="27"/>
      <c r="G88" s="2">
        <f t="shared" si="9"/>
        <v>0</v>
      </c>
      <c r="H88" s="9">
        <f t="shared" si="10"/>
        <v>0</v>
      </c>
      <c r="I88" s="2">
        <f t="shared" si="13"/>
        <v>0</v>
      </c>
      <c r="J88" s="2">
        <f t="shared" si="14"/>
        <v>0</v>
      </c>
    </row>
    <row r="89" spans="1:10" x14ac:dyDescent="0.25">
      <c r="A89" s="6">
        <v>87</v>
      </c>
      <c r="B89" t="str">
        <f t="shared" si="11"/>
        <v/>
      </c>
      <c r="C89" t="str">
        <f t="shared" si="12"/>
        <v>0</v>
      </c>
      <c r="E89" s="101"/>
      <c r="F89" s="27"/>
      <c r="G89" s="2">
        <f t="shared" si="9"/>
        <v>0</v>
      </c>
      <c r="H89" s="9">
        <f t="shared" si="10"/>
        <v>0</v>
      </c>
      <c r="I89" s="2">
        <f t="shared" si="13"/>
        <v>0</v>
      </c>
      <c r="J89" s="2">
        <f t="shared" si="14"/>
        <v>0</v>
      </c>
    </row>
    <row r="90" spans="1:10" x14ac:dyDescent="0.25">
      <c r="A90" s="6">
        <v>88</v>
      </c>
      <c r="B90" t="str">
        <f t="shared" si="11"/>
        <v/>
      </c>
      <c r="C90" t="str">
        <f t="shared" si="12"/>
        <v>0</v>
      </c>
      <c r="E90" s="101"/>
      <c r="F90" s="27"/>
      <c r="G90" s="2">
        <f t="shared" si="9"/>
        <v>0</v>
      </c>
      <c r="H90" s="9">
        <f t="shared" si="10"/>
        <v>0</v>
      </c>
      <c r="I90" s="2">
        <f t="shared" si="13"/>
        <v>0</v>
      </c>
      <c r="J90" s="2">
        <f t="shared" si="14"/>
        <v>0</v>
      </c>
    </row>
    <row r="91" spans="1:10" x14ac:dyDescent="0.25">
      <c r="A91" s="6">
        <v>89</v>
      </c>
      <c r="B91" t="str">
        <f t="shared" si="11"/>
        <v/>
      </c>
      <c r="C91" t="str">
        <f t="shared" si="12"/>
        <v>0</v>
      </c>
      <c r="E91" s="101"/>
      <c r="F91" s="27"/>
      <c r="G91" s="2">
        <f t="shared" si="9"/>
        <v>0</v>
      </c>
      <c r="H91" s="9">
        <f t="shared" si="10"/>
        <v>0</v>
      </c>
      <c r="I91" s="2">
        <f t="shared" si="13"/>
        <v>0</v>
      </c>
      <c r="J91" s="2">
        <f t="shared" si="14"/>
        <v>0</v>
      </c>
    </row>
    <row r="92" spans="1:10" x14ac:dyDescent="0.25">
      <c r="A92" s="6">
        <v>90</v>
      </c>
      <c r="B92" t="str">
        <f t="shared" si="11"/>
        <v/>
      </c>
      <c r="C92" t="str">
        <f t="shared" si="12"/>
        <v>0</v>
      </c>
      <c r="E92" s="101"/>
      <c r="F92" s="27"/>
      <c r="G92" s="2">
        <f t="shared" si="9"/>
        <v>0</v>
      </c>
      <c r="H92" s="9">
        <f t="shared" si="10"/>
        <v>0</v>
      </c>
      <c r="I92" s="2">
        <f t="shared" si="13"/>
        <v>0</v>
      </c>
      <c r="J92" s="2">
        <f t="shared" si="14"/>
        <v>0</v>
      </c>
    </row>
    <row r="93" spans="1:10" x14ac:dyDescent="0.25">
      <c r="A93" s="6">
        <v>91</v>
      </c>
      <c r="B93" t="str">
        <f t="shared" si="11"/>
        <v/>
      </c>
      <c r="C93" t="str">
        <f t="shared" si="12"/>
        <v>0</v>
      </c>
      <c r="E93" s="101"/>
      <c r="F93" s="27"/>
      <c r="G93" s="2">
        <f t="shared" si="9"/>
        <v>0</v>
      </c>
      <c r="H93" s="9">
        <f t="shared" si="10"/>
        <v>0</v>
      </c>
      <c r="I93" s="2">
        <f t="shared" si="13"/>
        <v>0</v>
      </c>
      <c r="J93" s="2">
        <f t="shared" si="14"/>
        <v>0</v>
      </c>
    </row>
    <row r="94" spans="1:10" x14ac:dyDescent="0.25">
      <c r="A94" s="6">
        <v>92</v>
      </c>
      <c r="B94" t="str">
        <f t="shared" si="11"/>
        <v/>
      </c>
      <c r="C94" t="str">
        <f t="shared" si="12"/>
        <v>0</v>
      </c>
      <c r="E94" s="101"/>
      <c r="F94" s="27"/>
      <c r="G94" s="2">
        <f t="shared" si="9"/>
        <v>0</v>
      </c>
      <c r="H94" s="9">
        <f t="shared" si="10"/>
        <v>0</v>
      </c>
      <c r="I94" s="2">
        <f t="shared" si="13"/>
        <v>0</v>
      </c>
      <c r="J94" s="2">
        <f t="shared" si="14"/>
        <v>0</v>
      </c>
    </row>
    <row r="95" spans="1:10" x14ac:dyDescent="0.25">
      <c r="A95" s="6">
        <v>93</v>
      </c>
      <c r="B95" t="str">
        <f t="shared" si="11"/>
        <v/>
      </c>
      <c r="C95" t="str">
        <f t="shared" si="12"/>
        <v>0</v>
      </c>
      <c r="E95" s="101"/>
      <c r="F95" s="27"/>
      <c r="G95" s="2">
        <f t="shared" si="9"/>
        <v>0</v>
      </c>
      <c r="H95" s="9">
        <f t="shared" si="10"/>
        <v>0</v>
      </c>
      <c r="I95" s="2">
        <f t="shared" si="13"/>
        <v>0</v>
      </c>
      <c r="J95" s="2">
        <f t="shared" si="14"/>
        <v>0</v>
      </c>
    </row>
    <row r="96" spans="1:10" x14ac:dyDescent="0.25">
      <c r="A96" s="6">
        <v>94</v>
      </c>
      <c r="B96" t="str">
        <f t="shared" si="11"/>
        <v/>
      </c>
      <c r="C96" t="str">
        <f t="shared" si="12"/>
        <v>0</v>
      </c>
      <c r="E96" s="101"/>
      <c r="F96" s="27"/>
      <c r="G96" s="2">
        <f t="shared" si="9"/>
        <v>0</v>
      </c>
      <c r="H96" s="9">
        <f t="shared" si="10"/>
        <v>0</v>
      </c>
      <c r="I96" s="2">
        <f t="shared" si="13"/>
        <v>0</v>
      </c>
      <c r="J96" s="2">
        <f t="shared" si="14"/>
        <v>0</v>
      </c>
    </row>
    <row r="97" spans="1:10" x14ac:dyDescent="0.25">
      <c r="A97" s="6">
        <v>95</v>
      </c>
      <c r="B97" t="str">
        <f t="shared" si="11"/>
        <v/>
      </c>
      <c r="C97" t="str">
        <f t="shared" si="12"/>
        <v>0</v>
      </c>
      <c r="E97" s="101"/>
      <c r="F97" s="27"/>
      <c r="G97" s="2">
        <f t="shared" si="9"/>
        <v>0</v>
      </c>
      <c r="H97" s="9">
        <f t="shared" si="10"/>
        <v>0</v>
      </c>
      <c r="I97" s="2">
        <f t="shared" si="13"/>
        <v>0</v>
      </c>
      <c r="J97" s="2">
        <f t="shared" si="14"/>
        <v>0</v>
      </c>
    </row>
    <row r="98" spans="1:10" x14ac:dyDescent="0.25">
      <c r="A98" s="6">
        <v>96</v>
      </c>
      <c r="B98" t="str">
        <f t="shared" si="11"/>
        <v/>
      </c>
      <c r="C98" t="str">
        <f t="shared" si="12"/>
        <v>0</v>
      </c>
      <c r="E98" s="101"/>
      <c r="F98" s="27"/>
      <c r="G98" s="2">
        <f t="shared" si="9"/>
        <v>0</v>
      </c>
      <c r="H98" s="9">
        <f t="shared" si="10"/>
        <v>0</v>
      </c>
      <c r="I98" s="2">
        <f t="shared" si="13"/>
        <v>0</v>
      </c>
      <c r="J98" s="2">
        <f t="shared" si="14"/>
        <v>0</v>
      </c>
    </row>
    <row r="99" spans="1:10" x14ac:dyDescent="0.25">
      <c r="A99" s="6">
        <v>97</v>
      </c>
      <c r="B99" t="str">
        <f t="shared" si="11"/>
        <v/>
      </c>
      <c r="C99" t="str">
        <f t="shared" si="12"/>
        <v>0</v>
      </c>
      <c r="E99" s="101"/>
      <c r="F99" s="27"/>
      <c r="G99" s="2">
        <f t="shared" si="9"/>
        <v>0</v>
      </c>
      <c r="H99" s="9">
        <f t="shared" si="10"/>
        <v>0</v>
      </c>
      <c r="I99" s="2">
        <f t="shared" si="13"/>
        <v>0</v>
      </c>
      <c r="J99" s="2">
        <f t="shared" si="14"/>
        <v>0</v>
      </c>
    </row>
    <row r="100" spans="1:10" x14ac:dyDescent="0.25">
      <c r="A100" s="6">
        <v>98</v>
      </c>
      <c r="B100" t="str">
        <f t="shared" si="11"/>
        <v/>
      </c>
      <c r="C100" t="str">
        <f t="shared" si="12"/>
        <v>0</v>
      </c>
      <c r="E100" s="101"/>
      <c r="F100" s="27"/>
      <c r="G100" s="2">
        <f t="shared" si="9"/>
        <v>0</v>
      </c>
      <c r="H100" s="9">
        <f t="shared" si="10"/>
        <v>0</v>
      </c>
      <c r="I100" s="2">
        <f t="shared" si="13"/>
        <v>0</v>
      </c>
      <c r="J100" s="2">
        <f t="shared" si="14"/>
        <v>0</v>
      </c>
    </row>
    <row r="101" spans="1:10" x14ac:dyDescent="0.25">
      <c r="A101" s="6">
        <v>99</v>
      </c>
      <c r="B101" t="str">
        <f>D101&amp;F101</f>
        <v/>
      </c>
      <c r="C101" t="str">
        <f>CONCATENATE(G101,E101)</f>
        <v>0</v>
      </c>
      <c r="E101" s="101"/>
      <c r="F101" s="27"/>
      <c r="G101" s="2">
        <f t="shared" si="9"/>
        <v>0</v>
      </c>
      <c r="H101" s="9">
        <f t="shared" si="10"/>
        <v>0</v>
      </c>
      <c r="I101" s="2">
        <f t="shared" si="13"/>
        <v>0</v>
      </c>
      <c r="J101" s="2">
        <f>VLOOKUP(B101,FABRICAR,11,0)*9</f>
        <v>0</v>
      </c>
    </row>
    <row r="102" spans="1:10" x14ac:dyDescent="0.25">
      <c r="A102" s="6">
        <v>100</v>
      </c>
      <c r="B102" t="str">
        <f>D102&amp;F102</f>
        <v/>
      </c>
      <c r="C102" t="str">
        <f>CONCATENATE(G102,E102)</f>
        <v>0</v>
      </c>
      <c r="E102" s="101"/>
      <c r="F102" s="27"/>
      <c r="G102" s="2">
        <f t="shared" si="9"/>
        <v>0</v>
      </c>
      <c r="H102" s="9">
        <f t="shared" si="10"/>
        <v>0</v>
      </c>
      <c r="I102" s="2">
        <f t="shared" si="13"/>
        <v>0</v>
      </c>
      <c r="J102" s="2">
        <f>VLOOKUP(B102,FABRICAR,11,0)*9</f>
        <v>0</v>
      </c>
    </row>
  </sheetData>
  <sheetProtection formatCells="0" formatColumns="0" formatRows="0" insertColumns="0" insertRows="0" insertHyperlinks="0" deleteColumns="0" deleteRows="0" sort="0" autoFilter="0" pivotTables="0"/>
  <autoFilter ref="D2:F32" xr:uid="{00000000-0009-0000-0000-000005000000}"/>
  <conditionalFormatting sqref="D1">
    <cfRule type="containsText" dxfId="7" priority="38" stopIfTrue="1" operator="containsText" text="NUEVA OT">
      <formula>NOT(ISERROR(SEARCH("NUEVA OT",D1)))</formula>
    </cfRule>
  </conditionalFormatting>
  <conditionalFormatting sqref="K1:BS1048576 M7:BY7">
    <cfRule type="cellIs" dxfId="6" priority="17" stopIfTrue="1" operator="between">
      <formula>0.9</formula>
      <formula>20000</formula>
    </cfRule>
  </conditionalFormatting>
  <conditionalFormatting sqref="BT3:IQ14 M15:IQ15 M16:FH20 M21:BS65536 K15:L65536 BT21:CE23 K1:BS14 M7:BY7">
    <cfRule type="cellIs" dxfId="5" priority="12" stopIfTrue="1" operator="between">
      <formula>0.9</formula>
      <formula>20000</formula>
    </cfRule>
  </conditionalFormatting>
  <conditionalFormatting sqref="BT3:IQ14 M15:IQ15 M16:FH20 M21:BS65536 K15:L65536 BT21:CE23 K1:BS14 M7:BY7">
    <cfRule type="cellIs" dxfId="4" priority="8" stopIfTrue="1" operator="between">
      <formula>0.9</formula>
      <formula>20000</formula>
    </cfRule>
  </conditionalFormatting>
  <conditionalFormatting sqref="BT3:IQ14 M15:IQ15 M16:FH20 M21:BS65536 K15:L65536 BT21:CE23 K1:BS14 M7:BY7">
    <cfRule type="cellIs" dxfId="3" priority="4" stopIfTrue="1" operator="between">
      <formula>0.9</formula>
      <formula>20000</formula>
    </cfRule>
  </conditionalFormatting>
  <conditionalFormatting sqref="K1:CE1048576">
    <cfRule type="cellIs" dxfId="2" priority="3" stopIfTrue="1" operator="equal">
      <formula>0</formula>
    </cfRule>
  </conditionalFormatting>
  <conditionalFormatting sqref="D3:D102">
    <cfRule type="expression" dxfId="1" priority="2" stopIfTrue="1">
      <formula>$G3=1</formula>
    </cfRule>
  </conditionalFormatting>
  <conditionalFormatting sqref="D3:D102">
    <cfRule type="expression" dxfId="0" priority="1" stopIfTrue="1">
      <formula>$K3=1</formula>
    </cfRule>
  </conditionalFormatting>
  <pageMargins left="0.7" right="0.7" top="0.75" bottom="0.75" header="0.3" footer="0.3"/>
  <pageSetup orientation="portrait" horizont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MAQUINAS</vt:lpstr>
      <vt:lpstr>PRODUCTOS</vt:lpstr>
      <vt:lpstr>FABRICAR</vt:lpstr>
      <vt:lpstr>PROGRAMACION OT</vt:lpstr>
      <vt:lpstr>PROGRAM SALDO </vt:lpstr>
      <vt:lpstr>PROGRAM MAQ</vt:lpstr>
      <vt:lpstr>FABRICAR</vt:lpstr>
      <vt:lpstr>LISTAPRO</vt:lpstr>
      <vt:lpstr>MAQUINAS</vt:lpstr>
      <vt:lpstr>PRODUCTOETAPA</vt:lpstr>
      <vt:lpstr>PRODUCTOS</vt:lpstr>
      <vt:lpstr>PRODUCTOTOTAL</vt:lpstr>
      <vt:lpstr>PROGRAMACION1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Produccion</dc:creator>
  <cp:lastModifiedBy>Yuri Campos</cp:lastModifiedBy>
  <dcterms:created xsi:type="dcterms:W3CDTF">2019-03-20T15:43:55Z</dcterms:created>
  <dcterms:modified xsi:type="dcterms:W3CDTF">2024-11-22T15:22:56Z</dcterms:modified>
</cp:coreProperties>
</file>